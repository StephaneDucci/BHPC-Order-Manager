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2120" windowWidth="26000" windowHeight="10660" tabRatio="895" activeTab="10"/>
  </bookViews>
  <sheets>
    <sheet name="db_clienti" sheetId="30" r:id="rId1"/>
    <sheet name="bhpc_data" sheetId="31" state="hidden" r:id="rId2"/>
    <sheet name="dgn_calculation" sheetId="23" state="hidden" r:id="rId3"/>
    <sheet name="proformaModel" sheetId="26" state="hidden" r:id="rId4"/>
    <sheet name="plModel" sheetId="32" state="hidden" r:id="rId5"/>
    <sheet name="dgnModel" sheetId="28" state="hidden" r:id="rId6"/>
    <sheet name="salesHistory" sheetId="33" state="hidden" r:id="rId7"/>
    <sheet name="orderHistory" sheetId="35" r:id="rId8"/>
    <sheet name="ORDER ENTRY FORM" sheetId="25" r:id="rId9"/>
    <sheet name="BHPC MANAGER" sheetId="36" state="hidden" r:id="rId10"/>
    <sheet name="ORDER MANAGER" sheetId="37" r:id="rId11"/>
    <sheet name="ANALYTICS" sheetId="34" state="hidden" r:id="rId12"/>
  </sheets>
  <externalReferences>
    <externalReference r:id="rId13"/>
  </externalReferences>
  <definedNames>
    <definedName name="_xlnm._FilterDatabase" localSheetId="0" hidden="1">db_clienti!$A$2:$Q$12</definedName>
    <definedName name="_xlnm._FilterDatabase" localSheetId="8" hidden="1">'ORDER ENTRY FORM'!$A$2:$C$51</definedName>
    <definedName name="clientId">OFFSET(db_clienti!$A$3,0,0,COUNTA(db_clienti!$A$3:$A$1000),1)</definedName>
    <definedName name="orderIDforSelectedClient">OFFSET('ORDER MANAGER'!$BO$10,0,0,COUNTA('ORDER MANAGER'!$BO$10:$BO$250)-COUNTBLANK('ORDER MANAGER'!$BO$10:$BO$250),1)</definedName>
  </definedNames>
  <calcPr calcId="125725"/>
  <pivotCaches>
    <pivotCache cacheId="0" r:id="rId14"/>
  </pivotCaches>
</workbook>
</file>

<file path=xl/calcChain.xml><?xml version="1.0" encoding="utf-8"?>
<calcChain xmlns="http://schemas.openxmlformats.org/spreadsheetml/2006/main">
  <c r="BO10" i="37" a="1"/>
  <c r="BO10" s="1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BK7"/>
  <c r="AQ7"/>
  <c r="H37"/>
  <c r="H38"/>
  <c r="H32"/>
  <c r="S40" a="1"/>
  <c r="S40" s="1"/>
  <c r="S39" a="1"/>
  <c r="S39" s="1"/>
  <c r="S38" a="1"/>
  <c r="S38" s="1"/>
  <c r="S37" a="1"/>
  <c r="S37" s="1"/>
  <c r="S36" a="1"/>
  <c r="S36" s="1"/>
  <c r="S35" a="1"/>
  <c r="S35" s="1"/>
  <c r="S34" a="1"/>
  <c r="S34" s="1"/>
  <c r="S33" a="1"/>
  <c r="S33" s="1"/>
  <c r="S32" a="1"/>
  <c r="S32" s="1"/>
  <c r="S31" a="1"/>
  <c r="S31" s="1"/>
  <c r="S30" a="1"/>
  <c r="S30" s="1"/>
  <c r="S29" a="1"/>
  <c r="S29" s="1"/>
  <c r="S28" a="1"/>
  <c r="S28" s="1"/>
  <c r="S27" a="1"/>
  <c r="S27" s="1"/>
  <c r="S26" a="1"/>
  <c r="S26" s="1"/>
  <c r="S25" a="1"/>
  <c r="S25" s="1"/>
  <c r="S24" a="1"/>
  <c r="S24" s="1"/>
  <c r="S23" a="1"/>
  <c r="S23" s="1"/>
  <c r="S22" a="1"/>
  <c r="S22" s="1"/>
  <c r="S21" a="1"/>
  <c r="S21" s="1"/>
  <c r="S20" a="1"/>
  <c r="S20" s="1"/>
  <c r="S19" a="1"/>
  <c r="S19" s="1"/>
  <c r="S18" a="1"/>
  <c r="S18" s="1"/>
  <c r="S17" a="1"/>
  <c r="S17" s="1"/>
  <c r="S16" a="1"/>
  <c r="S16" s="1"/>
  <c r="S15" a="1"/>
  <c r="S15" s="1"/>
  <c r="S14" a="1"/>
  <c r="S14" s="1"/>
  <c r="S13" a="1"/>
  <c r="S13" s="1"/>
  <c r="S12" a="1"/>
  <c r="S12" s="1"/>
  <c r="S11" a="1"/>
  <c r="S11" s="1"/>
  <c r="S10" a="1"/>
  <c r="S10" s="1"/>
  <c r="I11" i="30"/>
  <c r="J11"/>
  <c r="K11"/>
  <c r="H24" i="37"/>
  <c r="H23"/>
  <c r="H22"/>
  <c r="H28"/>
  <c r="H27"/>
  <c r="H26"/>
  <c r="H20"/>
  <c r="H14"/>
  <c r="H18"/>
  <c r="H12"/>
  <c r="H10"/>
  <c r="V40" a="1"/>
  <c r="V40" s="1"/>
  <c r="U40" a="1"/>
  <c r="U40" s="1"/>
  <c r="T40" a="1"/>
  <c r="T40" s="1"/>
  <c r="R40" a="1"/>
  <c r="R40" s="1"/>
  <c r="Q40" a="1"/>
  <c r="Q40" s="1"/>
  <c r="P40" a="1"/>
  <c r="P40" s="1"/>
  <c r="O40" a="1"/>
  <c r="O40" s="1"/>
  <c r="N40" a="1"/>
  <c r="N40" s="1"/>
  <c r="M40" a="1"/>
  <c r="M40" s="1"/>
  <c r="V39" a="1"/>
  <c r="V39" s="1"/>
  <c r="U39" a="1"/>
  <c r="U39" s="1"/>
  <c r="T39" a="1"/>
  <c r="T39" s="1"/>
  <c r="R39" a="1"/>
  <c r="R39" s="1"/>
  <c r="Q39" a="1"/>
  <c r="Q39" s="1"/>
  <c r="P39" a="1"/>
  <c r="P39" s="1"/>
  <c r="O39" a="1"/>
  <c r="O39" s="1"/>
  <c r="N39" a="1"/>
  <c r="N39" s="1"/>
  <c r="M39" a="1"/>
  <c r="M39" s="1"/>
  <c r="V38" a="1"/>
  <c r="V38" s="1"/>
  <c r="U38" a="1"/>
  <c r="U38" s="1"/>
  <c r="T38" a="1"/>
  <c r="T38" s="1"/>
  <c r="R38" a="1"/>
  <c r="R38" s="1"/>
  <c r="Q38" a="1"/>
  <c r="Q38" s="1"/>
  <c r="P38" a="1"/>
  <c r="P38" s="1"/>
  <c r="O38" a="1"/>
  <c r="O38" s="1"/>
  <c r="N38" a="1"/>
  <c r="N38" s="1"/>
  <c r="M38" a="1"/>
  <c r="M38" s="1"/>
  <c r="V37" a="1"/>
  <c r="V37" s="1"/>
  <c r="U37" a="1"/>
  <c r="U37" s="1"/>
  <c r="T37" a="1"/>
  <c r="T37" s="1"/>
  <c r="R37" a="1"/>
  <c r="R37" s="1"/>
  <c r="Q37" a="1"/>
  <c r="Q37" s="1"/>
  <c r="P37" a="1"/>
  <c r="P37" s="1"/>
  <c r="O37" a="1"/>
  <c r="O37" s="1"/>
  <c r="N37" a="1"/>
  <c r="N37" s="1"/>
  <c r="M37" a="1"/>
  <c r="M37" s="1"/>
  <c r="V36" a="1"/>
  <c r="V36" s="1"/>
  <c r="U36" a="1"/>
  <c r="U36" s="1"/>
  <c r="T36" a="1"/>
  <c r="T36" s="1"/>
  <c r="R36" a="1"/>
  <c r="R36" s="1"/>
  <c r="Q36" a="1"/>
  <c r="Q36" s="1"/>
  <c r="P36" a="1"/>
  <c r="P36" s="1"/>
  <c r="O36" a="1"/>
  <c r="O36" s="1"/>
  <c r="N36" a="1"/>
  <c r="N36" s="1"/>
  <c r="M36" a="1"/>
  <c r="M36" s="1"/>
  <c r="V35" a="1"/>
  <c r="V35" s="1"/>
  <c r="U35" a="1"/>
  <c r="U35" s="1"/>
  <c r="T35" a="1"/>
  <c r="T35" s="1"/>
  <c r="R35" a="1"/>
  <c r="R35" s="1"/>
  <c r="Q35" a="1"/>
  <c r="Q35" s="1"/>
  <c r="P35" a="1"/>
  <c r="P35" s="1"/>
  <c r="O35" a="1"/>
  <c r="O35" s="1"/>
  <c r="N35" a="1"/>
  <c r="N35" s="1"/>
  <c r="M35" a="1"/>
  <c r="M35" s="1"/>
  <c r="V34" a="1"/>
  <c r="V34" s="1"/>
  <c r="U34" a="1"/>
  <c r="U34" s="1"/>
  <c r="T34" a="1"/>
  <c r="T34" s="1"/>
  <c r="R34" a="1"/>
  <c r="R34" s="1"/>
  <c r="Q34" a="1"/>
  <c r="Q34" s="1"/>
  <c r="P34" a="1"/>
  <c r="P34" s="1"/>
  <c r="O34" a="1"/>
  <c r="O34" s="1"/>
  <c r="N34" a="1"/>
  <c r="N34" s="1"/>
  <c r="M34" a="1"/>
  <c r="M34" s="1"/>
  <c r="V33" a="1"/>
  <c r="V33" s="1"/>
  <c r="U33" a="1"/>
  <c r="U33" s="1"/>
  <c r="T33" a="1"/>
  <c r="T33" s="1"/>
  <c r="R33" a="1"/>
  <c r="R33" s="1"/>
  <c r="Q33" a="1"/>
  <c r="Q33" s="1"/>
  <c r="P33" a="1"/>
  <c r="P33" s="1"/>
  <c r="O33" a="1"/>
  <c r="O33" s="1"/>
  <c r="N33" a="1"/>
  <c r="N33" s="1"/>
  <c r="M33" a="1"/>
  <c r="M33" s="1"/>
  <c r="V32" a="1"/>
  <c r="V32" s="1"/>
  <c r="U32" a="1"/>
  <c r="U32" s="1"/>
  <c r="T32" a="1"/>
  <c r="T32" s="1"/>
  <c r="R32" a="1"/>
  <c r="R32" s="1"/>
  <c r="Q32" a="1"/>
  <c r="Q32" s="1"/>
  <c r="P32" a="1"/>
  <c r="P32" s="1"/>
  <c r="O32" a="1"/>
  <c r="O32" s="1"/>
  <c r="N32" a="1"/>
  <c r="N32" s="1"/>
  <c r="M32" a="1"/>
  <c r="M32" s="1"/>
  <c r="V31" a="1"/>
  <c r="V31" s="1"/>
  <c r="U31" a="1"/>
  <c r="U31" s="1"/>
  <c r="T31" a="1"/>
  <c r="T31" s="1"/>
  <c r="R31" a="1"/>
  <c r="R31" s="1"/>
  <c r="Q31" a="1"/>
  <c r="Q31" s="1"/>
  <c r="P31" a="1"/>
  <c r="P31" s="1"/>
  <c r="O31" a="1"/>
  <c r="O31" s="1"/>
  <c r="N31" a="1"/>
  <c r="N31" s="1"/>
  <c r="M31" a="1"/>
  <c r="M31" s="1"/>
  <c r="V30" a="1"/>
  <c r="V30" s="1"/>
  <c r="U30" a="1"/>
  <c r="U30" s="1"/>
  <c r="T30" a="1"/>
  <c r="T30" s="1"/>
  <c r="R30" a="1"/>
  <c r="R30" s="1"/>
  <c r="Q30" a="1"/>
  <c r="Q30" s="1"/>
  <c r="P30" a="1"/>
  <c r="P30" s="1"/>
  <c r="O30" a="1"/>
  <c r="O30" s="1"/>
  <c r="N30" a="1"/>
  <c r="N30" s="1"/>
  <c r="M30" a="1"/>
  <c r="M30" s="1"/>
  <c r="V29" a="1"/>
  <c r="V29" s="1"/>
  <c r="U29" a="1"/>
  <c r="U29" s="1"/>
  <c r="T29" a="1"/>
  <c r="T29" s="1"/>
  <c r="R29" a="1"/>
  <c r="R29" s="1"/>
  <c r="Q29" a="1"/>
  <c r="Q29" s="1"/>
  <c r="P29" a="1"/>
  <c r="P29" s="1"/>
  <c r="O29" a="1"/>
  <c r="O29" s="1"/>
  <c r="N29" a="1"/>
  <c r="N29" s="1"/>
  <c r="M29" a="1"/>
  <c r="M29" s="1"/>
  <c r="V28" a="1"/>
  <c r="V28" s="1"/>
  <c r="U28" a="1"/>
  <c r="U28" s="1"/>
  <c r="T28" a="1"/>
  <c r="T28" s="1"/>
  <c r="R28" a="1"/>
  <c r="R28" s="1"/>
  <c r="Q28" a="1"/>
  <c r="Q28" s="1"/>
  <c r="P28" a="1"/>
  <c r="P28" s="1"/>
  <c r="O28" a="1"/>
  <c r="O28" s="1"/>
  <c r="N28" a="1"/>
  <c r="N28" s="1"/>
  <c r="M28" a="1"/>
  <c r="M28" s="1"/>
  <c r="V27" a="1"/>
  <c r="V27" s="1"/>
  <c r="U27" a="1"/>
  <c r="U27" s="1"/>
  <c r="T27" a="1"/>
  <c r="T27" s="1"/>
  <c r="R27" a="1"/>
  <c r="R27" s="1"/>
  <c r="Q27" a="1"/>
  <c r="Q27" s="1"/>
  <c r="P27" a="1"/>
  <c r="P27" s="1"/>
  <c r="O27" a="1"/>
  <c r="O27" s="1"/>
  <c r="N27" a="1"/>
  <c r="N27" s="1"/>
  <c r="M27" a="1"/>
  <c r="M27" s="1"/>
  <c r="V26" a="1"/>
  <c r="V26" s="1"/>
  <c r="U26" a="1"/>
  <c r="U26" s="1"/>
  <c r="T26" a="1"/>
  <c r="T26" s="1"/>
  <c r="R26" a="1"/>
  <c r="R26" s="1"/>
  <c r="Q26" a="1"/>
  <c r="Q26" s="1"/>
  <c r="P26" a="1"/>
  <c r="P26" s="1"/>
  <c r="O26" a="1"/>
  <c r="O26" s="1"/>
  <c r="N26" a="1"/>
  <c r="N26" s="1"/>
  <c r="M26" a="1"/>
  <c r="M26" s="1"/>
  <c r="V25" a="1"/>
  <c r="V25" s="1"/>
  <c r="U25" a="1"/>
  <c r="U25" s="1"/>
  <c r="T25" a="1"/>
  <c r="T25" s="1"/>
  <c r="R25" a="1"/>
  <c r="R25" s="1"/>
  <c r="Q25" a="1"/>
  <c r="Q25" s="1"/>
  <c r="P25" a="1"/>
  <c r="P25" s="1"/>
  <c r="O25" a="1"/>
  <c r="O25" s="1"/>
  <c r="N25" a="1"/>
  <c r="N25" s="1"/>
  <c r="M25" a="1"/>
  <c r="M25" s="1"/>
  <c r="V24" a="1"/>
  <c r="V24" s="1"/>
  <c r="U24" a="1"/>
  <c r="U24" s="1"/>
  <c r="T24" a="1"/>
  <c r="T24" s="1"/>
  <c r="R24" a="1"/>
  <c r="R24" s="1"/>
  <c r="Q24" a="1"/>
  <c r="Q24" s="1"/>
  <c r="P24" a="1"/>
  <c r="P24" s="1"/>
  <c r="O24" a="1"/>
  <c r="O24" s="1"/>
  <c r="N24" a="1"/>
  <c r="N24" s="1"/>
  <c r="M24" a="1"/>
  <c r="M24" s="1"/>
  <c r="V23" a="1"/>
  <c r="V23" s="1"/>
  <c r="U23" a="1"/>
  <c r="U23" s="1"/>
  <c r="T23" a="1"/>
  <c r="T23" s="1"/>
  <c r="R23" a="1"/>
  <c r="R23" s="1"/>
  <c r="Q23" a="1"/>
  <c r="Q23" s="1"/>
  <c r="P23" a="1"/>
  <c r="P23" s="1"/>
  <c r="O23" a="1"/>
  <c r="O23" s="1"/>
  <c r="N23" a="1"/>
  <c r="N23" s="1"/>
  <c r="M23" a="1"/>
  <c r="M23" s="1"/>
  <c r="V22" a="1"/>
  <c r="V22" s="1"/>
  <c r="U22" a="1"/>
  <c r="U22" s="1"/>
  <c r="T22" a="1"/>
  <c r="T22" s="1"/>
  <c r="R22" a="1"/>
  <c r="R22" s="1"/>
  <c r="Q22" a="1"/>
  <c r="Q22" s="1"/>
  <c r="P22" a="1"/>
  <c r="P22" s="1"/>
  <c r="O22" a="1"/>
  <c r="O22" s="1"/>
  <c r="N22" a="1"/>
  <c r="N22" s="1"/>
  <c r="M22" a="1"/>
  <c r="M22" s="1"/>
  <c r="V21" a="1"/>
  <c r="V21" s="1"/>
  <c r="U21" a="1"/>
  <c r="U21" s="1"/>
  <c r="T21" a="1"/>
  <c r="T21" s="1"/>
  <c r="R21" a="1"/>
  <c r="R21" s="1"/>
  <c r="Q21" a="1"/>
  <c r="Q21" s="1"/>
  <c r="P21" a="1"/>
  <c r="P21" s="1"/>
  <c r="O21" a="1"/>
  <c r="O21" s="1"/>
  <c r="N21" a="1"/>
  <c r="N21" s="1"/>
  <c r="M21" a="1"/>
  <c r="M21" s="1"/>
  <c r="V20" a="1"/>
  <c r="V20" s="1"/>
  <c r="U20" a="1"/>
  <c r="U20" s="1"/>
  <c r="T20" a="1"/>
  <c r="T20" s="1"/>
  <c r="R20" a="1"/>
  <c r="R20" s="1"/>
  <c r="Q20" a="1"/>
  <c r="Q20" s="1"/>
  <c r="P20" a="1"/>
  <c r="P20" s="1"/>
  <c r="O20" a="1"/>
  <c r="O20" s="1"/>
  <c r="N20" a="1"/>
  <c r="N20" s="1"/>
  <c r="M20" a="1"/>
  <c r="M20" s="1"/>
  <c r="V19" a="1"/>
  <c r="V19" s="1"/>
  <c r="U19" a="1"/>
  <c r="U19" s="1"/>
  <c r="T19" a="1"/>
  <c r="T19" s="1"/>
  <c r="R19" a="1"/>
  <c r="R19" s="1"/>
  <c r="Q19" a="1"/>
  <c r="Q19" s="1"/>
  <c r="P19" a="1"/>
  <c r="P19" s="1"/>
  <c r="O19" a="1"/>
  <c r="O19" s="1"/>
  <c r="N19" a="1"/>
  <c r="N19" s="1"/>
  <c r="M19" a="1"/>
  <c r="M19" s="1"/>
  <c r="V18" a="1"/>
  <c r="V18" s="1"/>
  <c r="U18" a="1"/>
  <c r="U18" s="1"/>
  <c r="T18" a="1"/>
  <c r="T18" s="1"/>
  <c r="R18" a="1"/>
  <c r="R18" s="1"/>
  <c r="Q18" a="1"/>
  <c r="Q18" s="1"/>
  <c r="P18" a="1"/>
  <c r="P18" s="1"/>
  <c r="O18" a="1"/>
  <c r="O18" s="1"/>
  <c r="N18" a="1"/>
  <c r="N18" s="1"/>
  <c r="M18" a="1"/>
  <c r="M18" s="1"/>
  <c r="V17" a="1"/>
  <c r="V17" s="1"/>
  <c r="U17" a="1"/>
  <c r="U17" s="1"/>
  <c r="T17" a="1"/>
  <c r="T17" s="1"/>
  <c r="R17" a="1"/>
  <c r="R17" s="1"/>
  <c r="Q17" a="1"/>
  <c r="Q17" s="1"/>
  <c r="P17" a="1"/>
  <c r="P17" s="1"/>
  <c r="O17" a="1"/>
  <c r="O17" s="1"/>
  <c r="N17" a="1"/>
  <c r="N17" s="1"/>
  <c r="M17" a="1"/>
  <c r="M17" s="1"/>
  <c r="V16" a="1"/>
  <c r="V16" s="1"/>
  <c r="U16" a="1"/>
  <c r="U16" s="1"/>
  <c r="T16" a="1"/>
  <c r="T16" s="1"/>
  <c r="R16" a="1"/>
  <c r="R16" s="1"/>
  <c r="Q16" a="1"/>
  <c r="Q16" s="1"/>
  <c r="P16" a="1"/>
  <c r="P16" s="1"/>
  <c r="O16" a="1"/>
  <c r="O16" s="1"/>
  <c r="N16" a="1"/>
  <c r="N16" s="1"/>
  <c r="M16" a="1"/>
  <c r="M16" s="1"/>
  <c r="V15" a="1"/>
  <c r="V15" s="1"/>
  <c r="U15" a="1"/>
  <c r="U15" s="1"/>
  <c r="T15" a="1"/>
  <c r="T15" s="1"/>
  <c r="R15" a="1"/>
  <c r="R15" s="1"/>
  <c r="Q15" a="1"/>
  <c r="Q15" s="1"/>
  <c r="P15" a="1"/>
  <c r="P15" s="1"/>
  <c r="O15" a="1"/>
  <c r="O15" s="1"/>
  <c r="N15" a="1"/>
  <c r="N15" s="1"/>
  <c r="M15" a="1"/>
  <c r="M15" s="1"/>
  <c r="V14" a="1"/>
  <c r="V14" s="1"/>
  <c r="U14" a="1"/>
  <c r="U14" s="1"/>
  <c r="T14" a="1"/>
  <c r="T14" s="1"/>
  <c r="R14" a="1"/>
  <c r="R14" s="1"/>
  <c r="Q14" a="1"/>
  <c r="Q14" s="1"/>
  <c r="P14" a="1"/>
  <c r="P14" s="1"/>
  <c r="O14" a="1"/>
  <c r="O14" s="1"/>
  <c r="N14" a="1"/>
  <c r="N14" s="1"/>
  <c r="M14" a="1"/>
  <c r="M14" s="1"/>
  <c r="V13" a="1"/>
  <c r="V13" s="1"/>
  <c r="U13" a="1"/>
  <c r="U13" s="1"/>
  <c r="T13" a="1"/>
  <c r="T13" s="1"/>
  <c r="R13" a="1"/>
  <c r="R13" s="1"/>
  <c r="Q13" a="1"/>
  <c r="Q13" s="1"/>
  <c r="P13" a="1"/>
  <c r="P13" s="1"/>
  <c r="O13" a="1"/>
  <c r="O13" s="1"/>
  <c r="N13" a="1"/>
  <c r="N13" s="1"/>
  <c r="M13" a="1"/>
  <c r="M13" s="1"/>
  <c r="V12" a="1"/>
  <c r="V12" s="1"/>
  <c r="U12" a="1"/>
  <c r="U12" s="1"/>
  <c r="T12" a="1"/>
  <c r="T12" s="1"/>
  <c r="R12" a="1"/>
  <c r="R12" s="1"/>
  <c r="Q12" a="1"/>
  <c r="Q12" s="1"/>
  <c r="P12" a="1"/>
  <c r="P12" s="1"/>
  <c r="O12" a="1"/>
  <c r="O12" s="1"/>
  <c r="N12" a="1"/>
  <c r="N12" s="1"/>
  <c r="M12" a="1"/>
  <c r="M12" s="1"/>
  <c r="V11" a="1"/>
  <c r="V11" s="1"/>
  <c r="U11" a="1"/>
  <c r="U11" s="1"/>
  <c r="T11" a="1"/>
  <c r="T11" s="1"/>
  <c r="R11" a="1"/>
  <c r="R11" s="1"/>
  <c r="Q11" a="1"/>
  <c r="Q11" s="1"/>
  <c r="P11" a="1"/>
  <c r="P11" s="1"/>
  <c r="O11" a="1"/>
  <c r="O11" s="1"/>
  <c r="N11" a="1"/>
  <c r="N11" s="1"/>
  <c r="M11" a="1"/>
  <c r="M11" s="1"/>
  <c r="V10" a="1"/>
  <c r="V10" s="1"/>
  <c r="U10" a="1"/>
  <c r="U10" s="1"/>
  <c r="T10" a="1"/>
  <c r="T10" s="1"/>
  <c r="R10" a="1"/>
  <c r="R10" s="1"/>
  <c r="Q10" a="1"/>
  <c r="Q10" s="1"/>
  <c r="P10" a="1"/>
  <c r="P10" s="1"/>
  <c r="O10" a="1"/>
  <c r="O10" s="1"/>
  <c r="N10" a="1"/>
  <c r="N10" s="1"/>
  <c r="M10" a="1"/>
  <c r="M10" s="1"/>
  <c r="U3" i="35"/>
  <c r="U4"/>
  <c r="U5"/>
  <c r="U6"/>
  <c r="U7"/>
  <c r="V7" i="37"/>
  <c r="G7"/>
  <c r="H7"/>
  <c r="I7"/>
  <c r="J7"/>
  <c r="K7"/>
  <c r="L7"/>
  <c r="V17" i="35"/>
  <c r="V1"/>
  <c r="BO12" i="37" l="1" a="1"/>
  <c r="BO12" s="1"/>
  <c r="BO11" a="1"/>
  <c r="BO11" s="1"/>
  <c r="H35"/>
  <c r="H34"/>
  <c r="H39"/>
  <c r="F11" i="30"/>
  <c r="G11"/>
  <c r="H11"/>
  <c r="L11"/>
  <c r="A1"/>
  <c r="N7" i="37"/>
  <c r="O7"/>
  <c r="P7"/>
  <c r="Q7"/>
  <c r="R7"/>
  <c r="S7"/>
  <c r="T7"/>
  <c r="U7"/>
  <c r="M7"/>
  <c r="B17" i="35"/>
  <c r="C17"/>
  <c r="D17"/>
  <c r="E17"/>
  <c r="F17"/>
  <c r="G17"/>
  <c r="H17"/>
  <c r="I17"/>
  <c r="J17"/>
  <c r="K17"/>
  <c r="L17"/>
  <c r="M17"/>
  <c r="N17"/>
  <c r="O17"/>
  <c r="P17"/>
  <c r="Q17"/>
  <c r="T17"/>
  <c r="U17"/>
  <c r="A17"/>
  <c r="BO13" i="37" l="1" a="1"/>
  <c r="BO13" s="1"/>
  <c r="BO14" a="1"/>
  <c r="BO14" s="1"/>
  <c r="H11" i="25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0"/>
  <c r="H9"/>
  <c r="H8"/>
  <c r="H7"/>
  <c r="H6"/>
  <c r="H5"/>
  <c r="H4"/>
  <c r="H3"/>
  <c r="BO15" i="37" l="1" a="1"/>
  <c r="BO15" s="1"/>
  <c r="M29" i="25"/>
  <c r="BO16" i="37" l="1" a="1"/>
  <c r="BO16" s="1"/>
  <c r="M28" i="25"/>
  <c r="BO17" i="37" l="1" a="1"/>
  <c r="BO17" s="1"/>
  <c r="H1" i="25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1"/>
  <c r="B10"/>
  <c r="B9"/>
  <c r="B8"/>
  <c r="B7"/>
  <c r="B6"/>
  <c r="B5"/>
  <c r="B4"/>
  <c r="B3"/>
  <c r="B31" i="28"/>
  <c r="BO18" i="37" l="1" a="1"/>
  <c r="BO18" s="1"/>
  <c r="I99" i="25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C1"/>
  <c r="M5"/>
  <c r="B10" i="23" a="1"/>
  <c r="B10" s="1"/>
  <c r="B11" s="1" a="1"/>
  <c r="B11" s="1"/>
  <c r="A9"/>
  <c r="AJ76" i="31"/>
  <c r="AJ77"/>
  <c r="AK76"/>
  <c r="AC76" s="1"/>
  <c r="AK77"/>
  <c r="AC77" s="1"/>
  <c r="BO19" i="37" l="1" a="1"/>
  <c r="BO19" s="1"/>
  <c r="AL76" i="31"/>
  <c r="AF76" s="1"/>
  <c r="AL77"/>
  <c r="AI77" s="1"/>
  <c r="B12" i="23" a="1"/>
  <c r="B12" s="1"/>
  <c r="AB76" i="31"/>
  <c r="AB77"/>
  <c r="BO20" i="37" l="1" a="1"/>
  <c r="BO20" s="1"/>
  <c r="AG76" i="31"/>
  <c r="AI76"/>
  <c r="AF77"/>
  <c r="AG77"/>
  <c r="AE76"/>
  <c r="AH76"/>
  <c r="AD76"/>
  <c r="AE77"/>
  <c r="AH77"/>
  <c r="AD77"/>
  <c r="B13" i="23" a="1"/>
  <c r="B13" s="1"/>
  <c r="BO21" i="37" l="1" a="1"/>
  <c r="BO21" s="1"/>
  <c r="BO22" s="1" a="1"/>
  <c r="BO22" s="1"/>
  <c r="BO23" s="1" a="1"/>
  <c r="BO23" s="1"/>
  <c r="BO24" s="1" a="1"/>
  <c r="BO24" s="1"/>
  <c r="BO25" s="1" a="1"/>
  <c r="BO25" s="1"/>
  <c r="BO26" s="1" a="1"/>
  <c r="BO26" s="1"/>
  <c r="BO27" s="1" a="1"/>
  <c r="BO27" s="1"/>
  <c r="BO28" s="1" a="1"/>
  <c r="BO28" s="1"/>
  <c r="BO29" s="1" a="1"/>
  <c r="BO29" s="1"/>
  <c r="BO30" s="1" a="1"/>
  <c r="BO30" s="1"/>
  <c r="BO31" s="1" a="1"/>
  <c r="BO31" s="1"/>
  <c r="BO32" s="1" a="1"/>
  <c r="BO32" s="1"/>
  <c r="BO33" s="1" a="1"/>
  <c r="BO33" s="1"/>
  <c r="BO34" s="1" a="1"/>
  <c r="BO34" s="1"/>
  <c r="BO35" s="1" a="1"/>
  <c r="BO35" s="1"/>
  <c r="BO36" s="1" a="1"/>
  <c r="BO36" s="1"/>
  <c r="BO37" s="1" a="1"/>
  <c r="BO37" s="1"/>
  <c r="BO38" s="1" a="1"/>
  <c r="BO38" s="1"/>
  <c r="BO39" s="1" a="1"/>
  <c r="BO39" s="1"/>
  <c r="BO40" s="1" a="1"/>
  <c r="BO40" s="1"/>
  <c r="BO41" s="1" a="1"/>
  <c r="BO41" s="1"/>
  <c r="BO42" s="1" a="1"/>
  <c r="BO42" s="1"/>
  <c r="BO43" s="1" a="1"/>
  <c r="BO43" s="1"/>
  <c r="BO44" s="1" a="1"/>
  <c r="BO44" s="1"/>
  <c r="BO45" s="1" a="1"/>
  <c r="BO45" s="1"/>
  <c r="BO46" s="1" a="1"/>
  <c r="BO46" s="1"/>
  <c r="BO47" s="1" a="1"/>
  <c r="BO47" s="1"/>
  <c r="BO48" s="1" a="1"/>
  <c r="BO48" s="1"/>
  <c r="BO49" s="1" a="1"/>
  <c r="BO49" s="1"/>
  <c r="BO50" s="1" a="1"/>
  <c r="BO50" s="1"/>
  <c r="BO51" s="1" a="1"/>
  <c r="BO51" s="1"/>
  <c r="BO52" s="1" a="1"/>
  <c r="BO52" s="1"/>
  <c r="BO53" s="1" a="1"/>
  <c r="BO53" s="1"/>
  <c r="BO54" s="1" a="1"/>
  <c r="BO54" s="1"/>
  <c r="BO55" s="1" a="1"/>
  <c r="BO55" s="1"/>
  <c r="BO56" s="1" a="1"/>
  <c r="BO56" s="1"/>
  <c r="BO57" s="1" a="1"/>
  <c r="BO57" s="1"/>
  <c r="BO58" s="1" a="1"/>
  <c r="BO58" s="1"/>
  <c r="BO59" s="1" a="1"/>
  <c r="BO59" s="1"/>
  <c r="BO60" s="1" a="1"/>
  <c r="BO60" s="1"/>
  <c r="BO61" s="1" a="1"/>
  <c r="BO61" s="1"/>
  <c r="BO62" s="1" a="1"/>
  <c r="BO62" s="1"/>
  <c r="BO63" s="1" a="1"/>
  <c r="BO63" s="1"/>
  <c r="BO64" s="1" a="1"/>
  <c r="BO64" s="1"/>
  <c r="BO65" s="1" a="1"/>
  <c r="BO65" s="1"/>
  <c r="BO66" s="1" a="1"/>
  <c r="BO66" s="1"/>
  <c r="BO67" s="1" a="1"/>
  <c r="BO67" s="1"/>
  <c r="BO68" s="1" a="1"/>
  <c r="BO68" s="1"/>
  <c r="BO69" s="1" a="1"/>
  <c r="BO69" s="1"/>
  <c r="BO70" s="1" a="1"/>
  <c r="BO70" s="1"/>
  <c r="BO71" s="1" a="1"/>
  <c r="BO71" s="1"/>
  <c r="BO72" s="1" a="1"/>
  <c r="BO72" s="1"/>
  <c r="BO73" s="1" a="1"/>
  <c r="BO73" s="1"/>
  <c r="BO74" s="1" a="1"/>
  <c r="BO74" s="1"/>
  <c r="BO75" s="1" a="1"/>
  <c r="BO75" s="1"/>
  <c r="BO76" s="1" a="1"/>
  <c r="BO76" s="1"/>
  <c r="BO77" s="1" a="1"/>
  <c r="BO77" s="1"/>
  <c r="BO78" s="1" a="1"/>
  <c r="BO78" s="1"/>
  <c r="BO79" s="1" a="1"/>
  <c r="BO79" s="1"/>
  <c r="BO80" s="1" a="1"/>
  <c r="BO80" s="1"/>
  <c r="BO81" s="1" a="1"/>
  <c r="BO81" s="1"/>
  <c r="BO82" s="1" a="1"/>
  <c r="BO82" s="1"/>
  <c r="BO83" s="1" a="1"/>
  <c r="BO83" s="1"/>
  <c r="BO84" s="1" a="1"/>
  <c r="BO84" s="1"/>
  <c r="BO85" s="1" a="1"/>
  <c r="BO85" s="1"/>
  <c r="BO86" s="1" a="1"/>
  <c r="BO86" s="1"/>
  <c r="BO87" s="1" a="1"/>
  <c r="BO87" s="1"/>
  <c r="BO88" s="1" a="1"/>
  <c r="BO88" s="1"/>
  <c r="BO89" s="1" a="1"/>
  <c r="BO89" s="1"/>
  <c r="BO90" s="1" a="1"/>
  <c r="BO90" s="1"/>
  <c r="BO91" s="1" a="1"/>
  <c r="BO91" s="1"/>
  <c r="BO92" s="1" a="1"/>
  <c r="BO92" s="1"/>
  <c r="BO93" s="1" a="1"/>
  <c r="BO93" s="1"/>
  <c r="BO94" s="1" a="1"/>
  <c r="BO94" s="1"/>
  <c r="BO95" s="1" a="1"/>
  <c r="BO95" s="1"/>
  <c r="BO96" s="1" a="1"/>
  <c r="BO96" s="1"/>
  <c r="BO97" s="1" a="1"/>
  <c r="BO97" s="1"/>
  <c r="BO98" s="1" a="1"/>
  <c r="BO98" s="1"/>
  <c r="BO99" s="1" a="1"/>
  <c r="BO99" s="1"/>
  <c r="BO100" s="1" a="1"/>
  <c r="BO100" s="1"/>
  <c r="BO101" s="1" a="1"/>
  <c r="BO101" s="1"/>
  <c r="BO102" s="1" a="1"/>
  <c r="BO102" s="1"/>
  <c r="BO103" s="1" a="1"/>
  <c r="BO103" s="1"/>
  <c r="BO104" s="1" a="1"/>
  <c r="BO104" s="1"/>
  <c r="BO105" s="1" a="1"/>
  <c r="BO105" s="1"/>
  <c r="BO106" s="1" a="1"/>
  <c r="BO106" s="1"/>
  <c r="BO107" s="1" a="1"/>
  <c r="BO107" s="1"/>
  <c r="BO108" s="1" a="1"/>
  <c r="BO108" s="1"/>
  <c r="BO109" s="1" a="1"/>
  <c r="BO109" s="1"/>
  <c r="BO110" s="1" a="1"/>
  <c r="BO110" s="1"/>
  <c r="BO111" s="1" a="1"/>
  <c r="BO111" s="1"/>
  <c r="BO112" s="1" a="1"/>
  <c r="BO112" s="1"/>
  <c r="BO113" s="1" a="1"/>
  <c r="BO113" s="1"/>
  <c r="BO114" s="1" a="1"/>
  <c r="BO114" s="1"/>
  <c r="BO115" s="1" a="1"/>
  <c r="BO115" s="1"/>
  <c r="BO116" s="1" a="1"/>
  <c r="BO116" s="1"/>
  <c r="BO117" s="1" a="1"/>
  <c r="BO117" s="1"/>
  <c r="BO118" s="1" a="1"/>
  <c r="BO118" s="1"/>
  <c r="BO119" s="1" a="1"/>
  <c r="BO119" s="1"/>
  <c r="BO120" s="1" a="1"/>
  <c r="BO120" s="1"/>
  <c r="BO121" s="1" a="1"/>
  <c r="BO121" s="1"/>
  <c r="BO122" s="1" a="1"/>
  <c r="BO122" s="1"/>
  <c r="BO123" s="1" a="1"/>
  <c r="BO123" s="1"/>
  <c r="BO124" s="1" a="1"/>
  <c r="BO124" s="1"/>
  <c r="BO125" s="1" a="1"/>
  <c r="BO125" s="1"/>
  <c r="BO126" s="1" a="1"/>
  <c r="BO126" s="1"/>
  <c r="BO127" s="1" a="1"/>
  <c r="BO127" s="1"/>
  <c r="BO128" s="1" a="1"/>
  <c r="BO128" s="1"/>
  <c r="BO129" s="1" a="1"/>
  <c r="BO129" s="1"/>
  <c r="BO130" s="1" a="1"/>
  <c r="BO130" s="1"/>
  <c r="BO131" s="1" a="1"/>
  <c r="BO131" s="1"/>
  <c r="BO132" s="1" a="1"/>
  <c r="BO132" s="1"/>
  <c r="BO133" s="1" a="1"/>
  <c r="BO133" s="1"/>
  <c r="BO134" s="1" a="1"/>
  <c r="BO134" s="1"/>
  <c r="BO135" s="1" a="1"/>
  <c r="BO135" s="1"/>
  <c r="BO136" s="1" a="1"/>
  <c r="BO136" s="1"/>
  <c r="BO137" s="1" a="1"/>
  <c r="BO137" s="1"/>
  <c r="BO138" s="1" a="1"/>
  <c r="BO138" s="1"/>
  <c r="BO139" s="1" a="1"/>
  <c r="BO139" s="1"/>
  <c r="BO140" s="1" a="1"/>
  <c r="BO140" s="1"/>
  <c r="BO141" s="1" a="1"/>
  <c r="BO141" s="1"/>
  <c r="BO142" s="1" a="1"/>
  <c r="BO142" s="1"/>
  <c r="BO143" s="1" a="1"/>
  <c r="BO143" s="1"/>
  <c r="BO144" s="1" a="1"/>
  <c r="BO144" s="1"/>
  <c r="BO145" s="1" a="1"/>
  <c r="BO145" s="1"/>
  <c r="BO146" s="1" a="1"/>
  <c r="BO146" s="1"/>
  <c r="BO147" s="1" a="1"/>
  <c r="BO147" s="1"/>
  <c r="BO148" s="1" a="1"/>
  <c r="BO148" s="1"/>
  <c r="BO149" s="1" a="1"/>
  <c r="BO149" s="1"/>
  <c r="BO150" s="1" a="1"/>
  <c r="BO150" s="1"/>
  <c r="BO151" s="1" a="1"/>
  <c r="BO151" s="1"/>
  <c r="BO152" s="1" a="1"/>
  <c r="BO152" s="1"/>
  <c r="BO153" s="1" a="1"/>
  <c r="BO153" s="1"/>
  <c r="BO154" s="1" a="1"/>
  <c r="BO154" s="1"/>
  <c r="BO155" s="1" a="1"/>
  <c r="BO155" s="1"/>
  <c r="BO156" s="1" a="1"/>
  <c r="BO156" s="1"/>
  <c r="BO157" s="1" a="1"/>
  <c r="BO157" s="1"/>
  <c r="BO158" s="1" a="1"/>
  <c r="BO158" s="1"/>
  <c r="BO159" s="1" a="1"/>
  <c r="BO159" s="1"/>
  <c r="BO160" s="1" a="1"/>
  <c r="BO160" s="1"/>
  <c r="BO161" s="1" a="1"/>
  <c r="BO161" s="1"/>
  <c r="BO162" s="1" a="1"/>
  <c r="BO162" s="1"/>
  <c r="BO163" s="1" a="1"/>
  <c r="BO163" s="1"/>
  <c r="BO164" s="1" a="1"/>
  <c r="BO164" s="1"/>
  <c r="BO165" s="1" a="1"/>
  <c r="BO165" s="1"/>
  <c r="BO166" s="1" a="1"/>
  <c r="BO166" s="1"/>
  <c r="BO167" s="1" a="1"/>
  <c r="BO167" s="1"/>
  <c r="BO168" s="1" a="1"/>
  <c r="BO168" s="1"/>
  <c r="BO169" s="1" a="1"/>
  <c r="BO169" s="1"/>
  <c r="BO170" s="1" a="1"/>
  <c r="BO170" s="1"/>
  <c r="BO171" s="1" a="1"/>
  <c r="BO171" s="1"/>
  <c r="BO172" s="1" a="1"/>
  <c r="BO172" s="1"/>
  <c r="BO173" s="1" a="1"/>
  <c r="BO173" s="1"/>
  <c r="BO174" s="1" a="1"/>
  <c r="BO174" s="1"/>
  <c r="BO175" s="1" a="1"/>
  <c r="BO175" s="1"/>
  <c r="BO176" s="1" a="1"/>
  <c r="BO176" s="1"/>
  <c r="BO177" s="1" a="1"/>
  <c r="BO177" s="1"/>
  <c r="BO178" s="1" a="1"/>
  <c r="BO178" s="1"/>
  <c r="BO179" s="1" a="1"/>
  <c r="BO179" s="1"/>
  <c r="BO180" s="1" a="1"/>
  <c r="BO180" s="1"/>
  <c r="BO181" s="1" a="1"/>
  <c r="BO181" s="1"/>
  <c r="BO182" s="1" a="1"/>
  <c r="BO182" s="1"/>
  <c r="BO183" s="1" a="1"/>
  <c r="BO183" s="1"/>
  <c r="BO184" s="1" a="1"/>
  <c r="BO184" s="1"/>
  <c r="BO185" s="1" a="1"/>
  <c r="BO185" s="1"/>
  <c r="BO186" s="1" a="1"/>
  <c r="BO186" s="1"/>
  <c r="BO187" s="1" a="1"/>
  <c r="BO187" s="1"/>
  <c r="BO188" s="1" a="1"/>
  <c r="BO188" s="1"/>
  <c r="BO189" s="1" a="1"/>
  <c r="BO189" s="1"/>
  <c r="BO190" s="1" a="1"/>
  <c r="BO190" s="1"/>
  <c r="BO191" s="1" a="1"/>
  <c r="BO191" s="1"/>
  <c r="BO192" s="1" a="1"/>
  <c r="BO192" s="1"/>
  <c r="BO193" s="1" a="1"/>
  <c r="BO193" s="1"/>
  <c r="BO194" s="1" a="1"/>
  <c r="BO194" s="1"/>
  <c r="BO195" s="1" a="1"/>
  <c r="BO195" s="1"/>
  <c r="BO196" s="1" a="1"/>
  <c r="BO196" s="1"/>
  <c r="BO197" s="1" a="1"/>
  <c r="BO197" s="1"/>
  <c r="BO198" s="1" a="1"/>
  <c r="BO198" s="1"/>
  <c r="BO199" s="1" a="1"/>
  <c r="BO199" s="1"/>
  <c r="BO200" s="1" a="1"/>
  <c r="BO200" s="1"/>
  <c r="BO201" s="1" a="1"/>
  <c r="BO201" s="1"/>
  <c r="BO202" s="1" a="1"/>
  <c r="BO202" s="1"/>
  <c r="BO203" s="1" a="1"/>
  <c r="BO203" s="1"/>
  <c r="BO204" s="1" a="1"/>
  <c r="BO204" s="1"/>
  <c r="BO205" s="1" a="1"/>
  <c r="BO205" s="1"/>
  <c r="BO206" s="1" a="1"/>
  <c r="BO206" s="1"/>
  <c r="BO207" s="1" a="1"/>
  <c r="BO207" s="1"/>
  <c r="BO208" s="1" a="1"/>
  <c r="BO208" s="1"/>
  <c r="BO209" s="1" a="1"/>
  <c r="BO209" s="1"/>
  <c r="BO210" s="1" a="1"/>
  <c r="BO210" s="1"/>
  <c r="BO211" s="1" a="1"/>
  <c r="BO211" s="1"/>
  <c r="BO212" s="1" a="1"/>
  <c r="BO212" s="1"/>
  <c r="BO213" s="1" a="1"/>
  <c r="BO213" s="1"/>
  <c r="BO214" s="1" a="1"/>
  <c r="BO214" s="1"/>
  <c r="BO215" s="1" a="1"/>
  <c r="BO215" s="1"/>
  <c r="BO216" s="1" a="1"/>
  <c r="BO216" s="1"/>
  <c r="BO217" s="1" a="1"/>
  <c r="BO217" s="1"/>
  <c r="BO218" s="1" a="1"/>
  <c r="BO218" s="1"/>
  <c r="BO219" s="1" a="1"/>
  <c r="BO219" s="1"/>
  <c r="BO220" s="1" a="1"/>
  <c r="BO220" s="1"/>
  <c r="BO221" s="1" a="1"/>
  <c r="BO221" s="1"/>
  <c r="BO222" s="1" a="1"/>
  <c r="BO222" s="1"/>
  <c r="BO223" s="1" a="1"/>
  <c r="BO223" s="1"/>
  <c r="BO224" s="1" a="1"/>
  <c r="BO224" s="1"/>
  <c r="BO225" s="1" a="1"/>
  <c r="BO225" s="1"/>
  <c r="BO226" s="1" a="1"/>
  <c r="BO226" s="1"/>
  <c r="BO227" s="1" a="1"/>
  <c r="BO227" s="1"/>
  <c r="BO228" s="1" a="1"/>
  <c r="BO228" s="1"/>
  <c r="BO229" s="1" a="1"/>
  <c r="BO229" s="1"/>
  <c r="BO230" s="1" a="1"/>
  <c r="BO230" s="1"/>
  <c r="BO231" s="1" a="1"/>
  <c r="BO231" s="1"/>
  <c r="BO232" s="1" a="1"/>
  <c r="BO232" s="1"/>
  <c r="BO233" s="1" a="1"/>
  <c r="BO233" s="1"/>
  <c r="BO234" s="1" a="1"/>
  <c r="BO234" s="1"/>
  <c r="BO235" s="1" a="1"/>
  <c r="BO235" s="1"/>
  <c r="BO236" s="1" a="1"/>
  <c r="BO236" s="1"/>
  <c r="BO237" s="1" a="1"/>
  <c r="BO237" s="1"/>
  <c r="BO238" s="1" a="1"/>
  <c r="BO238" s="1"/>
  <c r="BO239" s="1" a="1"/>
  <c r="BO239" s="1"/>
  <c r="BO240" s="1" a="1"/>
  <c r="BO240" s="1"/>
  <c r="BO241" s="1" a="1"/>
  <c r="BO241" s="1"/>
  <c r="BO242" s="1" a="1"/>
  <c r="BO242" s="1"/>
  <c r="BO243" s="1" a="1"/>
  <c r="BO243" s="1"/>
  <c r="BO244" s="1" a="1"/>
  <c r="BO244" s="1"/>
  <c r="BO245" s="1" a="1"/>
  <c r="BO245" s="1"/>
  <c r="BO246" s="1" a="1"/>
  <c r="BO246" s="1"/>
  <c r="BO247" s="1" a="1"/>
  <c r="BO247" s="1"/>
  <c r="BO248" s="1" a="1"/>
  <c r="BO248" s="1"/>
  <c r="BO249" s="1" a="1"/>
  <c r="BO249" s="1"/>
  <c r="BO250" s="1" a="1"/>
  <c r="BO250" s="1"/>
  <c r="B14" i="23" a="1"/>
  <c r="B14" s="1"/>
  <c r="B15" l="1" a="1"/>
  <c r="B15" s="1"/>
  <c r="B16" l="1" a="1"/>
  <c r="B16" s="1"/>
  <c r="B17" s="1" a="1"/>
  <c r="B17" s="1"/>
  <c r="B18" l="1" a="1"/>
  <c r="B18" s="1"/>
  <c r="F17"/>
  <c r="G17"/>
  <c r="H17"/>
  <c r="M17"/>
  <c r="I17"/>
  <c r="J17"/>
  <c r="K17"/>
  <c r="L17"/>
  <c r="N17"/>
  <c r="C17"/>
  <c r="O17" s="1"/>
  <c r="D17"/>
  <c r="E17"/>
  <c r="N14"/>
  <c r="M14"/>
  <c r="L14"/>
  <c r="K14"/>
  <c r="N11"/>
  <c r="M11"/>
  <c r="L11"/>
  <c r="K11"/>
  <c r="N10"/>
  <c r="M10"/>
  <c r="L10"/>
  <c r="K10"/>
  <c r="J16"/>
  <c r="I16"/>
  <c r="H16"/>
  <c r="G16"/>
  <c r="J15"/>
  <c r="I15"/>
  <c r="H15"/>
  <c r="G15"/>
  <c r="J13"/>
  <c r="I13"/>
  <c r="H13"/>
  <c r="G13"/>
  <c r="J12"/>
  <c r="I12"/>
  <c r="H12"/>
  <c r="G12"/>
  <c r="J11"/>
  <c r="I11"/>
  <c r="H11"/>
  <c r="G11"/>
  <c r="J10"/>
  <c r="I10"/>
  <c r="H10"/>
  <c r="G10"/>
  <c r="F16"/>
  <c r="E16"/>
  <c r="D16"/>
  <c r="C16"/>
  <c r="F15"/>
  <c r="E15"/>
  <c r="D15"/>
  <c r="C15"/>
  <c r="F14"/>
  <c r="E14"/>
  <c r="D14"/>
  <c r="C14"/>
  <c r="F13"/>
  <c r="E13"/>
  <c r="D13"/>
  <c r="C13"/>
  <c r="F12"/>
  <c r="E12"/>
  <c r="D12"/>
  <c r="C12"/>
  <c r="AK2" i="31"/>
  <c r="AC2" s="1"/>
  <c r="AK3"/>
  <c r="AC3" s="1"/>
  <c r="AK4"/>
  <c r="AC4" s="1"/>
  <c r="AK5"/>
  <c r="AC5" s="1"/>
  <c r="AK6"/>
  <c r="AC6" s="1"/>
  <c r="AK7"/>
  <c r="AC7" s="1"/>
  <c r="AK8"/>
  <c r="AK9"/>
  <c r="AK10"/>
  <c r="AC10" s="1"/>
  <c r="AK11"/>
  <c r="AC11" s="1"/>
  <c r="AK12"/>
  <c r="AK13"/>
  <c r="AK14"/>
  <c r="AC14" s="1"/>
  <c r="AK15"/>
  <c r="AC15" s="1"/>
  <c r="AK16"/>
  <c r="AC16" s="1"/>
  <c r="AK17"/>
  <c r="AC17" s="1"/>
  <c r="AK18"/>
  <c r="AC18" s="1"/>
  <c r="AK19"/>
  <c r="AC19" s="1"/>
  <c r="AK20"/>
  <c r="AC20" s="1"/>
  <c r="AK21"/>
  <c r="AK22"/>
  <c r="AC22" s="1"/>
  <c r="AK23"/>
  <c r="AC23" s="1"/>
  <c r="AK24"/>
  <c r="AC24" s="1"/>
  <c r="AK25"/>
  <c r="AC25" s="1"/>
  <c r="AK26"/>
  <c r="AC26" s="1"/>
  <c r="AK27"/>
  <c r="AC27" s="1"/>
  <c r="AK28"/>
  <c r="AC28" s="1"/>
  <c r="AK29"/>
  <c r="AC29" s="1"/>
  <c r="AK30"/>
  <c r="AC30" s="1"/>
  <c r="AK31"/>
  <c r="AC31" s="1"/>
  <c r="AK32"/>
  <c r="AC32" s="1"/>
  <c r="AK33"/>
  <c r="AC33" s="1"/>
  <c r="AK34"/>
  <c r="AC34" s="1"/>
  <c r="AK35"/>
  <c r="AC35" s="1"/>
  <c r="AK36"/>
  <c r="AC36" s="1"/>
  <c r="AK37"/>
  <c r="AC37" s="1"/>
  <c r="AK38"/>
  <c r="AC38" s="1"/>
  <c r="AK39"/>
  <c r="AC39" s="1"/>
  <c r="AK40"/>
  <c r="AC40" s="1"/>
  <c r="AK41"/>
  <c r="AC41" s="1"/>
  <c r="AK42"/>
  <c r="AC42" s="1"/>
  <c r="AK43"/>
  <c r="AC43" s="1"/>
  <c r="AK44"/>
  <c r="AC44" s="1"/>
  <c r="AK45"/>
  <c r="AC45" s="1"/>
  <c r="AK46"/>
  <c r="AC46" s="1"/>
  <c r="AK47"/>
  <c r="AC47" s="1"/>
  <c r="AK48"/>
  <c r="AC48" s="1"/>
  <c r="AK49"/>
  <c r="AC49" s="1"/>
  <c r="AK50"/>
  <c r="AC50" s="1"/>
  <c r="AK51"/>
  <c r="AC51" s="1"/>
  <c r="AK52"/>
  <c r="AC52" s="1"/>
  <c r="AK53"/>
  <c r="AC53" s="1"/>
  <c r="AK54"/>
  <c r="AC54" s="1"/>
  <c r="AK55"/>
  <c r="AC55" s="1"/>
  <c r="AK56"/>
  <c r="AC56" s="1"/>
  <c r="AK57"/>
  <c r="AC57" s="1"/>
  <c r="AK58"/>
  <c r="AC58" s="1"/>
  <c r="AK59"/>
  <c r="AC59" s="1"/>
  <c r="AK60"/>
  <c r="AC60" s="1"/>
  <c r="AK61"/>
  <c r="AC61" s="1"/>
  <c r="AK62"/>
  <c r="AC62" s="1"/>
  <c r="AK63"/>
  <c r="AC63" s="1"/>
  <c r="AK64"/>
  <c r="AC64" s="1"/>
  <c r="AK65"/>
  <c r="AC65" s="1"/>
  <c r="AK66"/>
  <c r="AC66" s="1"/>
  <c r="AK67"/>
  <c r="AC67" s="1"/>
  <c r="AK68"/>
  <c r="AC68" s="1"/>
  <c r="AK69"/>
  <c r="AC69" s="1"/>
  <c r="AK70"/>
  <c r="AC70" s="1"/>
  <c r="AK71"/>
  <c r="AC71" s="1"/>
  <c r="AK72"/>
  <c r="AC72" s="1"/>
  <c r="AK73"/>
  <c r="AC73" s="1"/>
  <c r="AK74"/>
  <c r="AC74" s="1"/>
  <c r="AK75"/>
  <c r="AC75" s="1"/>
  <c r="AJ2"/>
  <c r="AB2" s="1"/>
  <c r="AJ3"/>
  <c r="AB3" s="1"/>
  <c r="AJ4"/>
  <c r="AB4" s="1"/>
  <c r="AJ5"/>
  <c r="AJ6"/>
  <c r="AB6" s="1"/>
  <c r="AJ7"/>
  <c r="AJ8"/>
  <c r="AJ9"/>
  <c r="AB9" s="1"/>
  <c r="AJ10"/>
  <c r="AB10" s="1"/>
  <c r="AJ11"/>
  <c r="AB11" s="1"/>
  <c r="AJ12"/>
  <c r="AB12" s="1"/>
  <c r="AJ13"/>
  <c r="AJ14"/>
  <c r="AB14" s="1"/>
  <c r="AJ15"/>
  <c r="AJ16"/>
  <c r="AJ17"/>
  <c r="AB17" s="1"/>
  <c r="AJ18"/>
  <c r="AB18" s="1"/>
  <c r="AJ19"/>
  <c r="AB19" s="1"/>
  <c r="AJ20"/>
  <c r="AB20" s="1"/>
  <c r="AJ21"/>
  <c r="AL21" s="1"/>
  <c r="AG21" s="1"/>
  <c r="AJ22"/>
  <c r="AB22" s="1"/>
  <c r="AJ23"/>
  <c r="AJ24"/>
  <c r="AJ25"/>
  <c r="AB25" s="1"/>
  <c r="AJ26"/>
  <c r="AB26" s="1"/>
  <c r="AJ27"/>
  <c r="AJ28"/>
  <c r="AJ29"/>
  <c r="AJ30"/>
  <c r="AB30" s="1"/>
  <c r="AJ31"/>
  <c r="AB31" s="1"/>
  <c r="AJ32"/>
  <c r="AJ33"/>
  <c r="AL33" s="1"/>
  <c r="AG33" s="1"/>
  <c r="AJ34"/>
  <c r="AB34" s="1"/>
  <c r="AJ35"/>
  <c r="AJ36"/>
  <c r="AJ37"/>
  <c r="AB37" s="1"/>
  <c r="AJ38"/>
  <c r="AB38" s="1"/>
  <c r="AJ39"/>
  <c r="AJ40"/>
  <c r="AJ41"/>
  <c r="AB41" s="1"/>
  <c r="AJ42"/>
  <c r="AB42" s="1"/>
  <c r="AJ43"/>
  <c r="AB43" s="1"/>
  <c r="AJ44"/>
  <c r="AJ45"/>
  <c r="AB45" s="1"/>
  <c r="AJ46"/>
  <c r="AJ47"/>
  <c r="AB47" s="1"/>
  <c r="AJ48"/>
  <c r="AJ49"/>
  <c r="AJ50"/>
  <c r="AB50" s="1"/>
  <c r="AJ51"/>
  <c r="AB51" s="1"/>
  <c r="AJ52"/>
  <c r="AB52" s="1"/>
  <c r="AJ53"/>
  <c r="AJ54"/>
  <c r="AB54" s="1"/>
  <c r="AJ55"/>
  <c r="AB55" s="1"/>
  <c r="AJ56"/>
  <c r="AJ57"/>
  <c r="AJ58"/>
  <c r="AB58" s="1"/>
  <c r="AJ59"/>
  <c r="AJ60"/>
  <c r="AJ61"/>
  <c r="AJ62"/>
  <c r="AJ63"/>
  <c r="AB63" s="1"/>
  <c r="AJ64"/>
  <c r="AJ65"/>
  <c r="AJ66"/>
  <c r="AB66" s="1"/>
  <c r="AJ67"/>
  <c r="AJ68"/>
  <c r="AJ69"/>
  <c r="AB69" s="1"/>
  <c r="AJ70"/>
  <c r="AJ71"/>
  <c r="AJ72"/>
  <c r="AJ73"/>
  <c r="AJ74"/>
  <c r="AB74" s="1"/>
  <c r="AJ75"/>
  <c r="AB75" s="1"/>
  <c r="AC8"/>
  <c r="AC9"/>
  <c r="AC12"/>
  <c r="AC13"/>
  <c r="AC21"/>
  <c r="B19" i="23" l="1" a="1"/>
  <c r="B19" s="1"/>
  <c r="F18"/>
  <c r="G18"/>
  <c r="H18"/>
  <c r="M18"/>
  <c r="N18"/>
  <c r="E18"/>
  <c r="I18"/>
  <c r="J18"/>
  <c r="K18"/>
  <c r="L18"/>
  <c r="C18"/>
  <c r="D18"/>
  <c r="AL57" i="31"/>
  <c r="AG57" s="1"/>
  <c r="AL72"/>
  <c r="AH72" s="1"/>
  <c r="AL60"/>
  <c r="AH60" s="1"/>
  <c r="AL48"/>
  <c r="AH48" s="1"/>
  <c r="AL36"/>
  <c r="AH36" s="1"/>
  <c r="AL24"/>
  <c r="AH24" s="1"/>
  <c r="AL12"/>
  <c r="AH12" s="1"/>
  <c r="AL73"/>
  <c r="AI73" s="1"/>
  <c r="AL61"/>
  <c r="AI61" s="1"/>
  <c r="AL49"/>
  <c r="AI49" s="1"/>
  <c r="AL13"/>
  <c r="AI13" s="1"/>
  <c r="AL67"/>
  <c r="AF67" s="1"/>
  <c r="AL7"/>
  <c r="AF7" s="1"/>
  <c r="AL68"/>
  <c r="AF68" s="1"/>
  <c r="AL56"/>
  <c r="AF56" s="1"/>
  <c r="AL44"/>
  <c r="AF44" s="1"/>
  <c r="AL32"/>
  <c r="AF32" s="1"/>
  <c r="AL8"/>
  <c r="AF8" s="1"/>
  <c r="AB13"/>
  <c r="AL34"/>
  <c r="AI34" s="1"/>
  <c r="AL22"/>
  <c r="AF22" s="1"/>
  <c r="AL10"/>
  <c r="AE10" s="1"/>
  <c r="AF33"/>
  <c r="AF21"/>
  <c r="AB8"/>
  <c r="AL70"/>
  <c r="AL58"/>
  <c r="AL46"/>
  <c r="AE33"/>
  <c r="AE21"/>
  <c r="AD33"/>
  <c r="AD21"/>
  <c r="AI33"/>
  <c r="AI21"/>
  <c r="AL64"/>
  <c r="AL40"/>
  <c r="AL28"/>
  <c r="AL16"/>
  <c r="AH33"/>
  <c r="AH21"/>
  <c r="AB56"/>
  <c r="AL65"/>
  <c r="AL53"/>
  <c r="AL29"/>
  <c r="AL5"/>
  <c r="AB68"/>
  <c r="AB32"/>
  <c r="AL71"/>
  <c r="AL59"/>
  <c r="AL47"/>
  <c r="AL35"/>
  <c r="AL23"/>
  <c r="AL11"/>
  <c r="H6" i="23"/>
  <c r="AB44" i="31"/>
  <c r="AB73"/>
  <c r="AB16"/>
  <c r="AL62"/>
  <c r="AB72"/>
  <c r="AB48"/>
  <c r="AL39"/>
  <c r="AL27"/>
  <c r="AL15"/>
  <c r="AL3"/>
  <c r="AL43"/>
  <c r="AB28"/>
  <c r="AB60"/>
  <c r="AB49"/>
  <c r="AB61"/>
  <c r="D6" i="23"/>
  <c r="AB24" i="31"/>
  <c r="AB64"/>
  <c r="AB36"/>
  <c r="AL37"/>
  <c r="AL25"/>
  <c r="AB7"/>
  <c r="AB65"/>
  <c r="AL20"/>
  <c r="AB67"/>
  <c r="AB70"/>
  <c r="AB29"/>
  <c r="AB71"/>
  <c r="AB33"/>
  <c r="AB57"/>
  <c r="AB35"/>
  <c r="AB21"/>
  <c r="AB5"/>
  <c r="AL66"/>
  <c r="AL42"/>
  <c r="AL30"/>
  <c r="L6" i="23"/>
  <c r="AL9" i="31"/>
  <c r="AL45"/>
  <c r="AL69"/>
  <c r="AL19"/>
  <c r="AL31"/>
  <c r="AL55"/>
  <c r="AB15"/>
  <c r="AL6"/>
  <c r="AL18"/>
  <c r="AL54"/>
  <c r="AB53"/>
  <c r="AB23"/>
  <c r="AB27"/>
  <c r="AL17"/>
  <c r="AL41"/>
  <c r="AB40"/>
  <c r="AB39"/>
  <c r="AL4"/>
  <c r="AL52"/>
  <c r="AB62"/>
  <c r="AL51"/>
  <c r="AL63"/>
  <c r="AL75"/>
  <c r="AL2"/>
  <c r="AL14"/>
  <c r="AL26"/>
  <c r="AL38"/>
  <c r="AL50"/>
  <c r="AL74"/>
  <c r="AB59"/>
  <c r="AB46"/>
  <c r="G73" i="32"/>
  <c r="A73"/>
  <c r="G72"/>
  <c r="A72"/>
  <c r="G71"/>
  <c r="A71"/>
  <c r="G70"/>
  <c r="A70"/>
  <c r="G69"/>
  <c r="A69"/>
  <c r="G68"/>
  <c r="A68"/>
  <c r="G67"/>
  <c r="A67"/>
  <c r="G66"/>
  <c r="A66"/>
  <c r="G65"/>
  <c r="A65"/>
  <c r="G64"/>
  <c r="A64"/>
  <c r="G63"/>
  <c r="A63"/>
  <c r="G62"/>
  <c r="A62"/>
  <c r="G61"/>
  <c r="A61"/>
  <c r="G60"/>
  <c r="A60"/>
  <c r="G59"/>
  <c r="A59"/>
  <c r="G58"/>
  <c r="A58"/>
  <c r="G57"/>
  <c r="A57"/>
  <c r="G56"/>
  <c r="A56"/>
  <c r="G55"/>
  <c r="A55"/>
  <c r="G54"/>
  <c r="A54"/>
  <c r="G53"/>
  <c r="A53"/>
  <c r="G52"/>
  <c r="A52"/>
  <c r="G51"/>
  <c r="A51"/>
  <c r="G50"/>
  <c r="A50"/>
  <c r="G49"/>
  <c r="A49"/>
  <c r="G48"/>
  <c r="A48"/>
  <c r="G47"/>
  <c r="A47"/>
  <c r="G46"/>
  <c r="A46"/>
  <c r="G45"/>
  <c r="A45"/>
  <c r="G44"/>
  <c r="A44"/>
  <c r="G43"/>
  <c r="A43"/>
  <c r="G42"/>
  <c r="A42"/>
  <c r="G41"/>
  <c r="A41"/>
  <c r="G40"/>
  <c r="A40"/>
  <c r="G39"/>
  <c r="A39"/>
  <c r="G38"/>
  <c r="A38"/>
  <c r="G37"/>
  <c r="A37"/>
  <c r="G36"/>
  <c r="A36"/>
  <c r="G35"/>
  <c r="A35"/>
  <c r="G34"/>
  <c r="A34"/>
  <c r="G33"/>
  <c r="A33"/>
  <c r="G32"/>
  <c r="A32"/>
  <c r="G31"/>
  <c r="A31"/>
  <c r="G30"/>
  <c r="A30"/>
  <c r="G29"/>
  <c r="A29"/>
  <c r="G28"/>
  <c r="A28"/>
  <c r="G27"/>
  <c r="A27"/>
  <c r="G26"/>
  <c r="A26"/>
  <c r="G25"/>
  <c r="A25"/>
  <c r="G24"/>
  <c r="A24"/>
  <c r="G23"/>
  <c r="A23"/>
  <c r="G22"/>
  <c r="A22"/>
  <c r="G21"/>
  <c r="A21"/>
  <c r="G20"/>
  <c r="A20"/>
  <c r="G19"/>
  <c r="A19"/>
  <c r="G18"/>
  <c r="A18"/>
  <c r="G17"/>
  <c r="A17"/>
  <c r="G16"/>
  <c r="A16"/>
  <c r="B73"/>
  <c r="B72"/>
  <c r="B71"/>
  <c r="B70"/>
  <c r="B69"/>
  <c r="B68"/>
  <c r="B67"/>
  <c r="B66"/>
  <c r="B65" i="26"/>
  <c r="B64" i="32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Q35" i="31"/>
  <c r="Q34"/>
  <c r="H73" i="26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B68"/>
  <c r="A73"/>
  <c r="A72"/>
  <c r="A71"/>
  <c r="I71" s="1"/>
  <c r="A70"/>
  <c r="I70" s="1"/>
  <c r="A69"/>
  <c r="A68"/>
  <c r="A67"/>
  <c r="A66"/>
  <c r="I66" s="1"/>
  <c r="A65"/>
  <c r="I65" s="1"/>
  <c r="A64"/>
  <c r="I64" s="1"/>
  <c r="A63"/>
  <c r="I63" s="1"/>
  <c r="A62"/>
  <c r="A61"/>
  <c r="A60"/>
  <c r="A59"/>
  <c r="I59" s="1"/>
  <c r="A58"/>
  <c r="A57"/>
  <c r="A56"/>
  <c r="A55"/>
  <c r="A54"/>
  <c r="I54" s="1"/>
  <c r="A53"/>
  <c r="I53" s="1"/>
  <c r="A52"/>
  <c r="I52" s="1"/>
  <c r="A51"/>
  <c r="I51" s="1"/>
  <c r="A50"/>
  <c r="A49"/>
  <c r="A48"/>
  <c r="A47"/>
  <c r="A46"/>
  <c r="I46" s="1"/>
  <c r="A45"/>
  <c r="A44"/>
  <c r="A43"/>
  <c r="A42"/>
  <c r="I42" s="1"/>
  <c r="A41"/>
  <c r="I41" s="1"/>
  <c r="A40"/>
  <c r="I40" s="1"/>
  <c r="A39"/>
  <c r="I39" s="1"/>
  <c r="A38"/>
  <c r="A37"/>
  <c r="A36"/>
  <c r="A35"/>
  <c r="A34"/>
  <c r="I34" s="1"/>
  <c r="A33"/>
  <c r="A32"/>
  <c r="A31"/>
  <c r="A30"/>
  <c r="I30" s="1"/>
  <c r="A29"/>
  <c r="I29" s="1"/>
  <c r="A28"/>
  <c r="A27"/>
  <c r="A26"/>
  <c r="A25"/>
  <c r="A24"/>
  <c r="A23"/>
  <c r="A22"/>
  <c r="A21"/>
  <c r="A20"/>
  <c r="A19"/>
  <c r="A18"/>
  <c r="A17"/>
  <c r="A16"/>
  <c r="B20" i="23" l="1" a="1"/>
  <c r="B20" s="1"/>
  <c r="F19"/>
  <c r="G19"/>
  <c r="H19"/>
  <c r="E19"/>
  <c r="I19"/>
  <c r="J19"/>
  <c r="K19"/>
  <c r="L19"/>
  <c r="M19"/>
  <c r="N19"/>
  <c r="C19"/>
  <c r="D19"/>
  <c r="O18"/>
  <c r="B69" i="26"/>
  <c r="B70"/>
  <c r="I22"/>
  <c r="AH57" i="31"/>
  <c r="AE57"/>
  <c r="AI57"/>
  <c r="AG12"/>
  <c r="AD57"/>
  <c r="AF57"/>
  <c r="I1" i="25"/>
  <c r="I27" i="26"/>
  <c r="F59"/>
  <c r="F20"/>
  <c r="I20"/>
  <c r="F49" i="32"/>
  <c r="I49"/>
  <c r="J49"/>
  <c r="K49"/>
  <c r="H49"/>
  <c r="F31" i="26"/>
  <c r="I31"/>
  <c r="F67"/>
  <c r="I67"/>
  <c r="F56"/>
  <c r="I56"/>
  <c r="F67" i="32"/>
  <c r="H67"/>
  <c r="I67"/>
  <c r="J67"/>
  <c r="K67"/>
  <c r="F55" i="26"/>
  <c r="I55"/>
  <c r="J18" i="32"/>
  <c r="K18"/>
  <c r="H18"/>
  <c r="I18"/>
  <c r="H30"/>
  <c r="I30"/>
  <c r="J30"/>
  <c r="K30"/>
  <c r="J36"/>
  <c r="K36"/>
  <c r="H36"/>
  <c r="I36"/>
  <c r="H42"/>
  <c r="J42"/>
  <c r="I42"/>
  <c r="K42"/>
  <c r="K48"/>
  <c r="I48"/>
  <c r="J48"/>
  <c r="H48"/>
  <c r="H54"/>
  <c r="I54"/>
  <c r="J54"/>
  <c r="K54"/>
  <c r="J60"/>
  <c r="K60"/>
  <c r="H60"/>
  <c r="I60"/>
  <c r="H66"/>
  <c r="J66"/>
  <c r="I66"/>
  <c r="K66"/>
  <c r="K72"/>
  <c r="I72"/>
  <c r="J72"/>
  <c r="H72"/>
  <c r="F68" i="26"/>
  <c r="I68"/>
  <c r="F43"/>
  <c r="I43"/>
  <c r="I18"/>
  <c r="F32"/>
  <c r="I32"/>
  <c r="F17" i="32"/>
  <c r="K17"/>
  <c r="H17"/>
  <c r="I17"/>
  <c r="J17"/>
  <c r="F23"/>
  <c r="J23"/>
  <c r="I23"/>
  <c r="K23"/>
  <c r="H23"/>
  <c r="F29"/>
  <c r="I29"/>
  <c r="H29"/>
  <c r="J29"/>
  <c r="K29"/>
  <c r="F35"/>
  <c r="J35"/>
  <c r="K35"/>
  <c r="H35"/>
  <c r="I35"/>
  <c r="F41"/>
  <c r="J41"/>
  <c r="I41"/>
  <c r="H41"/>
  <c r="K41"/>
  <c r="F47"/>
  <c r="J47"/>
  <c r="K47"/>
  <c r="H47"/>
  <c r="I47"/>
  <c r="F53"/>
  <c r="I53"/>
  <c r="J53"/>
  <c r="K53"/>
  <c r="H53"/>
  <c r="F59"/>
  <c r="J59"/>
  <c r="K59"/>
  <c r="H59"/>
  <c r="I59"/>
  <c r="F65"/>
  <c r="I65"/>
  <c r="J65"/>
  <c r="K65"/>
  <c r="H65"/>
  <c r="F71"/>
  <c r="J71"/>
  <c r="K71"/>
  <c r="H71"/>
  <c r="I71"/>
  <c r="I17" i="26"/>
  <c r="I16"/>
  <c r="I28"/>
  <c r="F55" i="32"/>
  <c r="H55"/>
  <c r="I55"/>
  <c r="J55"/>
  <c r="K55"/>
  <c r="F37"/>
  <c r="I37"/>
  <c r="J37"/>
  <c r="K37"/>
  <c r="H37"/>
  <c r="F73"/>
  <c r="I73"/>
  <c r="J73"/>
  <c r="K73"/>
  <c r="H73"/>
  <c r="J62" i="26"/>
  <c r="I62"/>
  <c r="F16" i="32"/>
  <c r="K16"/>
  <c r="H16"/>
  <c r="I16"/>
  <c r="J16"/>
  <c r="F22"/>
  <c r="J22"/>
  <c r="I22"/>
  <c r="K22"/>
  <c r="H22"/>
  <c r="F34"/>
  <c r="K34"/>
  <c r="H34"/>
  <c r="J34"/>
  <c r="I34"/>
  <c r="F40"/>
  <c r="K40"/>
  <c r="I40"/>
  <c r="J40"/>
  <c r="H40"/>
  <c r="F46"/>
  <c r="H46"/>
  <c r="J46"/>
  <c r="K46"/>
  <c r="I46"/>
  <c r="F52"/>
  <c r="I52"/>
  <c r="K52"/>
  <c r="J52"/>
  <c r="H52"/>
  <c r="F58"/>
  <c r="K58"/>
  <c r="H58"/>
  <c r="I58"/>
  <c r="J58"/>
  <c r="F64"/>
  <c r="K64"/>
  <c r="I64"/>
  <c r="J64"/>
  <c r="H64"/>
  <c r="F70"/>
  <c r="K70"/>
  <c r="H70"/>
  <c r="J70"/>
  <c r="I70"/>
  <c r="F19"/>
  <c r="K19"/>
  <c r="I19"/>
  <c r="J19"/>
  <c r="H19"/>
  <c r="F19" i="26"/>
  <c r="I19"/>
  <c r="J37"/>
  <c r="I37"/>
  <c r="J73"/>
  <c r="I73"/>
  <c r="F61" i="32"/>
  <c r="I61"/>
  <c r="K61"/>
  <c r="J61"/>
  <c r="H61"/>
  <c r="J50" i="26"/>
  <c r="I50"/>
  <c r="J49"/>
  <c r="I49"/>
  <c r="J61"/>
  <c r="I61"/>
  <c r="F48"/>
  <c r="I48"/>
  <c r="F60"/>
  <c r="I60"/>
  <c r="F72"/>
  <c r="I72"/>
  <c r="F21" i="32"/>
  <c r="I21"/>
  <c r="J21"/>
  <c r="K21"/>
  <c r="H21"/>
  <c r="K33"/>
  <c r="H33"/>
  <c r="I33"/>
  <c r="J33"/>
  <c r="K39"/>
  <c r="I39"/>
  <c r="J39"/>
  <c r="H39"/>
  <c r="K45"/>
  <c r="H45"/>
  <c r="I45"/>
  <c r="J45"/>
  <c r="I51"/>
  <c r="J51"/>
  <c r="K51"/>
  <c r="H51"/>
  <c r="K57"/>
  <c r="H57"/>
  <c r="I57"/>
  <c r="J57"/>
  <c r="I63"/>
  <c r="K63"/>
  <c r="J63"/>
  <c r="H63"/>
  <c r="K69"/>
  <c r="H69"/>
  <c r="I69"/>
  <c r="J69"/>
  <c r="F43"/>
  <c r="H43"/>
  <c r="I43"/>
  <c r="J43"/>
  <c r="K43"/>
  <c r="J38" i="26"/>
  <c r="I38"/>
  <c r="F36"/>
  <c r="I36"/>
  <c r="F35"/>
  <c r="I35"/>
  <c r="F47"/>
  <c r="I47"/>
  <c r="I23"/>
  <c r="F31" i="32"/>
  <c r="H31"/>
  <c r="I31"/>
  <c r="J31"/>
  <c r="K31"/>
  <c r="F58" i="26"/>
  <c r="I58"/>
  <c r="F20" i="32"/>
  <c r="I20"/>
  <c r="J20"/>
  <c r="K20"/>
  <c r="H20"/>
  <c r="F32"/>
  <c r="K32"/>
  <c r="H32"/>
  <c r="I32"/>
  <c r="J32"/>
  <c r="F38"/>
  <c r="I38"/>
  <c r="J38"/>
  <c r="K38"/>
  <c r="H38"/>
  <c r="F44"/>
  <c r="H44"/>
  <c r="I44"/>
  <c r="J44"/>
  <c r="K44"/>
  <c r="F50"/>
  <c r="K50"/>
  <c r="I50"/>
  <c r="J50"/>
  <c r="H50"/>
  <c r="F56"/>
  <c r="H56"/>
  <c r="K56"/>
  <c r="I56"/>
  <c r="J56"/>
  <c r="F62"/>
  <c r="I62"/>
  <c r="J62"/>
  <c r="K62"/>
  <c r="H62"/>
  <c r="F68"/>
  <c r="H68"/>
  <c r="K68"/>
  <c r="I68"/>
  <c r="J68"/>
  <c r="F44" i="26"/>
  <c r="I44"/>
  <c r="F21"/>
  <c r="I21"/>
  <c r="F33"/>
  <c r="I33"/>
  <c r="F45"/>
  <c r="I45"/>
  <c r="F57"/>
  <c r="I57"/>
  <c r="F69"/>
  <c r="I69"/>
  <c r="AE49" i="31"/>
  <c r="AE61"/>
  <c r="AF13"/>
  <c r="AD49"/>
  <c r="AD13"/>
  <c r="AF49"/>
  <c r="AD61"/>
  <c r="AF61"/>
  <c r="AF73"/>
  <c r="AE13"/>
  <c r="AG61"/>
  <c r="AD8"/>
  <c r="AF12"/>
  <c r="AG32"/>
  <c r="AG8"/>
  <c r="AI36"/>
  <c r="AD48"/>
  <c r="AI8"/>
  <c r="AH61"/>
  <c r="AD36"/>
  <c r="AE73"/>
  <c r="AH73"/>
  <c r="AD24"/>
  <c r="AD32"/>
  <c r="AD72"/>
  <c r="AG49"/>
  <c r="AD60"/>
  <c r="AG13"/>
  <c r="AE12"/>
  <c r="AE32"/>
  <c r="AI24"/>
  <c r="AD12"/>
  <c r="AE8"/>
  <c r="AH13"/>
  <c r="AI12"/>
  <c r="AD73"/>
  <c r="AG24"/>
  <c r="AH49"/>
  <c r="AG72"/>
  <c r="AG60"/>
  <c r="AI72"/>
  <c r="AG48"/>
  <c r="AI60"/>
  <c r="AF72"/>
  <c r="AG36"/>
  <c r="F28" i="32"/>
  <c r="H28"/>
  <c r="J28"/>
  <c r="K28"/>
  <c r="I28"/>
  <c r="AI48" i="31"/>
  <c r="AE72"/>
  <c r="AF60"/>
  <c r="AE60"/>
  <c r="AF48"/>
  <c r="AE24"/>
  <c r="K27" i="32"/>
  <c r="H27"/>
  <c r="I27"/>
  <c r="J27"/>
  <c r="AE48" i="31"/>
  <c r="AF36"/>
  <c r="F25" i="32"/>
  <c r="I25"/>
  <c r="H25"/>
  <c r="J25"/>
  <c r="K25"/>
  <c r="B73" i="26"/>
  <c r="AE36" i="31"/>
  <c r="AF24"/>
  <c r="J26" i="26"/>
  <c r="I26"/>
  <c r="F26" i="32"/>
  <c r="H26"/>
  <c r="K26"/>
  <c r="I26"/>
  <c r="J26"/>
  <c r="AI44" i="31"/>
  <c r="AE56"/>
  <c r="J25" i="26"/>
  <c r="I25"/>
  <c r="B72"/>
  <c r="B71"/>
  <c r="AI32" i="31"/>
  <c r="AG73"/>
  <c r="AE44"/>
  <c r="AH32"/>
  <c r="AH8"/>
  <c r="G6" i="23"/>
  <c r="I6" s="1"/>
  <c r="B37" i="28" s="1"/>
  <c r="AD44" i="31"/>
  <c r="AG56"/>
  <c r="AG44"/>
  <c r="AH44"/>
  <c r="B66" i="26"/>
  <c r="AG68" i="31"/>
  <c r="AD7"/>
  <c r="AI10"/>
  <c r="AE68"/>
  <c r="AI67"/>
  <c r="AI7"/>
  <c r="AH34"/>
  <c r="AH67"/>
  <c r="AH22"/>
  <c r="AG67"/>
  <c r="AH7"/>
  <c r="AE7"/>
  <c r="AH10"/>
  <c r="AG7"/>
  <c r="AH68"/>
  <c r="AI68"/>
  <c r="AD68"/>
  <c r="AD67"/>
  <c r="AH56"/>
  <c r="AI56"/>
  <c r="AD56"/>
  <c r="AE67"/>
  <c r="K12" i="23"/>
  <c r="AF10" i="31"/>
  <c r="AI22"/>
  <c r="AG34"/>
  <c r="AD34"/>
  <c r="AG22"/>
  <c r="AD22"/>
  <c r="AG10"/>
  <c r="AD10"/>
  <c r="AE34"/>
  <c r="AE22"/>
  <c r="AF34"/>
  <c r="AE53"/>
  <c r="AF53"/>
  <c r="AG53"/>
  <c r="AD53"/>
  <c r="AH53"/>
  <c r="AI53"/>
  <c r="AI14"/>
  <c r="AD14"/>
  <c r="AE14"/>
  <c r="AF14"/>
  <c r="AG14"/>
  <c r="AH14"/>
  <c r="AG9"/>
  <c r="AH9"/>
  <c r="AI9"/>
  <c r="AD9"/>
  <c r="AE9"/>
  <c r="AF9"/>
  <c r="AE29"/>
  <c r="AF29"/>
  <c r="AG29"/>
  <c r="AH29"/>
  <c r="AI29"/>
  <c r="AD29"/>
  <c r="AI26"/>
  <c r="AD26"/>
  <c r="AE26"/>
  <c r="AF26"/>
  <c r="AG26"/>
  <c r="AH26"/>
  <c r="AE17"/>
  <c r="AF17"/>
  <c r="AD17"/>
  <c r="AG17"/>
  <c r="AH17"/>
  <c r="AI17"/>
  <c r="AG45"/>
  <c r="AH45"/>
  <c r="AI45"/>
  <c r="AD45"/>
  <c r="AE45"/>
  <c r="AF45"/>
  <c r="AE5"/>
  <c r="AF5"/>
  <c r="AG5"/>
  <c r="AH5"/>
  <c r="AI5"/>
  <c r="AD5"/>
  <c r="AD64"/>
  <c r="AE64"/>
  <c r="AF64"/>
  <c r="AG64"/>
  <c r="AH64"/>
  <c r="AI64"/>
  <c r="AI38"/>
  <c r="N16" i="23" s="1"/>
  <c r="I46" i="28" s="1"/>
  <c r="AD38" i="31"/>
  <c r="AE38"/>
  <c r="AF38"/>
  <c r="K16" i="23"/>
  <c r="AG38" i="31"/>
  <c r="AH38"/>
  <c r="AE41"/>
  <c r="AF41"/>
  <c r="AG41"/>
  <c r="AH41"/>
  <c r="AI41"/>
  <c r="AD41"/>
  <c r="AG69"/>
  <c r="AH69"/>
  <c r="AI69"/>
  <c r="AD69"/>
  <c r="AE69"/>
  <c r="AF69"/>
  <c r="AI62"/>
  <c r="AD62"/>
  <c r="AE62"/>
  <c r="AF62"/>
  <c r="AG62"/>
  <c r="AH62"/>
  <c r="AD40"/>
  <c r="AE40"/>
  <c r="AF40"/>
  <c r="AG40"/>
  <c r="AH40"/>
  <c r="AI40"/>
  <c r="AI50"/>
  <c r="AD50"/>
  <c r="AE50"/>
  <c r="AF50"/>
  <c r="AG50"/>
  <c r="AH50"/>
  <c r="AF19"/>
  <c r="AG19"/>
  <c r="AH19"/>
  <c r="AI19"/>
  <c r="AD19"/>
  <c r="AE19"/>
  <c r="AD28"/>
  <c r="AE28"/>
  <c r="AF28"/>
  <c r="AG28"/>
  <c r="AH28"/>
  <c r="AI28"/>
  <c r="AI74"/>
  <c r="AD74"/>
  <c r="AE74"/>
  <c r="AF74"/>
  <c r="AG74"/>
  <c r="AH74"/>
  <c r="AF31"/>
  <c r="AG31"/>
  <c r="AH31"/>
  <c r="AI31"/>
  <c r="AD31"/>
  <c r="AE31"/>
  <c r="AH71"/>
  <c r="AI71"/>
  <c r="AD71"/>
  <c r="AE71"/>
  <c r="AF71"/>
  <c r="AG71"/>
  <c r="AD16"/>
  <c r="AE16"/>
  <c r="AF16"/>
  <c r="AG16"/>
  <c r="AH16"/>
  <c r="AI16"/>
  <c r="AD4"/>
  <c r="AE4"/>
  <c r="AF4"/>
  <c r="AG4"/>
  <c r="AH4"/>
  <c r="AI4"/>
  <c r="AF55"/>
  <c r="AG55"/>
  <c r="AH55"/>
  <c r="AI55"/>
  <c r="AD55"/>
  <c r="AE55"/>
  <c r="AD39"/>
  <c r="AE39"/>
  <c r="K15" i="23"/>
  <c r="AF39" i="31"/>
  <c r="AG39"/>
  <c r="AH39"/>
  <c r="AI39"/>
  <c r="AH59"/>
  <c r="AI59"/>
  <c r="AG59"/>
  <c r="AD59"/>
  <c r="AE59"/>
  <c r="AF59"/>
  <c r="AD52"/>
  <c r="AE52"/>
  <c r="AF52"/>
  <c r="AG52"/>
  <c r="AH52"/>
  <c r="AI52"/>
  <c r="AI37"/>
  <c r="AD37"/>
  <c r="AE37"/>
  <c r="AF37"/>
  <c r="AG37"/>
  <c r="AH37"/>
  <c r="AD27"/>
  <c r="AE27"/>
  <c r="AF27"/>
  <c r="AG27"/>
  <c r="AI27"/>
  <c r="AH27"/>
  <c r="AH47"/>
  <c r="AI47"/>
  <c r="AD47"/>
  <c r="AG47"/>
  <c r="AE47"/>
  <c r="AF47"/>
  <c r="AG70"/>
  <c r="AH70"/>
  <c r="AI70"/>
  <c r="AD70"/>
  <c r="AE70"/>
  <c r="AF70"/>
  <c r="AE6"/>
  <c r="AF6"/>
  <c r="AG6"/>
  <c r="AH6"/>
  <c r="K13" i="23"/>
  <c r="AI6" i="31"/>
  <c r="AD6"/>
  <c r="AI25"/>
  <c r="AD25"/>
  <c r="AE25"/>
  <c r="AF25"/>
  <c r="AG25"/>
  <c r="AH25"/>
  <c r="AD15"/>
  <c r="AE15"/>
  <c r="AF15"/>
  <c r="AG15"/>
  <c r="AH15"/>
  <c r="AI15"/>
  <c r="AH35"/>
  <c r="AI35"/>
  <c r="AD35"/>
  <c r="AE35"/>
  <c r="AF35"/>
  <c r="AG35"/>
  <c r="AG58"/>
  <c r="AH58"/>
  <c r="AI58"/>
  <c r="AD58"/>
  <c r="AE58"/>
  <c r="AF58"/>
  <c r="C11" i="23"/>
  <c r="AD51" i="31"/>
  <c r="AE51"/>
  <c r="AF51"/>
  <c r="AG51"/>
  <c r="AH51"/>
  <c r="AI51"/>
  <c r="AE18"/>
  <c r="AF18"/>
  <c r="AG18"/>
  <c r="AH18"/>
  <c r="AI18"/>
  <c r="AD18"/>
  <c r="AE66"/>
  <c r="AF66"/>
  <c r="AG66"/>
  <c r="AH66"/>
  <c r="AI66"/>
  <c r="AD66"/>
  <c r="AD3"/>
  <c r="AE3"/>
  <c r="AF3"/>
  <c r="AG3"/>
  <c r="AH3"/>
  <c r="AI3"/>
  <c r="AH23"/>
  <c r="AI23"/>
  <c r="AG23"/>
  <c r="AD23"/>
  <c r="AE23"/>
  <c r="AF23"/>
  <c r="AG46"/>
  <c r="AH46"/>
  <c r="AI46"/>
  <c r="AD46"/>
  <c r="AE46"/>
  <c r="AF46"/>
  <c r="AD63"/>
  <c r="AE63"/>
  <c r="AF63"/>
  <c r="AG63"/>
  <c r="AH63"/>
  <c r="AI63"/>
  <c r="AE54"/>
  <c r="AF54"/>
  <c r="AG54"/>
  <c r="AH54"/>
  <c r="AI54"/>
  <c r="AD54"/>
  <c r="AE42"/>
  <c r="AF42"/>
  <c r="AG42"/>
  <c r="AH42"/>
  <c r="AI42"/>
  <c r="AD42"/>
  <c r="AF43"/>
  <c r="AG43"/>
  <c r="AH43"/>
  <c r="AI43"/>
  <c r="AD43"/>
  <c r="AE43"/>
  <c r="AH11"/>
  <c r="AG11"/>
  <c r="AI11"/>
  <c r="AD11"/>
  <c r="AE11"/>
  <c r="AF11"/>
  <c r="AI2"/>
  <c r="AD2"/>
  <c r="AE2"/>
  <c r="AF2"/>
  <c r="G14" i="23"/>
  <c r="AG2" i="31"/>
  <c r="AH2"/>
  <c r="AD75"/>
  <c r="AE75"/>
  <c r="AF75"/>
  <c r="AG75"/>
  <c r="AH75"/>
  <c r="AI75"/>
  <c r="AE30"/>
  <c r="AF30"/>
  <c r="AG30"/>
  <c r="AH30"/>
  <c r="AI30"/>
  <c r="AD30"/>
  <c r="AF20"/>
  <c r="AG20"/>
  <c r="AH20"/>
  <c r="AI20"/>
  <c r="AD20"/>
  <c r="AE20"/>
  <c r="AE65"/>
  <c r="AF65"/>
  <c r="AD65"/>
  <c r="AG65"/>
  <c r="AH65"/>
  <c r="AI65"/>
  <c r="K6" i="23"/>
  <c r="M6" s="1"/>
  <c r="B42" i="28" s="1"/>
  <c r="B65" i="32"/>
  <c r="B67" i="26"/>
  <c r="H24" i="32"/>
  <c r="K24"/>
  <c r="I24"/>
  <c r="J24"/>
  <c r="C6" i="23"/>
  <c r="E6" s="1"/>
  <c r="F24" i="26"/>
  <c r="I24"/>
  <c r="C10" i="23"/>
  <c r="F39" i="32"/>
  <c r="F48"/>
  <c r="F66"/>
  <c r="F30"/>
  <c r="F57"/>
  <c r="F24"/>
  <c r="F33"/>
  <c r="F42"/>
  <c r="F51"/>
  <c r="F60"/>
  <c r="F69"/>
  <c r="F18"/>
  <c r="F27"/>
  <c r="F36"/>
  <c r="F45"/>
  <c r="F54"/>
  <c r="F63"/>
  <c r="F72"/>
  <c r="F70" i="26"/>
  <c r="F34"/>
  <c r="F29"/>
  <c r="F65"/>
  <c r="F28"/>
  <c r="F64"/>
  <c r="F27"/>
  <c r="F63"/>
  <c r="F23"/>
  <c r="F22"/>
  <c r="F53"/>
  <c r="F17"/>
  <c r="F52"/>
  <c r="F16"/>
  <c r="F51"/>
  <c r="F46"/>
  <c r="F41"/>
  <c r="F40"/>
  <c r="F39"/>
  <c r="F71"/>
  <c r="F18"/>
  <c r="F30"/>
  <c r="F42"/>
  <c r="F54"/>
  <c r="F66"/>
  <c r="J24"/>
  <c r="J36"/>
  <c r="J48"/>
  <c r="J60"/>
  <c r="J72"/>
  <c r="K26"/>
  <c r="K38"/>
  <c r="K50"/>
  <c r="K62"/>
  <c r="J23"/>
  <c r="J35"/>
  <c r="J47"/>
  <c r="J59"/>
  <c r="J71"/>
  <c r="K25"/>
  <c r="K37"/>
  <c r="K49"/>
  <c r="K61"/>
  <c r="K73"/>
  <c r="J22"/>
  <c r="J34"/>
  <c r="J46"/>
  <c r="J58"/>
  <c r="J70"/>
  <c r="K24"/>
  <c r="K36"/>
  <c r="K48"/>
  <c r="K60"/>
  <c r="K72"/>
  <c r="J21"/>
  <c r="J33"/>
  <c r="J45"/>
  <c r="J57"/>
  <c r="J69"/>
  <c r="K23"/>
  <c r="K35"/>
  <c r="K47"/>
  <c r="K59"/>
  <c r="K71"/>
  <c r="F26"/>
  <c r="F38"/>
  <c r="F50"/>
  <c r="F62"/>
  <c r="J20"/>
  <c r="J32"/>
  <c r="J44"/>
  <c r="J56"/>
  <c r="J68"/>
  <c r="K22"/>
  <c r="K34"/>
  <c r="K46"/>
  <c r="K58"/>
  <c r="K70"/>
  <c r="F25"/>
  <c r="F37"/>
  <c r="F49"/>
  <c r="F61"/>
  <c r="F73"/>
  <c r="J19"/>
  <c r="J31"/>
  <c r="J43"/>
  <c r="J55"/>
  <c r="J67"/>
  <c r="K21"/>
  <c r="K33"/>
  <c r="K45"/>
  <c r="K57"/>
  <c r="K69"/>
  <c r="J18"/>
  <c r="J30"/>
  <c r="J42"/>
  <c r="J54"/>
  <c r="J66"/>
  <c r="K20"/>
  <c r="K32"/>
  <c r="K44"/>
  <c r="K56"/>
  <c r="K68"/>
  <c r="J17"/>
  <c r="J29"/>
  <c r="J41"/>
  <c r="J53"/>
  <c r="J65"/>
  <c r="K19"/>
  <c r="K31"/>
  <c r="K43"/>
  <c r="K55"/>
  <c r="K67"/>
  <c r="J16"/>
  <c r="J28"/>
  <c r="J40"/>
  <c r="J52"/>
  <c r="J64"/>
  <c r="K18"/>
  <c r="K30"/>
  <c r="K42"/>
  <c r="K54"/>
  <c r="K66"/>
  <c r="J27"/>
  <c r="J39"/>
  <c r="J51"/>
  <c r="J63"/>
  <c r="K17"/>
  <c r="K29"/>
  <c r="K41"/>
  <c r="K53"/>
  <c r="K65"/>
  <c r="K16"/>
  <c r="K28"/>
  <c r="K40"/>
  <c r="K52"/>
  <c r="K64"/>
  <c r="K27"/>
  <c r="K39"/>
  <c r="K51"/>
  <c r="K63"/>
  <c r="B21" i="23" l="1" a="1"/>
  <c r="B21" s="1"/>
  <c r="F20"/>
  <c r="G20"/>
  <c r="H20"/>
  <c r="I20"/>
  <c r="J20"/>
  <c r="K20"/>
  <c r="L20"/>
  <c r="M20"/>
  <c r="N20"/>
  <c r="C20"/>
  <c r="E20"/>
  <c r="D20"/>
  <c r="O19"/>
  <c r="M10" i="25"/>
  <c r="M9"/>
  <c r="E168" i="32"/>
  <c r="C168"/>
  <c r="A166"/>
  <c r="O11" i="23"/>
  <c r="B33" i="28"/>
  <c r="O15" i="23"/>
  <c r="B45" i="28"/>
  <c r="O10" i="23"/>
  <c r="B32" i="28"/>
  <c r="O14" i="23"/>
  <c r="B38" i="28"/>
  <c r="O13" i="23"/>
  <c r="B44" i="28"/>
  <c r="O16" i="23"/>
  <c r="B46" i="28"/>
  <c r="O12" i="23"/>
  <c r="B43" i="28"/>
  <c r="L15" i="23"/>
  <c r="G45" i="28" s="1"/>
  <c r="L16" i="23"/>
  <c r="G46" i="28" s="1"/>
  <c r="E11" i="23"/>
  <c r="H33" i="28" s="1"/>
  <c r="L13" i="23"/>
  <c r="G44" i="28" s="1"/>
  <c r="N12" i="23"/>
  <c r="I43" i="28" s="1"/>
  <c r="M15" i="23"/>
  <c r="H45" i="28" s="1"/>
  <c r="M16" i="23"/>
  <c r="H46" i="28" s="1"/>
  <c r="F11" i="23"/>
  <c r="I33" i="28" s="1"/>
  <c r="N15" i="23"/>
  <c r="I45" i="28" s="1"/>
  <c r="F10" i="23"/>
  <c r="I32" i="28" s="1"/>
  <c r="M12" i="23"/>
  <c r="H43" i="28" s="1"/>
  <c r="I14" i="23"/>
  <c r="H38" i="28" s="1"/>
  <c r="D11" i="23"/>
  <c r="G33" i="28" s="1"/>
  <c r="D10" i="23"/>
  <c r="G32" i="28" s="1"/>
  <c r="J14" i="23"/>
  <c r="I38" i="28" s="1"/>
  <c r="L12" i="23"/>
  <c r="G43" i="28" s="1"/>
  <c r="E10" i="23"/>
  <c r="H32" i="28" s="1"/>
  <c r="M13" i="23"/>
  <c r="H44" i="28" s="1"/>
  <c r="N13" i="23"/>
  <c r="I44" i="28" s="1"/>
  <c r="H14" i="23"/>
  <c r="G38" i="28" s="1"/>
  <c r="F21" i="23" l="1"/>
  <c r="G21"/>
  <c r="H21"/>
  <c r="E21"/>
  <c r="I21"/>
  <c r="J21"/>
  <c r="K21"/>
  <c r="L21"/>
  <c r="M21"/>
  <c r="N21"/>
  <c r="C21"/>
  <c r="D21"/>
  <c r="B22" a="1"/>
  <c r="B22" s="1"/>
  <c r="O20"/>
  <c r="H55" i="28"/>
  <c r="I55"/>
  <c r="C166" i="32"/>
  <c r="A168"/>
  <c r="J164" i="26"/>
  <c r="D166" s="1"/>
  <c r="F22" i="23" l="1"/>
  <c r="G22"/>
  <c r="H22"/>
  <c r="I22"/>
  <c r="J22"/>
  <c r="K22"/>
  <c r="L22"/>
  <c r="M22"/>
  <c r="N22"/>
  <c r="C22"/>
  <c r="D22"/>
  <c r="E22"/>
  <c r="B23" a="1"/>
  <c r="B23" s="1"/>
  <c r="O21"/>
  <c r="J166" i="26"/>
  <c r="J168" s="1"/>
  <c r="J170" s="1"/>
  <c r="B64"/>
  <c r="B63"/>
  <c r="B62"/>
  <c r="B61"/>
  <c r="B60"/>
  <c r="B59"/>
  <c r="B58"/>
  <c r="B57"/>
  <c r="B56"/>
  <c r="B55"/>
  <c r="B54"/>
  <c r="B53"/>
  <c r="B52"/>
  <c r="B51"/>
  <c r="B50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17"/>
  <c r="B18"/>
  <c r="B19"/>
  <c r="B24" i="23" l="1" a="1"/>
  <c r="B24" s="1"/>
  <c r="F23"/>
  <c r="G23"/>
  <c r="H23"/>
  <c r="E23"/>
  <c r="I23"/>
  <c r="J23"/>
  <c r="K23"/>
  <c r="L23"/>
  <c r="M23"/>
  <c r="N23"/>
  <c r="C23"/>
  <c r="D23"/>
  <c r="O22"/>
  <c r="B16" i="26"/>
  <c r="B16" i="32"/>
  <c r="B25" i="23" l="1" a="1"/>
  <c r="B25" s="1"/>
  <c r="F24"/>
  <c r="G24"/>
  <c r="H24"/>
  <c r="E24"/>
  <c r="I24"/>
  <c r="J24"/>
  <c r="K24"/>
  <c r="L24"/>
  <c r="M24"/>
  <c r="N24"/>
  <c r="C24"/>
  <c r="D24"/>
  <c r="O23"/>
  <c r="F25" l="1"/>
  <c r="G25"/>
  <c r="H25"/>
  <c r="I25"/>
  <c r="J25"/>
  <c r="K25"/>
  <c r="L25"/>
  <c r="M25"/>
  <c r="N25"/>
  <c r="C25"/>
  <c r="D25"/>
  <c r="E25"/>
  <c r="O24"/>
  <c r="O25" l="1"/>
</calcChain>
</file>

<file path=xl/comments1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>
  <authors>
    <author>Stephane</author>
  </authors>
  <commentList>
    <comment ref="H2" authorId="0">
      <text>
        <r>
          <rPr>
            <b/>
            <sz val="9"/>
            <color indexed="81"/>
            <rFont val="Tahoma"/>
            <charset val="1"/>
          </rPr>
          <t xml:space="preserve">Stephane:
</t>
        </r>
        <r>
          <rPr>
            <sz val="9"/>
            <color indexed="81"/>
            <rFont val="Tahoma"/>
            <family val="2"/>
          </rPr>
          <t>Per ora il prezzo di costo è hardcoddato, i</t>
        </r>
        <r>
          <rPr>
            <sz val="9"/>
            <color indexed="81"/>
            <rFont val="Tahoma"/>
            <charset val="1"/>
          </rPr>
          <t>nserire una query per ottenere l'ultimo prezzo di acquisto (o il prezzo medio di acquisto) del prodotto.
Servirà un export da Geko.</t>
        </r>
      </text>
    </comment>
    <comment ref="L8" authorId="0">
      <text>
        <r>
          <rPr>
            <b/>
            <sz val="9"/>
            <color indexed="81"/>
            <rFont val="Tahoma"/>
            <charset val="1"/>
          </rPr>
          <t>Stephane:</t>
        </r>
        <r>
          <rPr>
            <sz val="9"/>
            <color indexed="81"/>
            <rFont val="Tahoma"/>
            <charset val="1"/>
          </rPr>
          <t xml:space="preserve">
Exchange rate at time of shipment.</t>
        </r>
      </text>
    </comment>
  </commentList>
</comments>
</file>

<file path=xl/sharedStrings.xml><?xml version="1.0" encoding="utf-8"?>
<sst xmlns="http://schemas.openxmlformats.org/spreadsheetml/2006/main" count="1133" uniqueCount="558">
  <si>
    <t>P05000</t>
  </si>
  <si>
    <t>P05001</t>
  </si>
  <si>
    <t>P05002</t>
  </si>
  <si>
    <t>P05003</t>
  </si>
  <si>
    <t>P05004</t>
  </si>
  <si>
    <t>P05005</t>
  </si>
  <si>
    <t>P05006</t>
  </si>
  <si>
    <t>P05007</t>
  </si>
  <si>
    <t>P05008</t>
  </si>
  <si>
    <t>BHPC SPORT MEN 1 EDT 50ML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</si>
  <si>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</si>
  <si>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</si>
  <si>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</si>
  <si>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</si>
  <si>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</si>
  <si>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</si>
  <si>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P05024</t>
  </si>
  <si>
    <t>P05025</t>
  </si>
  <si>
    <t>P05026</t>
  </si>
  <si>
    <t>P05027</t>
  </si>
  <si>
    <t>P05028</t>
  </si>
  <si>
    <t>P05029</t>
  </si>
  <si>
    <t>P05030</t>
  </si>
  <si>
    <t>P05031</t>
  </si>
  <si>
    <t>P05050</t>
  </si>
  <si>
    <t>P05051</t>
  </si>
  <si>
    <t>P05052</t>
  </si>
  <si>
    <t>P05053</t>
  </si>
  <si>
    <t>P06000</t>
  </si>
  <si>
    <t>P06001</t>
  </si>
  <si>
    <t>P06002</t>
  </si>
  <si>
    <t>P06003</t>
  </si>
  <si>
    <t>P06004</t>
  </si>
  <si>
    <t>P06005</t>
  </si>
  <si>
    <t>P06006</t>
  </si>
  <si>
    <t>P06007</t>
  </si>
  <si>
    <t>PT6000</t>
  </si>
  <si>
    <t>PT6001</t>
  </si>
  <si>
    <t>PT6002</t>
  </si>
  <si>
    <t>PT6003</t>
  </si>
  <si>
    <t>PT6004</t>
  </si>
  <si>
    <t>PT6005</t>
  </si>
  <si>
    <t>PT6006</t>
  </si>
  <si>
    <t>PT6007</t>
  </si>
  <si>
    <t>GS5004</t>
  </si>
  <si>
    <t>GS5005</t>
  </si>
  <si>
    <t>GS5006</t>
  </si>
  <si>
    <t>GS5007</t>
  </si>
  <si>
    <t>GS5008</t>
  </si>
  <si>
    <t>GS5009</t>
  </si>
  <si>
    <t>GS5010</t>
  </si>
  <si>
    <t>GS5011</t>
  </si>
  <si>
    <t>GS5028</t>
  </si>
  <si>
    <t>GS5029</t>
  </si>
  <si>
    <t>GS5030</t>
  </si>
  <si>
    <t>GS5031</t>
  </si>
  <si>
    <t>GS5050</t>
  </si>
  <si>
    <t>GS5051</t>
  </si>
  <si>
    <t>GS5052</t>
  </si>
  <si>
    <t>GS5053</t>
  </si>
  <si>
    <t>GS7020</t>
  </si>
  <si>
    <t>GS7021</t>
  </si>
  <si>
    <t>GS7022</t>
  </si>
  <si>
    <t>GS7023</t>
  </si>
  <si>
    <t>GS7024</t>
  </si>
  <si>
    <t>GS7025</t>
  </si>
  <si>
    <t>GS7026</t>
  </si>
  <si>
    <t>GS7027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</si>
  <si>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</si>
  <si>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</si>
  <si>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</si>
  <si>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</si>
  <si>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</si>
  <si>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</si>
  <si>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3.</t>
  </si>
  <si>
    <t>4. Shipper's reference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</si>
  <si>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</si>
  <si>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</si>
  <si>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</si>
  <si>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</si>
  <si>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</si>
  <si>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</si>
  <si>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</si>
  <si>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</si>
  <si>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</si>
  <si>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</si>
  <si>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</si>
  <si>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</si>
  <si>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</si>
  <si>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</si>
  <si>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</si>
  <si>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</si>
  <si>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</si>
  <si>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</si>
  <si>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</si>
  <si>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</si>
  <si>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</si>
  <si>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</si>
  <si>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</si>
  <si>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</si>
  <si>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</si>
  <si>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</si>
  <si>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</si>
  <si>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</si>
  <si>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 xml:space="preserve">UN 1266 PERFUMERY PRODUCTS, CLASS 3, III, (23°C) </t>
  </si>
  <si>
    <t>LIMITED QUANTITY, EMS: F- E, S-D</t>
  </si>
  <si>
    <t>LIMITED QUANTITY</t>
  </si>
  <si>
    <t>OVERPACK USED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</si>
  <si>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</si>
  <si>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</si>
  <si>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</si>
  <si>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</si>
  <si>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</si>
  <si>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</si>
  <si>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</si>
  <si>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</si>
  <si>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</si>
  <si>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</si>
  <si>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</si>
  <si>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</si>
  <si>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</si>
  <si>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</si>
  <si>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</si>
  <si>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</si>
  <si>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</si>
  <si>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</si>
  <si>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</si>
  <si>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</si>
  <si>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</si>
  <si>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</si>
  <si>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</si>
  <si>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</si>
  <si>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</si>
  <si>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DEODORANT</t>
  </si>
  <si>
    <t>PRESTIGE</t>
  </si>
  <si>
    <t>MASTIGE</t>
  </si>
  <si>
    <t>VIA GALLARDI, 204</t>
  </si>
  <si>
    <t>18039 VENTIMIGLIA</t>
  </si>
  <si>
    <t>ITALY</t>
  </si>
  <si>
    <t>VENTIMIGLIA - ITALY</t>
  </si>
  <si>
    <t>UN 1950 AEROSOLS, CLASS 2.1, II</t>
  </si>
  <si>
    <t>UN 1266 PERFUMERY PRODUCTS, CLASS 3, II, (12°)</t>
  </si>
  <si>
    <t>P06020</t>
  </si>
  <si>
    <t>P06021</t>
  </si>
  <si>
    <t>BHPC PRESTIGE KNIGHT 100ML EDP MEN</t>
  </si>
  <si>
    <t>BHPC PRESTIGE ROYALE 100ML EDP MEN</t>
  </si>
  <si>
    <t>GSTRO3</t>
  </si>
  <si>
    <t xml:space="preserve">BHPC GIFTSET PRESTIGE TROPHY EDP100ML + DEO 300ML </t>
  </si>
  <si>
    <t>sku</t>
  </si>
  <si>
    <t>category</t>
  </si>
  <si>
    <t>nr_of_products</t>
  </si>
  <si>
    <t>description</t>
  </si>
  <si>
    <t>units_per_carton</t>
  </si>
  <si>
    <t>lenght</t>
  </si>
  <si>
    <t>width</t>
  </si>
  <si>
    <t>height</t>
  </si>
  <si>
    <t>net_weight</t>
  </si>
  <si>
    <t>gross_weight</t>
  </si>
  <si>
    <t>size3</t>
  </si>
  <si>
    <t>PBM001</t>
  </si>
  <si>
    <t>BODYMIST</t>
  </si>
  <si>
    <t>BHPC WOMEN BODY MIST #1 EVOKING GARDENIA 200ML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</si>
  <si>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</si>
  <si>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</si>
  <si>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</si>
  <si>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</si>
  <si>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</si>
  <si>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</si>
  <si>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SPORT MEN 1 DEO 175ML</t>
  </si>
  <si>
    <t>BHPC SPORT MEN 9 DEO 175ML</t>
  </si>
  <si>
    <t>BHPC SPORT MEN 8 DEO 175ML</t>
  </si>
  <si>
    <t>BHPC SPORT MEN 2 DEO 175ML</t>
  </si>
  <si>
    <t>BHPC WOMEN 1 DEO 150ML</t>
  </si>
  <si>
    <t>BHPC WOMEN 9 DEO 150ML</t>
  </si>
  <si>
    <t>BHPC WOMEN 8 DEO 150ML</t>
  </si>
  <si>
    <t>BHPC WOMEN 2 DEO 150ML</t>
  </si>
  <si>
    <t>GIFTSET</t>
  </si>
  <si>
    <t>BHPC GIFT SET SPORT MEN 1 EDT 100ML + DEO 175ML</t>
  </si>
  <si>
    <t>BHPC GIFT SET SPORT MEN 9 EDT 100ML + DEO 175ML</t>
  </si>
  <si>
    <t>BHPC GIFT SET SPORT MEN 8 EDT 100ML + DEO 175ML</t>
  </si>
  <si>
    <t>BHPC GIFT SET SPORT MEN 2 EDT 100ML + DEO 175ML</t>
  </si>
  <si>
    <t>BHPC GIFT SET SPORT MEN 1 EDT 50ML + DEO 175ML</t>
  </si>
  <si>
    <t>BHPC GIFT SET SPORT MEN 9 EDT 50ML + DEO 175ML</t>
  </si>
  <si>
    <t>BHPC GIFT SET SPORT MEN 8 EDT 50ML + DEO 175ML</t>
  </si>
  <si>
    <t>BHPC GIFT SET SPORT MEN 2 EDT 50ML + DEO 175ML</t>
  </si>
  <si>
    <t>BHPC GIFT SET WOMEN 1 EDP 50ML + DEO 150ML</t>
  </si>
  <si>
    <t>BHPC GIFT SET WOMEN 9 EDP 50ML + DEO 150ML</t>
  </si>
  <si>
    <t>BHPC GIFT SET WOMEN 8 EDP 50ML + DEO 150ML</t>
  </si>
  <si>
    <t>BHPC GIFT SET WOMEN 2 EDP 50ML + DEO 150ML</t>
  </si>
  <si>
    <t>BHPC GIFT SET WOMEN 1 EDP 100ML + DEO 150ML</t>
  </si>
  <si>
    <t>BHPC GIFT SET WOMEN 9 EDP 100ML + DEO 150ML</t>
  </si>
  <si>
    <t>BHPC GIFT SET WOMEN 8 EDP 100ML + DEO 150ML</t>
  </si>
  <si>
    <t>BHPC GIFT SET WOMEN 2 EDP 100ML + DEO 150ML</t>
  </si>
  <si>
    <t>BHPC GIFT SET MEN #1 EDT50ML+DEO175ML+ROLLON50ML</t>
  </si>
  <si>
    <t>BHPC GIFT SET MEN #9 EDT50ML+DEO175ML+ROLLON50ML</t>
  </si>
  <si>
    <t>BHPC GIFT SET MEN #8 EDT50ML+DEO175ML+ROLLON50ML</t>
  </si>
  <si>
    <t>BHPC GIFT SET MEN #2 EDT50ML+DEO175ML+ROLLON50ML</t>
  </si>
  <si>
    <t>BHPC GIFT SET WOMEN #1 EDP50ML+DEO150ML+ROLLON50ML</t>
  </si>
  <si>
    <t>BHPC GIFT SET WOMEN #9 EDP50ML+DEO150ML+ROLLON50ML</t>
  </si>
  <si>
    <t>BHPC GIFT SET WOMEN #8 EDP50ML+DEO150ML+ROLLON50ML</t>
  </si>
  <si>
    <t>BHPC GIFT SET WOMEN #2 EDP50ML+DEO150ML+ROLLON50ML</t>
  </si>
  <si>
    <t>BHPC SPORT MEN 1 EDT 100ML</t>
  </si>
  <si>
    <t>BHPC SPORT MEN 9 EDT 100ML</t>
  </si>
  <si>
    <t>BHPC SPORT MEN 8 EDT 100ML</t>
  </si>
  <si>
    <t>BHPC SPORT MEN 2 EDT 100ML</t>
  </si>
  <si>
    <t>BHPC WOMEN 1 EDP 50ML</t>
  </si>
  <si>
    <t>BHPC WOMEN 9 EDP 50ML</t>
  </si>
  <si>
    <t>BHPC WOMEN 8 EDP 50ML</t>
  </si>
  <si>
    <t>BHPC WOMEN 2 EDP 50ML</t>
  </si>
  <si>
    <t>BHPC WOMEN 1 EDP 100ML</t>
  </si>
  <si>
    <t>BHPC WOMEN 9 EDP 100ML</t>
  </si>
  <si>
    <t>BHPC WOMEN 8 EDP 100ML</t>
  </si>
  <si>
    <t>BHPC WOMEN 2 EDP 100ML</t>
  </si>
  <si>
    <t>BHPC PRESTIGE TROPHY 100ML EDP MEN</t>
  </si>
  <si>
    <t>BHPC PRESTIGE HERITAGE OUD 100ML EDP MEN</t>
  </si>
  <si>
    <t>BHPC PRESTIGE TOUR 100ML EDP MEN</t>
  </si>
  <si>
    <t>BHPC PRESTIGE TITAN 100ML EDP MEN</t>
  </si>
  <si>
    <t>BHPC PRESTIGE ELEGANCE 100ML EDP WOMEN</t>
  </si>
  <si>
    <t>BHPC PRESTIGE CHALLENGE 100ML EDP WOMEN</t>
  </si>
  <si>
    <t>BHPC PRESTIGE MYSTIQUE 100ML EDP WOMEN</t>
  </si>
  <si>
    <t>BHPC PRESTIGE PASSION 100ML EDP WOMEN</t>
  </si>
  <si>
    <t>TESTER</t>
  </si>
  <si>
    <t>BHPC TESTERS TROPHY 100ML EDP MEN</t>
  </si>
  <si>
    <t>BHPC TESTERS HERITAGE OUD 100ML EDP MEN</t>
  </si>
  <si>
    <t>BHPC TESTERS TOUR 100ML EDP MEN</t>
  </si>
  <si>
    <t>BHPC TESTERS TITAN 100ML EDP MEN</t>
  </si>
  <si>
    <t>BHPC TESTERS ELEGANCE 100ML EDP WOMEN</t>
  </si>
  <si>
    <t>BHPC TESTERS CHALLENGE 100ML EDP WOMEN</t>
  </si>
  <si>
    <t>BHPC TESTERS MYSTIQUE 100ML EDP WOMEN</t>
  </si>
  <si>
    <t>BHPC TESTERS PASSION 100ML EDP WOMEN</t>
  </si>
  <si>
    <t>PT6020</t>
  </si>
  <si>
    <t>BHPC TESTERS KNIGHT 100ML EDP MEN</t>
  </si>
  <si>
    <t>PT6021</t>
  </si>
  <si>
    <t>BHPC TESTERS ROYALE 100ML EDP MEN</t>
  </si>
  <si>
    <t>net</t>
  </si>
  <si>
    <t>gross</t>
  </si>
  <si>
    <t>m3</t>
  </si>
  <si>
    <t>boxes</t>
  </si>
  <si>
    <t>bottles</t>
  </si>
  <si>
    <t>profumi</t>
  </si>
  <si>
    <t>bodymist</t>
  </si>
  <si>
    <t>deodoranti</t>
  </si>
  <si>
    <t>mastige</t>
  </si>
  <si>
    <t>prestige</t>
  </si>
  <si>
    <t>tester</t>
  </si>
  <si>
    <t>deodorant</t>
  </si>
  <si>
    <t>size</t>
  </si>
  <si>
    <t>size12</t>
  </si>
  <si>
    <t>size22</t>
  </si>
  <si>
    <t>unit_net_weight</t>
  </si>
  <si>
    <t>unit_gross_weight</t>
  </si>
  <si>
    <t>cbm</t>
  </si>
  <si>
    <t>order</t>
  </si>
  <si>
    <t>descrizione</t>
  </si>
  <si>
    <t>giftset</t>
  </si>
  <si>
    <t>tot bottles</t>
  </si>
  <si>
    <t>categorie</t>
  </si>
  <si>
    <t>testers_boxes</t>
  </si>
  <si>
    <t>normal_boxes</t>
  </si>
  <si>
    <t>normal</t>
  </si>
  <si>
    <t>foc</t>
  </si>
  <si>
    <t>total</t>
  </si>
  <si>
    <t>foc_order</t>
  </si>
  <si>
    <t>tot_order</t>
  </si>
  <si>
    <t>Stephane</t>
  </si>
  <si>
    <t>SHIPPER / CONSIGNOR / SENDER</t>
  </si>
  <si>
    <t>CONSIGNEE</t>
  </si>
  <si>
    <t>CIELOMED ENTERPRISES LTD</t>
  </si>
  <si>
    <t>33, PAUL &amp; WATERS</t>
  </si>
  <si>
    <t>TRIQ IL-KARMELITANI</t>
  </si>
  <si>
    <t>FGURA, MALTA</t>
  </si>
  <si>
    <t>PROFORMA INVOICE</t>
  </si>
  <si>
    <t>EUR</t>
  </si>
  <si>
    <t>UM</t>
  </si>
  <si>
    <t>FREE GOODS / F.O.C.</t>
  </si>
  <si>
    <t>CESS. CEE AR. 41 L 427</t>
  </si>
  <si>
    <t>061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</si>
  <si>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</si>
  <si>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</si>
  <si>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</si>
  <si>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</si>
  <si>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</si>
  <si>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</si>
  <si>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</si>
  <si>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TYPE OF SHIPMENT</t>
  </si>
  <si>
    <t>COUNTRY OF DESTINATION</t>
  </si>
  <si>
    <t>PACKING LIST</t>
  </si>
  <si>
    <t>INCOTERMS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</si>
  <si>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</si>
  <si>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</si>
  <si>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</si>
  <si>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</si>
  <si>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</si>
  <si>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</si>
  <si>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</si>
  <si>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</si>
  <si>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</si>
  <si>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SIGNATURE</t>
  </si>
  <si>
    <t>OTHER PACKING INFORMATION</t>
  </si>
  <si>
    <t>Carriage in accordance with 1.1.4.2</t>
  </si>
  <si>
    <t>VENTIMIGLIA, 14/12/2023</t>
  </si>
  <si>
    <t>CONTO PAGAMENTO</t>
  </si>
  <si>
    <t>INTESTATARIO 1</t>
  </si>
  <si>
    <t>INTESTATARIO 2</t>
  </si>
  <si>
    <t>METODO DI PAGAMENTO</t>
  </si>
  <si>
    <t>IVA</t>
  </si>
  <si>
    <t>RIFERIMENTI DI LEGGE</t>
  </si>
  <si>
    <t>PAESE</t>
  </si>
  <si>
    <t>CIELOMED</t>
  </si>
  <si>
    <t>MALTA</t>
  </si>
  <si>
    <t>VALUTA</t>
  </si>
  <si>
    <t>PRESTIGE BRANDS</t>
  </si>
  <si>
    <t>GREECE</t>
  </si>
  <si>
    <t>PRESTIGE BRANDS S.A.</t>
  </si>
  <si>
    <t>305, VOULIAGMENIS AVE.17236</t>
  </si>
  <si>
    <t>AGIOS DIMITRIOS, ATHENS - GREECE</t>
  </si>
  <si>
    <t>024 - IN ADVANCE</t>
  </si>
  <si>
    <t>EXW VENTIMIGLIA, VIA GALLARDI 204, 18039 (ITALY)</t>
  </si>
  <si>
    <t>SKU CODE</t>
  </si>
  <si>
    <t>PRODUCT DESCRIPTION</t>
  </si>
  <si>
    <t>QUANTITY</t>
  </si>
  <si>
    <t>UNIT PRICE</t>
  </si>
  <si>
    <t>CARTONS</t>
  </si>
  <si>
    <t>AMOUNT</t>
  </si>
  <si>
    <t>VAT</t>
  </si>
  <si>
    <t>BEVERLY HILLS POLO CLUB EDP / EDT / DEO / GIFT SETS</t>
  </si>
  <si>
    <t>sex</t>
  </si>
  <si>
    <t>ean</t>
  </si>
  <si>
    <t>hs_code</t>
  </si>
  <si>
    <t>unit</t>
  </si>
  <si>
    <t>box_per_pallet</t>
  </si>
  <si>
    <t>box_per_layer</t>
  </si>
  <si>
    <t>layers_per_pallet</t>
  </si>
  <si>
    <t>cif_price_per_unit</t>
  </si>
  <si>
    <t>country_of_origin</t>
  </si>
  <si>
    <t>WOMAN</t>
  </si>
  <si>
    <t>33030090</t>
  </si>
  <si>
    <t>BOTTLE</t>
  </si>
  <si>
    <t>INDIA</t>
  </si>
  <si>
    <t>MAN</t>
  </si>
  <si>
    <t>33072000</t>
  </si>
  <si>
    <t>CAN</t>
  </si>
  <si>
    <t>SPAIN</t>
  </si>
  <si>
    <t>GIFT</t>
  </si>
  <si>
    <t xml:space="preserve">BHPC GIFTSET PRESTIGE ELEGANCE EDP100ML + DEO 250ML </t>
  </si>
  <si>
    <t>33030010</t>
  </si>
  <si>
    <t>CURRENCY</t>
  </si>
  <si>
    <t>PAYMENT</t>
  </si>
  <si>
    <t>NUMBER</t>
  </si>
  <si>
    <t>DATE</t>
  </si>
  <si>
    <t>DOCUMENT</t>
  </si>
  <si>
    <t>BANK DETAILS</t>
  </si>
  <si>
    <t>OTHER</t>
  </si>
  <si>
    <t>TOTAL DISCOUNTS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</si>
  <si>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</si>
  <si>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</si>
  <si>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</si>
  <si>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</si>
  <si>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</si>
  <si>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</si>
  <si>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</si>
  <si>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</si>
  <si>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>NET WEIGHT</t>
  </si>
  <si>
    <t>GROSS WEIGHT</t>
  </si>
  <si>
    <t>MADE IN</t>
  </si>
  <si>
    <t>operational headquarters / center / branch</t>
  </si>
  <si>
    <t>legal headquarters / center / offices / branch</t>
  </si>
  <si>
    <t>PROBLEMI DA RISOLVERE</t>
  </si>
  <si>
    <t>product1_weight</t>
  </si>
  <si>
    <t>product2_weight</t>
  </si>
  <si>
    <t>product3_weight</t>
  </si>
  <si>
    <t>product4_weight</t>
  </si>
  <si>
    <t>unit_net_weight2</t>
  </si>
  <si>
    <t>unit_gross_weight2</t>
  </si>
  <si>
    <t>cbm2</t>
  </si>
  <si>
    <t>Cosa succede se aggiungo una nuova classe di rischio? Tutto funziona?</t>
  </si>
  <si>
    <t>Le categoria nella riga 3 dovrebbero essere dinamiche.</t>
  </si>
  <si>
    <t>Cosa succede se aggiungo una categoria?</t>
  </si>
  <si>
    <t>BHPC PRESTIGE TROPHY DEO 300ML</t>
  </si>
  <si>
    <t>BHPC PRESTIGE ELEGANCE DEO 250ML</t>
  </si>
  <si>
    <t>Dinamicità della tabella. Cosa succede se aggiungo un prodotto con una nuova size? Tutto funziona?</t>
  </si>
  <si>
    <t>NORMAL</t>
  </si>
  <si>
    <t>FOC</t>
  </si>
  <si>
    <t>TOTALS</t>
  </si>
  <si>
    <t>Order Details</t>
  </si>
  <si>
    <t>No:</t>
  </si>
  <si>
    <t>Date:</t>
  </si>
  <si>
    <t>Customer:</t>
  </si>
  <si>
    <t>Currency:</t>
  </si>
  <si>
    <t>unit
price</t>
  </si>
  <si>
    <t>Etichette di riga</t>
  </si>
  <si>
    <t>Totale complessivo</t>
  </si>
  <si>
    <t>Valori</t>
  </si>
  <si>
    <t>Somma di TOTAL</t>
  </si>
  <si>
    <t>Somma di QTY</t>
  </si>
  <si>
    <t>Etichette di colonna</t>
  </si>
  <si>
    <t>Logistic Details</t>
  </si>
  <si>
    <t>Incoterms</t>
  </si>
  <si>
    <t>Pallet Type</t>
  </si>
  <si>
    <t>Transport Details</t>
  </si>
  <si>
    <t>Carrier Cost</t>
  </si>
  <si>
    <t>Additional Information</t>
  </si>
  <si>
    <t>Labour Cost</t>
  </si>
  <si>
    <t>Notes</t>
  </si>
  <si>
    <t>TOTAL GROSS WEIGHT + PALLETS</t>
  </si>
  <si>
    <t>Logistic Notes</t>
  </si>
  <si>
    <t>order_no</t>
  </si>
  <si>
    <t>date</t>
  </si>
  <si>
    <t>customer</t>
  </si>
  <si>
    <t>currency</t>
  </si>
  <si>
    <t>incoterms</t>
  </si>
  <si>
    <t>pallet_type</t>
  </si>
  <si>
    <t>pallet_no</t>
  </si>
  <si>
    <t>Pallet No</t>
  </si>
  <si>
    <t>logistic_notes</t>
  </si>
  <si>
    <t>carrier_name</t>
  </si>
  <si>
    <t>carrier_cost</t>
  </si>
  <si>
    <t>other_notes</t>
  </si>
  <si>
    <t>invoice_no</t>
  </si>
  <si>
    <t>invoice_date</t>
  </si>
  <si>
    <t>payment_type</t>
  </si>
  <si>
    <t>payment_date</t>
  </si>
  <si>
    <t>profit</t>
  </si>
  <si>
    <t>qty</t>
  </si>
  <si>
    <t>sale_price</t>
  </si>
  <si>
    <t>cost_price</t>
  </si>
  <si>
    <t>total_sold</t>
  </si>
  <si>
    <t>sale_type</t>
  </si>
  <si>
    <t>Exchange Rate:</t>
  </si>
  <si>
    <t>exchange_rate</t>
  </si>
  <si>
    <t>Net Weight</t>
  </si>
  <si>
    <t>Gross Weight</t>
  </si>
  <si>
    <t>Dispatch Method</t>
  </si>
  <si>
    <t>Profit</t>
  </si>
  <si>
    <t>Expected Profit</t>
  </si>
  <si>
    <t>tot. Cost</t>
  </si>
  <si>
    <t>tot. Sold</t>
  </si>
  <si>
    <t>ORDER ON GOING</t>
  </si>
  <si>
    <t>La lista degli ordini in preparazione con una visuale "alla Trello" per gestire le diverse fasi di preparazione</t>
  </si>
  <si>
    <t>ORDER ENDED</t>
  </si>
  <si>
    <t>La lista degli ordini conclusi in ordine temporale</t>
  </si>
  <si>
    <t>Un facile doppio click sull'ordine permette di fare uno zoom sui dettagli dell'ordine</t>
  </si>
  <si>
    <t>Un facile doppio click permetterebbe lo zoom sui dettagli dell'ordine per poter operare ed effettuare modifiche</t>
  </si>
  <si>
    <t>Cost On Behalf of BHPC</t>
  </si>
  <si>
    <t>Pallets Costs</t>
  </si>
  <si>
    <t>Carrier Costs</t>
  </si>
  <si>
    <t>Carrier Name</t>
  </si>
  <si>
    <t>Pallets Movimantation</t>
  </si>
  <si>
    <t>Labour Costs</t>
  </si>
  <si>
    <t>Other Costs</t>
  </si>
  <si>
    <t>1 - CREO L'ORDINE</t>
  </si>
  <si>
    <t>2 - INSERISCO I DETTAGLI GENERICI</t>
  </si>
  <si>
    <t>3 - AGGIUNGO LA MERCE ORDINATA</t>
  </si>
  <si>
    <t>4 - POCO ALLA VOLTA AGGIUNGO TUTTI GLI ALTRI DETTAGLI</t>
  </si>
  <si>
    <t>Quindi ogni ordini esiste come record a se stante in "orderHistory"</t>
  </si>
  <si>
    <t>e ad ogni ordine è associata una vendita di prodotti che verrà salvata in "salesHistory"</t>
  </si>
  <si>
    <t>foc_qty</t>
  </si>
  <si>
    <t>unit 
price</t>
  </si>
  <si>
    <t>disc_qty</t>
  </si>
  <si>
    <t>DISCOUNTED GOODS</t>
  </si>
  <si>
    <t>FREE OF CHARGE</t>
  </si>
  <si>
    <t>Client Details</t>
  </si>
  <si>
    <t>Pallets Movimantation Costs</t>
  </si>
  <si>
    <t>Transport Costs</t>
  </si>
  <si>
    <t>100x120</t>
  </si>
  <si>
    <t>D11</t>
  </si>
  <si>
    <t>D13</t>
  </si>
  <si>
    <t>D15</t>
  </si>
  <si>
    <t>D17</t>
  </si>
  <si>
    <t>P11</t>
  </si>
  <si>
    <t>J17</t>
  </si>
  <si>
    <t>COD CLIENTE</t>
  </si>
  <si>
    <t>D24</t>
  </si>
  <si>
    <t>D25</t>
  </si>
  <si>
    <t>D26</t>
  </si>
  <si>
    <t>VAT NO</t>
  </si>
  <si>
    <t>MT11556301</t>
  </si>
  <si>
    <t>EL800758437</t>
  </si>
  <si>
    <t>D19</t>
  </si>
  <si>
    <t>D12</t>
  </si>
  <si>
    <t>VAT No:</t>
  </si>
  <si>
    <t>Payment Type:</t>
  </si>
  <si>
    <t>Name:</t>
  </si>
  <si>
    <t>Country:</t>
  </si>
  <si>
    <t>Legal HQ:</t>
  </si>
  <si>
    <t>Profit:</t>
  </si>
  <si>
    <t>Expected Profit:</t>
  </si>
  <si>
    <t>Incoterms:</t>
  </si>
  <si>
    <t>Cartons No:</t>
  </si>
  <si>
    <t>Pallet Type:</t>
  </si>
  <si>
    <t>Pallet No:</t>
  </si>
  <si>
    <t>Net Weight:</t>
  </si>
  <si>
    <t>Gross Weight:</t>
  </si>
  <si>
    <t>Logistic Notes:</t>
  </si>
  <si>
    <t>payed</t>
  </si>
  <si>
    <t>Fercam</t>
  </si>
  <si>
    <t>ADVANCED</t>
  </si>
  <si>
    <t>Vera</t>
  </si>
  <si>
    <t>NET30</t>
  </si>
  <si>
    <t>order_id</t>
  </si>
  <si>
    <t>order_date</t>
  </si>
  <si>
    <t>carton_no</t>
  </si>
  <si>
    <t>amount_sold</t>
  </si>
  <si>
    <t>80x120</t>
  </si>
  <si>
    <t>NET60</t>
  </si>
  <si>
    <t>Orders Details</t>
  </si>
  <si>
    <t>Pick a Client</t>
  </si>
  <si>
    <t>LUXUM BEAUTY</t>
  </si>
  <si>
    <t>4BEAUTY4YOU</t>
  </si>
  <si>
    <t>GERMANY</t>
  </si>
  <si>
    <t>POLAND</t>
  </si>
  <si>
    <t>Payment 
Account:</t>
  </si>
  <si>
    <t>Logistic HQ:</t>
  </si>
  <si>
    <t>status</t>
  </si>
  <si>
    <t>LUXUM BEAUTY GMBH</t>
  </si>
  <si>
    <t>LANDHAUSSTRAßE 97</t>
  </si>
  <si>
    <t>70190 STUTTGART, GERMANY</t>
  </si>
  <si>
    <t>DE339569838</t>
  </si>
  <si>
    <t>CIP HAMBURG, GERMANY</t>
  </si>
  <si>
    <t>"BANCO DESIO" - IBAN: IT 74 T 03440 10601 000070659040</t>
  </si>
  <si>
    <t>"BANCO BPM" - IBAN: IT 98 R 05034 10500 000000000813 - (BIC)  SWIFT: BAPPIT22</t>
  </si>
  <si>
    <t>"BANCO DESIO" - IBAN: IT 59 M 03440 49110 000047251833 - (BIC) SWIFT: BDBDIT22</t>
  </si>
  <si>
    <t>Selected Row</t>
  </si>
  <si>
    <t>SHIPPED</t>
  </si>
  <si>
    <t>cost_of_goods</t>
  </si>
  <si>
    <t>ON GOING</t>
  </si>
  <si>
    <t>PRE-ORDER</t>
  </si>
  <si>
    <t>ALL</t>
  </si>
  <si>
    <t>-</t>
  </si>
  <si>
    <t>Sort By</t>
  </si>
  <si>
    <t>Sort Direction</t>
  </si>
  <si>
    <t>Descending</t>
  </si>
  <si>
    <t>SelectedOrder</t>
  </si>
  <si>
    <t>INDIRIZZO LOGISTICA 2</t>
  </si>
  <si>
    <t>INDIRIZZO LOGISTICA 1</t>
  </si>
  <si>
    <t>INDIRIZZO LOGISTICA 3</t>
  </si>
  <si>
    <t>INDIRIZZO LEGALE 1</t>
  </si>
  <si>
    <t>INDIRIZZO LEGALE 2</t>
  </si>
  <si>
    <t>INDIRIZZO LEGALE 3</t>
  </si>
  <si>
    <t>YES</t>
  </si>
  <si>
    <t>NO</t>
  </si>
  <si>
    <t>First Order Date:</t>
  </si>
  <si>
    <t>Last Order Date:</t>
  </si>
  <si>
    <t>Key Data</t>
  </si>
  <si>
    <t>Total Sold:</t>
  </si>
  <si>
    <t>Exp. Profit:</t>
  </si>
  <si>
    <t>Total Orders:</t>
  </si>
  <si>
    <t>Value of Goods:</t>
  </si>
  <si>
    <t>Ordered Products</t>
  </si>
  <si>
    <t/>
  </si>
  <si>
    <t>price</t>
  </si>
  <si>
    <t>disc_price</t>
  </si>
  <si>
    <t>tot_cost</t>
  </si>
  <si>
    <t>tot_sold</t>
  </si>
  <si>
    <t>Pick an Order</t>
  </si>
  <si>
    <t>client order</t>
  </si>
  <si>
    <t>Scroll Bar Client Value</t>
  </si>
  <si>
    <t>Scroll Bar Order</t>
  </si>
</sst>
</file>

<file path=xl/styles.xml><?xml version="1.0" encoding="utf-8"?>
<styleSheet xmlns="http://schemas.openxmlformats.org/spreadsheetml/2006/main">
  <numFmts count="17">
    <numFmt numFmtId="44" formatCode="_-* #,##0.00\ &quot;€&quot;_-;\-* #,##0.00\ &quot;€&quot;_-;_-* &quot;-&quot;??\ &quot;€&quot;_-;_-@_-"/>
    <numFmt numFmtId="164" formatCode="_-* #,##0.00_-;\-* #,##0.00_-;_-* &quot;-&quot;??_-;_-@_-"/>
    <numFmt numFmtId="165" formatCode="_(* #,##0.00_);_(* \(#,##0.00\);_(* &quot;-&quot;??_);_(@_)"/>
    <numFmt numFmtId="166" formatCode="_-&quot;€&quot;\ * #,##0.00_-;\-&quot;€&quot;\ * #,##0.00_-;_-&quot;€&quot;\ * &quot;-&quot;??_-;_-@_-"/>
    <numFmt numFmtId="167" formatCode="_(* #,##0_);_(* \(#,##0\);_(* &quot;-&quot;_);_(@_)"/>
    <numFmt numFmtId="168" formatCode="_(&quot;$&quot;* #,##0.00_);_(&quot;$&quot;* \(#,##0.00\);_(&quot;$&quot;* &quot;-&quot;??_);_(@_)"/>
    <numFmt numFmtId="169" formatCode="0.00000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(&quot;€&quot;* #,##0.00_);_(&quot;€&quot;* \(#,##0.00\);_(&quot;€&quot;* &quot;-&quot;??_);_(@_)"/>
    <numFmt numFmtId="176" formatCode="_-[$€]\ * #,##0.00_-;_-[$€]\ * #,##0.00\-;_-[$€]\ * &quot;-&quot;??_-;_-@_-"/>
    <numFmt numFmtId="177" formatCode="dd/mm/yy;@"/>
    <numFmt numFmtId="178" formatCode="\€\ #,##0.00_)"/>
    <numFmt numFmtId="179" formatCode="0\ &quot;Kg.&quot;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FFFF"/>
      <name val="Courier New"/>
      <family val="3"/>
    </font>
    <font>
      <sz val="11"/>
      <name val="Calibri"/>
      <scheme val="minor"/>
    </font>
    <font>
      <sz val="8"/>
      <color rgb="FF393E47"/>
      <name val="Arial"/>
      <family val="2"/>
    </font>
    <font>
      <sz val="12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6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</borders>
  <cellStyleXfs count="344">
    <xf numFmtId="0" fontId="0" fillId="0" borderId="0"/>
    <xf numFmtId="164" fontId="1" fillId="0" borderId="0" applyFont="0" applyFill="0" applyBorder="0" applyAlignment="0" applyProtection="0"/>
    <xf numFmtId="0" fontId="15" fillId="0" borderId="0"/>
    <xf numFmtId="166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6" fontId="15" fillId="0" borderId="0" applyFont="0" applyFill="0" applyBorder="0" applyAlignment="0" applyProtection="0"/>
    <xf numFmtId="0" fontId="1" fillId="0" borderId="0"/>
    <xf numFmtId="165" fontId="15" fillId="0" borderId="0" applyFont="0" applyFill="0" applyBorder="0" applyAlignment="0" applyProtection="0"/>
    <xf numFmtId="165" fontId="19" fillId="0" borderId="0" applyFont="0" applyFill="0" applyBorder="0" applyAlignment="0" applyProtection="0"/>
    <xf numFmtId="164" fontId="15" fillId="0" borderId="0" applyFont="0" applyFill="0" applyBorder="0" applyAlignment="0" applyProtection="0"/>
    <xf numFmtId="168" fontId="1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6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" fillId="0" borderId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6" fontId="15" fillId="0" borderId="0" applyFont="0" applyFill="0" applyBorder="0" applyAlignment="0" applyProtection="0"/>
    <xf numFmtId="165" fontId="16" fillId="0" borderId="0" applyFont="0" applyFill="0" applyBorder="0" applyAlignment="0" applyProtection="0"/>
    <xf numFmtId="0" fontId="15" fillId="0" borderId="0"/>
    <xf numFmtId="0" fontId="1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49" fontId="26" fillId="20" borderId="32" applyAlignment="0"/>
    <xf numFmtId="49" fontId="26" fillId="21" borderId="33" applyAlignment="0">
      <protection locked="0"/>
    </xf>
    <xf numFmtId="49" fontId="26" fillId="21" borderId="33" applyAlignment="0">
      <protection locked="0"/>
    </xf>
    <xf numFmtId="0" fontId="21" fillId="4" borderId="0" applyNumberFormat="0" applyBorder="0" applyAlignment="0" applyProtection="0"/>
    <xf numFmtId="49" fontId="26" fillId="21" borderId="33" applyAlignment="0">
      <protection locked="0"/>
    </xf>
    <xf numFmtId="49" fontId="26" fillId="21" borderId="33" applyAlignment="0">
      <protection locked="0"/>
    </xf>
    <xf numFmtId="49" fontId="26" fillId="21" borderId="33" applyAlignment="0">
      <protection locked="0"/>
    </xf>
    <xf numFmtId="49" fontId="26" fillId="21" borderId="33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6" fillId="22" borderId="32" applyAlignment="0"/>
    <xf numFmtId="49" fontId="27" fillId="23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" fillId="0" borderId="0" applyFont="0" applyFill="0" applyBorder="0" applyAlignment="0" applyProtection="0"/>
    <xf numFmtId="176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49" fontId="26" fillId="24" borderId="34" applyAlignment="0"/>
    <xf numFmtId="0" fontId="20" fillId="3" borderId="0" applyNumberFormat="0" applyBorder="0" applyAlignment="0">
      <protection locked="0"/>
    </xf>
    <xf numFmtId="0" fontId="20" fillId="3" borderId="0" applyNumberFormat="0" applyBorder="0" applyAlignment="0" applyProtection="0"/>
    <xf numFmtId="0" fontId="20" fillId="3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8" fillId="25" borderId="20">
      <alignment horizontal="left" vertical="top"/>
      <protection locked="0"/>
    </xf>
    <xf numFmtId="0" fontId="22" fillId="5" borderId="0" applyNumberFormat="0" applyBorder="0" applyAlignment="0">
      <protection locked="0"/>
    </xf>
    <xf numFmtId="0" fontId="22" fillId="5" borderId="0" applyNumberFormat="0" applyBorder="0" applyAlignment="0" applyProtection="0"/>
    <xf numFmtId="0" fontId="22" fillId="5" borderId="0" applyNumberFormat="0" applyBorder="0" applyAlignment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0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49" fontId="26" fillId="0" borderId="0">
      <protection locked="0"/>
    </xf>
    <xf numFmtId="0" fontId="1" fillId="6" borderId="21" applyNumberFormat="0" applyFont="0" applyAlignment="0" applyProtection="0"/>
    <xf numFmtId="0" fontId="1" fillId="6" borderId="21" applyNumberFormat="0" applyFont="0" applyAlignment="0" applyProtection="0"/>
    <xf numFmtId="0" fontId="1" fillId="6" borderId="21" applyNumberFormat="0" applyFont="0" applyAlignment="0" applyProtection="0"/>
    <xf numFmtId="0" fontId="1" fillId="6" borderId="21" applyNumberFormat="0" applyFont="0" applyAlignment="0" applyProtection="0"/>
    <xf numFmtId="49" fontId="26" fillId="26" borderId="32" applyAlignment="0"/>
    <xf numFmtId="49" fontId="32" fillId="27" borderId="33">
      <alignment horizontal="center" wrapText="1"/>
    </xf>
    <xf numFmtId="49" fontId="32" fillId="27" borderId="33">
      <alignment horizontal="center" wrapText="1"/>
    </xf>
    <xf numFmtId="49" fontId="32" fillId="28" borderId="33">
      <alignment horizontal="center" wrapText="1"/>
    </xf>
    <xf numFmtId="49" fontId="32" fillId="28" borderId="33">
      <alignment horizontal="center" wrapText="1"/>
    </xf>
    <xf numFmtId="49" fontId="32" fillId="29" borderId="20">
      <alignment horizontal="center" wrapText="1"/>
    </xf>
    <xf numFmtId="49" fontId="32" fillId="30" borderId="33">
      <alignment horizontal="center" wrapText="1"/>
    </xf>
    <xf numFmtId="49" fontId="32" fillId="30" borderId="33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2" fillId="31" borderId="20">
      <alignment horizontal="center" wrapText="1"/>
    </xf>
    <xf numFmtId="49" fontId="32" fillId="22" borderId="20">
      <alignment horizontal="center" wrapText="1"/>
    </xf>
    <xf numFmtId="49" fontId="26" fillId="22" borderId="32" applyAlignment="0"/>
    <xf numFmtId="49" fontId="32" fillId="32" borderId="20">
      <alignment horizontal="center" wrapText="1"/>
    </xf>
    <xf numFmtId="0" fontId="15" fillId="0" borderId="0"/>
    <xf numFmtId="0" fontId="15" fillId="0" borderId="0"/>
    <xf numFmtId="49" fontId="26" fillId="0" borderId="0" applyFont="0" applyFill="0" applyBorder="0">
      <alignment wrapText="1"/>
    </xf>
    <xf numFmtId="0" fontId="3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6" fillId="33" borderId="33">
      <protection locked="0"/>
    </xf>
    <xf numFmtId="49" fontId="26" fillId="33" borderId="33">
      <protection locked="0"/>
    </xf>
    <xf numFmtId="0" fontId="34" fillId="0" borderId="0"/>
    <xf numFmtId="0" fontId="40" fillId="0" borderId="0" applyNumberFormat="0" applyFill="0" applyBorder="0" applyAlignment="0" applyProtection="0">
      <alignment vertical="top"/>
      <protection locked="0"/>
    </xf>
  </cellStyleXfs>
  <cellXfs count="63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19" xfId="0" applyBorder="1"/>
    <xf numFmtId="0" fontId="0" fillId="0" borderId="0" xfId="0"/>
    <xf numFmtId="1" fontId="0" fillId="0" borderId="0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13" xfId="0" applyBorder="1" applyAlignment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Alignment="1">
      <alignment wrapText="1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/>
    </xf>
    <xf numFmtId="170" fontId="0" fillId="0" borderId="0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 applyAlignment="1">
      <alignment horizontal="center" vertical="center"/>
    </xf>
    <xf numFmtId="0" fontId="15" fillId="2" borderId="23" xfId="2" applyFont="1" applyFill="1" applyBorder="1" applyAlignment="1">
      <alignment vertical="center"/>
    </xf>
    <xf numFmtId="0" fontId="15" fillId="2" borderId="23" xfId="2" applyFont="1" applyFill="1" applyBorder="1" applyAlignment="1">
      <alignment horizontal="right" vertical="center"/>
    </xf>
    <xf numFmtId="0" fontId="15" fillId="2" borderId="23" xfId="2" applyFont="1" applyFill="1" applyBorder="1" applyAlignment="1">
      <alignment horizontal="left" vertical="center"/>
    </xf>
    <xf numFmtId="0" fontId="15" fillId="2" borderId="24" xfId="2" applyFont="1" applyFill="1" applyBorder="1" applyAlignment="1">
      <alignment vertical="center"/>
    </xf>
    <xf numFmtId="0" fontId="15" fillId="2" borderId="24" xfId="2" applyFill="1" applyBorder="1" applyAlignment="1">
      <alignment vertical="center"/>
    </xf>
    <xf numFmtId="0" fontId="15" fillId="2" borderId="0" xfId="2" applyFont="1" applyFill="1" applyAlignment="1">
      <alignment vertical="center"/>
    </xf>
    <xf numFmtId="0" fontId="15" fillId="2" borderId="14" xfId="2" applyFont="1" applyFill="1" applyBorder="1" applyAlignment="1">
      <alignment vertical="center"/>
    </xf>
    <xf numFmtId="0" fontId="15" fillId="2" borderId="0" xfId="2" applyFont="1" applyFill="1" applyBorder="1" applyAlignment="1">
      <alignment vertical="center"/>
    </xf>
    <xf numFmtId="0" fontId="15" fillId="2" borderId="0" xfId="2" applyFont="1" applyFill="1" applyBorder="1" applyAlignment="1">
      <alignment horizontal="right" vertical="center"/>
    </xf>
    <xf numFmtId="0" fontId="15" fillId="2" borderId="0" xfId="2" applyFont="1" applyFill="1" applyBorder="1" applyAlignment="1">
      <alignment horizontal="left" vertical="center"/>
    </xf>
    <xf numFmtId="0" fontId="15" fillId="2" borderId="25" xfId="2" applyFont="1" applyFill="1" applyBorder="1" applyAlignment="1">
      <alignment vertical="center"/>
    </xf>
    <xf numFmtId="0" fontId="16" fillId="2" borderId="14" xfId="2" applyNumberFormat="1" applyFont="1" applyFill="1" applyBorder="1" applyAlignment="1" applyProtection="1">
      <alignment horizontal="left" vertical="center" indent="1"/>
    </xf>
    <xf numFmtId="0" fontId="16" fillId="2" borderId="0" xfId="2" applyNumberFormat="1" applyFont="1" applyFill="1" applyBorder="1" applyAlignment="1" applyProtection="1">
      <alignment vertical="center"/>
    </xf>
    <xf numFmtId="0" fontId="16" fillId="19" borderId="0" xfId="2" applyFont="1" applyFill="1" applyBorder="1" applyAlignment="1">
      <alignment vertical="center"/>
    </xf>
    <xf numFmtId="0" fontId="15" fillId="2" borderId="25" xfId="2" applyFill="1" applyBorder="1" applyAlignment="1">
      <alignment vertical="center"/>
    </xf>
    <xf numFmtId="0" fontId="15" fillId="2" borderId="14" xfId="2" applyNumberFormat="1" applyFill="1" applyBorder="1" applyAlignment="1" applyProtection="1">
      <alignment horizontal="left" vertical="center" indent="1"/>
    </xf>
    <xf numFmtId="0" fontId="15" fillId="2" borderId="0" xfId="2" applyNumberFormat="1" applyFont="1" applyFill="1" applyBorder="1" applyAlignment="1" applyProtection="1">
      <alignment vertical="center"/>
    </xf>
    <xf numFmtId="0" fontId="15" fillId="2" borderId="14" xfId="2" applyNumberFormat="1" applyFont="1" applyFill="1" applyBorder="1" applyAlignment="1" applyProtection="1">
      <alignment horizontal="left" vertical="center" indent="1"/>
    </xf>
    <xf numFmtId="0" fontId="15" fillId="2" borderId="0" xfId="2" applyNumberFormat="1" applyFont="1" applyFill="1" applyBorder="1" applyAlignment="1" applyProtection="1">
      <alignment horizontal="left" vertical="center"/>
    </xf>
    <xf numFmtId="0" fontId="15" fillId="2" borderId="26" xfId="2" applyFont="1" applyFill="1" applyBorder="1" applyAlignment="1">
      <alignment vertical="center"/>
    </xf>
    <xf numFmtId="0" fontId="15" fillId="2" borderId="27" xfId="2" applyFont="1" applyFill="1" applyBorder="1" applyAlignment="1">
      <alignment vertical="center"/>
    </xf>
    <xf numFmtId="0" fontId="15" fillId="2" borderId="27" xfId="2" applyFont="1" applyFill="1" applyBorder="1" applyAlignment="1">
      <alignment horizontal="right" vertical="center"/>
    </xf>
    <xf numFmtId="0" fontId="15" fillId="2" borderId="27" xfId="2" applyFont="1" applyFill="1" applyBorder="1" applyAlignment="1">
      <alignment horizontal="left" vertical="center"/>
    </xf>
    <xf numFmtId="0" fontId="15" fillId="2" borderId="28" xfId="2" applyFont="1" applyFill="1" applyBorder="1" applyAlignment="1">
      <alignment vertical="center"/>
    </xf>
    <xf numFmtId="0" fontId="15" fillId="2" borderId="26" xfId="2" applyNumberFormat="1" applyFont="1" applyFill="1" applyBorder="1" applyAlignment="1" applyProtection="1">
      <alignment horizontal="left" vertical="center" indent="1"/>
    </xf>
    <xf numFmtId="0" fontId="15" fillId="2" borderId="27" xfId="2" applyNumberFormat="1" applyFont="1" applyFill="1" applyBorder="1" applyAlignment="1" applyProtection="1">
      <alignment horizontal="left" vertical="center"/>
    </xf>
    <xf numFmtId="0" fontId="15" fillId="19" borderId="27" xfId="2" applyFont="1" applyFill="1" applyBorder="1" applyAlignment="1">
      <alignment vertical="center"/>
    </xf>
    <xf numFmtId="0" fontId="23" fillId="2" borderId="24" xfId="2" applyFont="1" applyFill="1" applyBorder="1" applyAlignment="1">
      <alignment vertical="top"/>
    </xf>
    <xf numFmtId="0" fontId="15" fillId="2" borderId="26" xfId="2" applyNumberFormat="1" applyFill="1" applyBorder="1" applyAlignment="1" applyProtection="1">
      <alignment vertical="center"/>
    </xf>
    <xf numFmtId="0" fontId="15" fillId="2" borderId="27" xfId="2" applyNumberFormat="1" applyFont="1" applyFill="1" applyBorder="1" applyAlignment="1" applyProtection="1">
      <alignment vertical="center"/>
    </xf>
    <xf numFmtId="0" fontId="15" fillId="2" borderId="28" xfId="2" applyNumberFormat="1" applyFont="1" applyFill="1" applyBorder="1" applyAlignment="1" applyProtection="1">
      <alignment vertical="center"/>
    </xf>
    <xf numFmtId="0" fontId="15" fillId="19" borderId="14" xfId="2" applyFont="1" applyFill="1" applyBorder="1" applyAlignment="1">
      <alignment horizontal="left" vertical="center"/>
    </xf>
    <xf numFmtId="0" fontId="16" fillId="19" borderId="14" xfId="2" applyFont="1" applyFill="1" applyBorder="1" applyAlignment="1">
      <alignment horizontal="left" vertical="center"/>
    </xf>
    <xf numFmtId="0" fontId="16" fillId="2" borderId="0" xfId="2" applyNumberFormat="1" applyFont="1" applyFill="1" applyBorder="1" applyAlignment="1" applyProtection="1">
      <alignment horizontal="right" vertical="center"/>
    </xf>
    <xf numFmtId="0" fontId="16" fillId="2" borderId="25" xfId="2" applyNumberFormat="1" applyFont="1" applyFill="1" applyBorder="1" applyAlignment="1" applyProtection="1">
      <alignment vertical="center"/>
    </xf>
    <xf numFmtId="0" fontId="16" fillId="2" borderId="30" xfId="2" applyNumberFormat="1" applyFont="1" applyFill="1" applyBorder="1" applyAlignment="1" applyProtection="1">
      <alignment horizontal="center" vertical="center"/>
    </xf>
    <xf numFmtId="0" fontId="15" fillId="2" borderId="29" xfId="2" applyNumberFormat="1" applyFont="1" applyFill="1" applyBorder="1" applyAlignment="1" applyProtection="1">
      <alignment horizontal="left" vertical="center"/>
    </xf>
    <xf numFmtId="0" fontId="15" fillId="2" borderId="30" xfId="2" applyFont="1" applyFill="1" applyBorder="1" applyAlignment="1">
      <alignment vertical="center"/>
    </xf>
    <xf numFmtId="0" fontId="15" fillId="19" borderId="14" xfId="2" applyFont="1" applyFill="1" applyBorder="1" applyAlignment="1">
      <alignment horizontal="center" vertical="center"/>
    </xf>
    <xf numFmtId="0" fontId="15" fillId="2" borderId="0" xfId="2" applyNumberFormat="1" applyFont="1" applyFill="1" applyBorder="1" applyAlignment="1" applyProtection="1">
      <alignment horizontal="center" vertical="center"/>
    </xf>
    <xf numFmtId="171" fontId="15" fillId="2" borderId="0" xfId="2" applyNumberFormat="1" applyFont="1" applyFill="1" applyBorder="1" applyAlignment="1" applyProtection="1">
      <alignment horizontal="center" vertical="center"/>
    </xf>
    <xf numFmtId="0" fontId="15" fillId="2" borderId="25" xfId="2" applyNumberFormat="1" applyFont="1" applyFill="1" applyBorder="1" applyAlignment="1" applyProtection="1">
      <alignment vertical="center"/>
    </xf>
    <xf numFmtId="4" fontId="3" fillId="19" borderId="30" xfId="2" applyNumberFormat="1" applyFont="1" applyFill="1" applyBorder="1" applyAlignment="1" applyProtection="1">
      <alignment horizontal="center" vertical="center"/>
    </xf>
    <xf numFmtId="3" fontId="15" fillId="19" borderId="30" xfId="2" applyNumberFormat="1" applyFont="1" applyFill="1" applyBorder="1" applyAlignment="1" applyProtection="1">
      <alignment horizontal="center" vertical="center"/>
    </xf>
    <xf numFmtId="0" fontId="15" fillId="2" borderId="30" xfId="2" applyNumberFormat="1" applyFont="1" applyFill="1" applyBorder="1" applyAlignment="1" applyProtection="1">
      <alignment horizontal="center" vertical="center"/>
    </xf>
    <xf numFmtId="0" fontId="15" fillId="2" borderId="30" xfId="2" applyNumberFormat="1" applyFill="1" applyBorder="1" applyAlignment="1">
      <alignment horizontal="center" vertical="center"/>
    </xf>
    <xf numFmtId="0" fontId="15" fillId="19" borderId="14" xfId="2" applyFill="1" applyBorder="1" applyAlignment="1">
      <alignment horizontal="left" vertical="center"/>
    </xf>
    <xf numFmtId="4" fontId="23" fillId="19" borderId="30" xfId="2" applyNumberFormat="1" applyFont="1" applyFill="1" applyBorder="1" applyAlignment="1" applyProtection="1">
      <alignment horizontal="center" vertical="center"/>
    </xf>
    <xf numFmtId="0" fontId="15" fillId="19" borderId="14" xfId="2" applyFill="1" applyBorder="1" applyAlignment="1">
      <alignment horizontal="center" vertical="center"/>
    </xf>
    <xf numFmtId="0" fontId="15" fillId="2" borderId="30" xfId="2" applyNumberFormat="1" applyFont="1" applyFill="1" applyBorder="1" applyAlignment="1" applyProtection="1">
      <alignment vertical="center"/>
    </xf>
    <xf numFmtId="0" fontId="16" fillId="2" borderId="14" xfId="2" applyNumberFormat="1" applyFont="1" applyFill="1" applyBorder="1" applyAlignment="1" applyProtection="1">
      <alignment vertical="center"/>
    </xf>
    <xf numFmtId="1" fontId="15" fillId="2" borderId="27" xfId="2" applyNumberFormat="1" applyFont="1" applyFill="1" applyBorder="1" applyAlignment="1" applyProtection="1">
      <alignment horizontal="right" vertical="center"/>
    </xf>
    <xf numFmtId="3" fontId="15" fillId="2" borderId="31" xfId="2" applyNumberFormat="1" applyFont="1" applyFill="1" applyBorder="1" applyAlignment="1" applyProtection="1">
      <alignment horizontal="center" vertical="center"/>
    </xf>
    <xf numFmtId="2" fontId="15" fillId="2" borderId="26" xfId="2" applyNumberFormat="1" applyFont="1" applyFill="1" applyBorder="1" applyAlignment="1" applyProtection="1">
      <alignment horizontal="left" vertical="center"/>
    </xf>
    <xf numFmtId="0" fontId="15" fillId="2" borderId="31" xfId="2" applyFont="1" applyFill="1" applyBorder="1" applyAlignment="1">
      <alignment vertical="center"/>
    </xf>
    <xf numFmtId="0" fontId="15" fillId="2" borderId="27" xfId="2" applyFont="1" applyFill="1" applyBorder="1" applyAlignment="1">
      <alignment horizontal="left" vertical="center"/>
    </xf>
    <xf numFmtId="0" fontId="23" fillId="2" borderId="0" xfId="2" applyFont="1" applyFill="1" applyAlignment="1">
      <alignment vertical="center"/>
    </xf>
    <xf numFmtId="0" fontId="23" fillId="2" borderId="29" xfId="2" applyNumberFormat="1" applyFont="1" applyFill="1" applyBorder="1" applyAlignment="1" applyProtection="1">
      <alignment horizontal="left" vertical="top"/>
    </xf>
    <xf numFmtId="0" fontId="3" fillId="2" borderId="0" xfId="2" applyFont="1" applyFill="1" applyAlignment="1">
      <alignment vertical="center"/>
    </xf>
    <xf numFmtId="0" fontId="15" fillId="2" borderId="0" xfId="2" applyFont="1" applyFill="1" applyAlignment="1">
      <alignment horizontal="right" vertical="center"/>
    </xf>
    <xf numFmtId="0" fontId="15" fillId="2" borderId="0" xfId="2" applyFont="1" applyFill="1" applyAlignment="1">
      <alignment horizontal="left" vertical="center"/>
    </xf>
    <xf numFmtId="0" fontId="15" fillId="19" borderId="0" xfId="2" applyFont="1" applyFill="1" applyAlignment="1">
      <alignment vertical="center"/>
    </xf>
    <xf numFmtId="0" fontId="15" fillId="2" borderId="0" xfId="2" applyFill="1" applyAlignment="1">
      <alignment vertical="center"/>
    </xf>
    <xf numFmtId="0" fontId="15" fillId="2" borderId="23" xfId="40" applyFont="1" applyFill="1" applyBorder="1" applyAlignment="1">
      <alignment vertical="center"/>
    </xf>
    <xf numFmtId="0" fontId="23" fillId="2" borderId="22" xfId="40" applyFont="1" applyFill="1" applyBorder="1" applyAlignment="1">
      <alignment vertical="top"/>
    </xf>
    <xf numFmtId="0" fontId="23" fillId="2" borderId="23" xfId="40" applyFont="1" applyFill="1" applyBorder="1" applyAlignment="1">
      <alignment vertical="top"/>
    </xf>
    <xf numFmtId="0" fontId="23" fillId="2" borderId="23" xfId="40" applyFont="1" applyFill="1" applyBorder="1" applyAlignment="1">
      <alignment horizontal="right" vertical="top"/>
    </xf>
    <xf numFmtId="0" fontId="23" fillId="2" borderId="22" xfId="40" applyFont="1" applyFill="1" applyBorder="1" applyAlignment="1">
      <alignment horizontal="left" vertical="top"/>
    </xf>
    <xf numFmtId="0" fontId="23" fillId="2" borderId="23" xfId="40" applyFont="1" applyFill="1" applyBorder="1" applyAlignment="1">
      <alignment horizontal="left" vertical="top"/>
    </xf>
    <xf numFmtId="0" fontId="23" fillId="2" borderId="24" xfId="40" applyFont="1" applyFill="1" applyBorder="1" applyAlignment="1">
      <alignment horizontal="left" vertical="top"/>
    </xf>
    <xf numFmtId="0" fontId="23" fillId="2" borderId="24" xfId="40" applyFont="1" applyFill="1" applyBorder="1" applyAlignment="1">
      <alignment vertical="top"/>
    </xf>
    <xf numFmtId="0" fontId="23" fillId="2" borderId="24" xfId="40" applyFont="1" applyFill="1" applyBorder="1" applyAlignment="1">
      <alignment horizontal="right" vertical="top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 applyBorder="1" applyAlignment="1"/>
    <xf numFmtId="0" fontId="5" fillId="0" borderId="0" xfId="41" applyFont="1" applyBorder="1" applyAlignme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Border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4" fillId="0" borderId="2" xfId="41" applyFont="1" applyBorder="1" applyAlignment="1" applyProtection="1">
      <alignment horizontal="center" vertical="center" shrinkToFit="1"/>
      <protection locked="0"/>
    </xf>
    <xf numFmtId="0" fontId="24" fillId="0" borderId="2" xfId="41" applyFont="1" applyBorder="1" applyAlignment="1" applyProtection="1">
      <alignment horizontal="left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 applyAlignment="1"/>
    <xf numFmtId="0" fontId="6" fillId="0" borderId="5" xfId="41" applyFont="1" applyBorder="1"/>
    <xf numFmtId="0" fontId="8" fillId="0" borderId="6" xfId="41" applyFont="1" applyFill="1" applyBorder="1" applyAlignment="1" applyProtection="1">
      <alignment vertical="center" shrinkToFit="1"/>
      <protection locked="0"/>
    </xf>
    <xf numFmtId="0" fontId="8" fillId="0" borderId="7" xfId="41" applyFont="1" applyFill="1" applyBorder="1" applyAlignment="1" applyProtection="1">
      <alignment vertical="center" shrinkToFit="1"/>
      <protection locked="0"/>
    </xf>
    <xf numFmtId="0" fontId="8" fillId="0" borderId="8" xfId="41" applyFont="1" applyFill="1" applyBorder="1" applyAlignment="1" applyProtection="1">
      <alignment vertical="center" shrinkToFit="1"/>
      <protection locked="0"/>
    </xf>
    <xf numFmtId="1" fontId="8" fillId="0" borderId="6" xfId="41" applyNumberFormat="1" applyFont="1" applyFill="1" applyBorder="1" applyAlignment="1" applyProtection="1">
      <alignment vertical="center" shrinkToFit="1"/>
      <protection locked="0"/>
    </xf>
    <xf numFmtId="172" fontId="8" fillId="0" borderId="15" xfId="41" applyNumberFormat="1" applyFont="1" applyFill="1" applyBorder="1" applyAlignment="1" applyProtection="1">
      <alignment vertical="center" shrinkToFit="1"/>
      <protection locked="0"/>
    </xf>
    <xf numFmtId="0" fontId="9" fillId="0" borderId="9" xfId="41" applyFont="1" applyFill="1" applyBorder="1" applyAlignment="1" applyProtection="1">
      <alignment vertical="center" shrinkToFit="1"/>
      <protection locked="0"/>
    </xf>
    <xf numFmtId="0" fontId="9" fillId="0" borderId="0" xfId="41" applyFont="1" applyFill="1" applyAlignment="1" applyProtection="1">
      <alignment vertical="center" shrinkToFit="1"/>
      <protection locked="0"/>
    </xf>
    <xf numFmtId="0" fontId="9" fillId="0" borderId="10" xfId="41" applyFont="1" applyFill="1" applyBorder="1" applyAlignment="1" applyProtection="1">
      <alignment vertical="center" shrinkToFit="1"/>
      <protection locked="0"/>
    </xf>
    <xf numFmtId="2" fontId="9" fillId="0" borderId="9" xfId="41" applyNumberFormat="1" applyFont="1" applyFill="1" applyBorder="1" applyAlignment="1" applyProtection="1">
      <alignment horizontal="center" vertical="center" shrinkToFit="1"/>
      <protection locked="0"/>
    </xf>
    <xf numFmtId="172" fontId="9" fillId="0" borderId="15" xfId="41" applyNumberFormat="1" applyFont="1" applyFill="1" applyBorder="1" applyAlignment="1" applyProtection="1">
      <alignment horizontal="center" vertical="center" shrinkToFit="1"/>
      <protection locked="0"/>
    </xf>
    <xf numFmtId="0" fontId="9" fillId="0" borderId="9" xfId="41" applyFont="1" applyFill="1" applyBorder="1" applyAlignment="1" applyProtection="1">
      <alignment horizontal="left" vertical="center" shrinkToFit="1"/>
      <protection locked="0"/>
    </xf>
    <xf numFmtId="0" fontId="9" fillId="0" borderId="0" xfId="41" applyFont="1" applyFill="1" applyAlignment="1" applyProtection="1">
      <alignment horizontal="left" vertical="center" shrinkToFit="1"/>
      <protection locked="0"/>
    </xf>
    <xf numFmtId="0" fontId="9" fillId="0" borderId="10" xfId="41" applyFont="1" applyFill="1" applyBorder="1" applyAlignment="1" applyProtection="1">
      <alignment horizontal="left" vertical="center" shrinkToFit="1"/>
      <protection locked="0"/>
    </xf>
    <xf numFmtId="0" fontId="9" fillId="0" borderId="0" xfId="41" applyFont="1" applyFill="1" applyBorder="1" applyAlignment="1" applyProtection="1">
      <alignment vertical="center" shrinkToFit="1"/>
      <protection locked="0"/>
    </xf>
    <xf numFmtId="2" fontId="9" fillId="0" borderId="11" xfId="41" applyNumberFormat="1" applyFont="1" applyFill="1" applyBorder="1" applyAlignment="1" applyProtection="1">
      <alignment horizontal="center" vertical="center" shrinkToFit="1"/>
      <protection locked="0"/>
    </xf>
    <xf numFmtId="0" fontId="8" fillId="0" borderId="9" xfId="41" applyFont="1" applyFill="1" applyBorder="1" applyAlignment="1" applyProtection="1">
      <alignment vertical="center" shrinkToFit="1"/>
      <protection locked="0"/>
    </xf>
    <xf numFmtId="0" fontId="8" fillId="0" borderId="0" xfId="41" applyFont="1" applyFill="1" applyBorder="1" applyAlignment="1" applyProtection="1">
      <alignment vertical="center" shrinkToFit="1"/>
      <protection locked="0"/>
    </xf>
    <xf numFmtId="0" fontId="8" fillId="0" borderId="10" xfId="41" applyFont="1" applyFill="1" applyBorder="1" applyAlignment="1" applyProtection="1">
      <alignment vertical="center" shrinkToFit="1"/>
      <protection locked="0"/>
    </xf>
    <xf numFmtId="0" fontId="8" fillId="0" borderId="9" xfId="41" applyFont="1" applyFill="1" applyBorder="1" applyAlignment="1" applyProtection="1">
      <alignment vertical="center"/>
      <protection locked="0"/>
    </xf>
    <xf numFmtId="0" fontId="6" fillId="0" borderId="1" xfId="41" applyFont="1" applyFill="1" applyBorder="1" applyAlignment="1">
      <alignment vertical="center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0" fontId="2" fillId="0" borderId="0" xfId="0" applyFont="1"/>
    <xf numFmtId="170" fontId="0" fillId="0" borderId="0" xfId="0" applyNumberFormat="1" applyAlignment="1">
      <alignment horizontal="right"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49" fontId="25" fillId="0" borderId="0" xfId="0" applyNumberFormat="1" applyFont="1" applyAlignment="1">
      <alignment horizontal="center" vertical="center"/>
    </xf>
    <xf numFmtId="0" fontId="0" fillId="0" borderId="35" xfId="0" applyBorder="1" applyAlignment="1">
      <alignment horizontal="center"/>
    </xf>
    <xf numFmtId="170" fontId="0" fillId="0" borderId="35" xfId="0" applyNumberFormat="1" applyBorder="1" applyAlignment="1">
      <alignment horizontal="center"/>
    </xf>
    <xf numFmtId="170" fontId="0" fillId="0" borderId="35" xfId="0" applyNumberFormat="1" applyBorder="1" applyAlignment="1">
      <alignment horizontal="center" vertical="center"/>
    </xf>
    <xf numFmtId="0" fontId="0" fillId="0" borderId="17" xfId="0" applyBorder="1"/>
    <xf numFmtId="0" fontId="15" fillId="2" borderId="24" xfId="2" applyFont="1" applyFill="1" applyBorder="1" applyAlignment="1">
      <alignment horizontal="left" vertical="center"/>
    </xf>
    <xf numFmtId="0" fontId="23" fillId="2" borderId="14" xfId="40" applyFont="1" applyFill="1" applyBorder="1" applyAlignment="1">
      <alignment vertical="top"/>
    </xf>
    <xf numFmtId="0" fontId="23" fillId="2" borderId="25" xfId="40" applyFont="1" applyFill="1" applyBorder="1" applyAlignment="1">
      <alignment vertical="top"/>
    </xf>
    <xf numFmtId="0" fontId="23" fillId="2" borderId="14" xfId="40" applyFont="1" applyFill="1" applyBorder="1" applyAlignment="1">
      <alignment horizontal="left" vertical="top"/>
    </xf>
    <xf numFmtId="0" fontId="23" fillId="2" borderId="25" xfId="40" applyFont="1" applyFill="1" applyBorder="1" applyAlignment="1">
      <alignment horizontal="right" vertical="top"/>
    </xf>
    <xf numFmtId="0" fontId="23" fillId="2" borderId="24" xfId="2" applyFont="1" applyFill="1" applyBorder="1" applyAlignment="1">
      <alignment vertical="center"/>
    </xf>
    <xf numFmtId="0" fontId="23" fillId="2" borderId="22" xfId="2" applyNumberFormat="1" applyFont="1" applyFill="1" applyBorder="1" applyAlignment="1" applyProtection="1">
      <alignment vertical="top"/>
    </xf>
    <xf numFmtId="0" fontId="23" fillId="2" borderId="23" xfId="2" applyNumberFormat="1" applyFont="1" applyFill="1" applyBorder="1" applyAlignment="1" applyProtection="1">
      <alignment vertical="top"/>
    </xf>
    <xf numFmtId="0" fontId="23" fillId="2" borderId="24" xfId="2" applyNumberFormat="1" applyFont="1" applyFill="1" applyBorder="1" applyAlignment="1" applyProtection="1">
      <alignment vertical="top"/>
    </xf>
    <xf numFmtId="1" fontId="16" fillId="19" borderId="29" xfId="2" applyNumberFormat="1" applyFont="1" applyFill="1" applyBorder="1" applyAlignment="1" applyProtection="1">
      <alignment horizontal="center" vertical="center"/>
    </xf>
    <xf numFmtId="1" fontId="15" fillId="19" borderId="30" xfId="5" applyNumberFormat="1" applyFont="1" applyFill="1" applyBorder="1" applyAlignment="1" applyProtection="1">
      <alignment horizontal="center" vertical="center"/>
    </xf>
    <xf numFmtId="1" fontId="15" fillId="19" borderId="31" xfId="5" applyNumberFormat="1" applyFont="1" applyFill="1" applyBorder="1" applyAlignment="1" applyProtection="1">
      <alignment horizontal="center" vertical="center"/>
    </xf>
    <xf numFmtId="1" fontId="15" fillId="19" borderId="30" xfId="2" applyNumberFormat="1" applyFont="1" applyFill="1" applyBorder="1" applyAlignment="1" applyProtection="1">
      <alignment horizontal="center" vertical="center"/>
    </xf>
    <xf numFmtId="1" fontId="15" fillId="2" borderId="30" xfId="2" applyNumberFormat="1" applyFont="1" applyFill="1" applyBorder="1" applyAlignment="1" applyProtection="1">
      <alignment horizontal="center" vertical="center"/>
    </xf>
    <xf numFmtId="1" fontId="15" fillId="19" borderId="30" xfId="3" applyNumberFormat="1" applyFont="1" applyFill="1" applyBorder="1" applyAlignment="1" applyProtection="1">
      <alignment horizontal="center" vertical="center"/>
    </xf>
    <xf numFmtId="1" fontId="15" fillId="2" borderId="30" xfId="2" applyNumberFormat="1" applyFont="1" applyFill="1" applyBorder="1" applyAlignment="1" applyProtection="1">
      <alignment vertical="center"/>
    </xf>
    <xf numFmtId="1" fontId="15" fillId="2" borderId="31" xfId="4" applyNumberFormat="1" applyFont="1" applyFill="1" applyBorder="1" applyAlignment="1" applyProtection="1">
      <alignment horizontal="center" vertical="center"/>
    </xf>
    <xf numFmtId="1" fontId="15" fillId="2" borderId="26" xfId="2" applyNumberFormat="1" applyFont="1" applyFill="1" applyBorder="1" applyAlignment="1" applyProtection="1">
      <alignment horizontal="left" vertical="center"/>
    </xf>
    <xf numFmtId="1" fontId="15" fillId="19" borderId="14" xfId="3" applyNumberFormat="1" applyFont="1" applyFill="1" applyBorder="1" applyAlignment="1" applyProtection="1">
      <alignment horizontal="center" vertical="center"/>
    </xf>
    <xf numFmtId="0" fontId="15" fillId="0" borderId="0" xfId="2" applyFont="1"/>
    <xf numFmtId="0" fontId="15" fillId="0" borderId="0" xfId="2" applyFont="1" applyAlignment="1">
      <alignment horizontal="center"/>
    </xf>
    <xf numFmtId="1" fontId="15" fillId="0" borderId="0" xfId="6" applyNumberFormat="1" applyFont="1" applyFill="1" applyBorder="1" applyAlignment="1">
      <alignment horizontal="center" vertical="center" wrapText="1"/>
    </xf>
    <xf numFmtId="0" fontId="15" fillId="0" borderId="0" xfId="2" applyFont="1" applyBorder="1"/>
    <xf numFmtId="0" fontId="15" fillId="0" borderId="0" xfId="2" applyFont="1" applyBorder="1" applyAlignment="1">
      <alignment horizontal="center"/>
    </xf>
    <xf numFmtId="1" fontId="15" fillId="0" borderId="0" xfId="2" applyNumberFormat="1" applyFont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15" fillId="0" borderId="0" xfId="2" applyNumberFormat="1" applyFill="1" applyAlignment="1">
      <alignment horizontal="center" vertical="center"/>
    </xf>
    <xf numFmtId="1" fontId="17" fillId="0" borderId="0" xfId="2" applyNumberFormat="1" applyFont="1" applyFill="1" applyAlignment="1">
      <alignment horizontal="center" vertical="center" wrapText="1"/>
    </xf>
    <xf numFmtId="169" fontId="17" fillId="0" borderId="0" xfId="2" applyNumberFormat="1" applyFont="1" applyFill="1" applyAlignment="1">
      <alignment horizontal="center" vertical="center" wrapText="1"/>
    </xf>
    <xf numFmtId="169" fontId="15" fillId="0" borderId="0" xfId="2" applyNumberFormat="1" applyFill="1" applyAlignment="1">
      <alignment horizontal="center" vertical="center"/>
    </xf>
    <xf numFmtId="2" fontId="17" fillId="0" borderId="0" xfId="2" applyNumberFormat="1" applyFont="1" applyAlignment="1">
      <alignment horizontal="center" vertical="center" wrapText="1"/>
    </xf>
    <xf numFmtId="2" fontId="15" fillId="0" borderId="0" xfId="2" applyNumberFormat="1" applyAlignment="1">
      <alignment horizontal="center" vertical="center"/>
    </xf>
    <xf numFmtId="2" fontId="15" fillId="0" borderId="0" xfId="2" applyNumberFormat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/>
    <xf numFmtId="169" fontId="17" fillId="0" borderId="0" xfId="2" applyNumberFormat="1" applyFont="1" applyFill="1" applyAlignment="1">
      <alignment horizontal="center" vertical="center" wrapText="1"/>
    </xf>
    <xf numFmtId="169" fontId="15" fillId="0" borderId="0" xfId="2" applyNumberFormat="1" applyFill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2" fontId="15" fillId="0" borderId="0" xfId="2" applyNumberFormat="1" applyFill="1" applyAlignment="1">
      <alignment horizontal="center" vertical="center"/>
    </xf>
    <xf numFmtId="2" fontId="15" fillId="0" borderId="0" xfId="2" applyNumberFormat="1" applyFill="1" applyBorder="1" applyAlignment="1">
      <alignment horizontal="center" vertical="center"/>
    </xf>
    <xf numFmtId="169" fontId="15" fillId="0" borderId="0" xfId="2" applyNumberFormat="1" applyFill="1" applyBorder="1" applyAlignment="1">
      <alignment horizontal="center" vertical="center"/>
    </xf>
    <xf numFmtId="1" fontId="15" fillId="0" borderId="0" xfId="2" applyNumberFormat="1" applyFill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2" borderId="0" xfId="2" applyFont="1" applyFill="1" applyAlignment="1">
      <alignment vertical="center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2" fillId="0" borderId="19" xfId="0" applyFont="1" applyBorder="1" applyAlignment="1">
      <alignment horizontal="center"/>
    </xf>
    <xf numFmtId="0" fontId="2" fillId="0" borderId="36" xfId="0" applyFont="1" applyBorder="1" applyAlignment="1">
      <alignment horizontal="center" vertical="center" wrapText="1"/>
    </xf>
    <xf numFmtId="170" fontId="2" fillId="0" borderId="37" xfId="0" applyNumberFormat="1" applyFont="1" applyFill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right"/>
    </xf>
    <xf numFmtId="178" fontId="0" fillId="0" borderId="0" xfId="0" applyNumberFormat="1" applyBorder="1" applyAlignment="1">
      <alignment horizontal="center"/>
    </xf>
    <xf numFmtId="178" fontId="0" fillId="0" borderId="0" xfId="0" applyNumberFormat="1" applyBorder="1" applyAlignment="1">
      <alignment horizontal="center" vertical="center"/>
    </xf>
    <xf numFmtId="178" fontId="2" fillId="0" borderId="19" xfId="0" applyNumberFormat="1" applyFont="1" applyBorder="1" applyAlignment="1">
      <alignment horizontal="center"/>
    </xf>
    <xf numFmtId="0" fontId="0" fillId="0" borderId="35" xfId="0" applyBorder="1" applyAlignment="1">
      <alignment horizontal="center" vertical="center"/>
    </xf>
    <xf numFmtId="0" fontId="0" fillId="0" borderId="35" xfId="0" applyBorder="1"/>
    <xf numFmtId="0" fontId="0" fillId="0" borderId="0" xfId="0" applyAlignment="1">
      <alignment horizontal="left" vertical="center"/>
    </xf>
    <xf numFmtId="0" fontId="2" fillId="0" borderId="6" xfId="0" applyFont="1" applyBorder="1"/>
    <xf numFmtId="0" fontId="0" fillId="0" borderId="8" xfId="0" applyBorder="1" applyAlignment="1">
      <alignment horizontal="left"/>
    </xf>
    <xf numFmtId="0" fontId="2" fillId="0" borderId="9" xfId="0" applyFont="1" applyBorder="1"/>
    <xf numFmtId="14" fontId="0" fillId="0" borderId="10" xfId="0" applyNumberFormat="1" applyBorder="1" applyAlignment="1">
      <alignment horizontal="left"/>
    </xf>
    <xf numFmtId="0" fontId="0" fillId="0" borderId="10" xfId="0" applyBorder="1" applyAlignment="1">
      <alignment horizontal="left" vertical="center"/>
    </xf>
    <xf numFmtId="14" fontId="0" fillId="0" borderId="10" xfId="0" applyNumberFormat="1" applyBorder="1" applyAlignment="1">
      <alignment horizontal="left" vertical="center"/>
    </xf>
    <xf numFmtId="170" fontId="0" fillId="0" borderId="10" xfId="0" applyNumberFormat="1" applyBorder="1" applyAlignment="1">
      <alignment horizontal="right" vertical="center"/>
    </xf>
    <xf numFmtId="0" fontId="0" fillId="0" borderId="11" xfId="0" applyBorder="1"/>
    <xf numFmtId="0" fontId="0" fillId="0" borderId="13" xfId="0" applyBorder="1"/>
    <xf numFmtId="0" fontId="2" fillId="0" borderId="37" xfId="0" applyFont="1" applyBorder="1" applyAlignment="1">
      <alignment horizontal="center" vertical="center" wrapText="1"/>
    </xf>
    <xf numFmtId="0" fontId="0" fillId="0" borderId="0" xfId="0" pivotButton="1"/>
    <xf numFmtId="0" fontId="0" fillId="0" borderId="16" xfId="0" applyBorder="1" applyAlignment="1">
      <alignment wrapText="1"/>
    </xf>
    <xf numFmtId="0" fontId="0" fillId="0" borderId="16" xfId="0" applyBorder="1"/>
    <xf numFmtId="0" fontId="0" fillId="0" borderId="0" xfId="0" applyNumberFormat="1"/>
    <xf numFmtId="177" fontId="0" fillId="0" borderId="0" xfId="0" applyNumberFormat="1" applyAlignment="1">
      <alignment horizontal="left" indent="1"/>
    </xf>
    <xf numFmtId="0" fontId="0" fillId="0" borderId="19" xfId="0" applyBorder="1" applyAlignment="1">
      <alignment horizontal="center" vertical="center"/>
    </xf>
    <xf numFmtId="178" fontId="16" fillId="2" borderId="30" xfId="2" applyNumberFormat="1" applyFont="1" applyFill="1" applyBorder="1" applyAlignment="1" applyProtection="1">
      <alignment horizontal="center" vertical="center"/>
    </xf>
    <xf numFmtId="178" fontId="15" fillId="19" borderId="14" xfId="3" applyNumberFormat="1" applyFont="1" applyFill="1" applyBorder="1" applyAlignment="1" applyProtection="1">
      <alignment vertical="center"/>
    </xf>
    <xf numFmtId="178" fontId="15" fillId="19" borderId="30" xfId="3" applyNumberFormat="1" applyFont="1" applyFill="1" applyBorder="1" applyAlignment="1" applyProtection="1">
      <alignment horizontal="center" vertical="center"/>
    </xf>
    <xf numFmtId="178" fontId="15" fillId="2" borderId="31" xfId="4" applyNumberFormat="1" applyFont="1" applyFill="1" applyBorder="1" applyAlignment="1" applyProtection="1">
      <alignment horizontal="center" vertical="center"/>
    </xf>
    <xf numFmtId="178" fontId="16" fillId="19" borderId="29" xfId="2" applyNumberFormat="1" applyFont="1" applyFill="1" applyBorder="1" applyAlignment="1" applyProtection="1">
      <alignment horizontal="center" vertical="center"/>
    </xf>
    <xf numFmtId="178" fontId="15" fillId="19" borderId="30" xfId="5" applyNumberFormat="1" applyFont="1" applyFill="1" applyBorder="1" applyAlignment="1" applyProtection="1">
      <alignment vertical="center"/>
    </xf>
    <xf numFmtId="178" fontId="15" fillId="19" borderId="31" xfId="5" applyNumberFormat="1" applyFont="1" applyFill="1" applyBorder="1" applyAlignment="1" applyProtection="1">
      <alignment horizontal="right" vertical="center"/>
    </xf>
    <xf numFmtId="0" fontId="9" fillId="2" borderId="0" xfId="2" applyFont="1" applyFill="1" applyAlignment="1">
      <alignment vertical="center"/>
    </xf>
    <xf numFmtId="0" fontId="9" fillId="2" borderId="14" xfId="40" applyFont="1" applyFill="1" applyBorder="1" applyAlignment="1">
      <alignment horizontal="left" vertical="center"/>
    </xf>
    <xf numFmtId="0" fontId="9" fillId="2" borderId="0" xfId="40" applyFont="1" applyFill="1" applyBorder="1" applyAlignment="1">
      <alignment vertical="center"/>
    </xf>
    <xf numFmtId="0" fontId="9" fillId="2" borderId="0" xfId="40" applyNumberFormat="1" applyFont="1" applyFill="1" applyBorder="1" applyAlignment="1" applyProtection="1">
      <alignment vertical="center"/>
    </xf>
    <xf numFmtId="0" fontId="9" fillId="2" borderId="25" xfId="40" applyNumberFormat="1" applyFont="1" applyFill="1" applyBorder="1" applyAlignment="1" applyProtection="1">
      <alignment vertical="center"/>
    </xf>
    <xf numFmtId="0" fontId="9" fillId="2" borderId="14" xfId="40" applyFont="1" applyFill="1" applyBorder="1" applyAlignment="1">
      <alignment vertical="center"/>
    </xf>
    <xf numFmtId="0" fontId="9" fillId="2" borderId="0" xfId="40" applyFont="1" applyFill="1" applyBorder="1" applyAlignment="1">
      <alignment horizontal="left" vertical="center"/>
    </xf>
    <xf numFmtId="0" fontId="9" fillId="2" borderId="25" xfId="2" applyFont="1" applyFill="1" applyBorder="1" applyAlignment="1">
      <alignment vertical="center"/>
    </xf>
    <xf numFmtId="0" fontId="9" fillId="2" borderId="0" xfId="40" applyFont="1" applyFill="1" applyBorder="1" applyAlignment="1">
      <alignment horizontal="right" vertical="center"/>
    </xf>
    <xf numFmtId="0" fontId="9" fillId="2" borderId="26" xfId="40" applyFont="1" applyFill="1" applyBorder="1" applyAlignment="1">
      <alignment vertical="center"/>
    </xf>
    <xf numFmtId="0" fontId="9" fillId="2" borderId="27" xfId="40" applyFont="1" applyFill="1" applyBorder="1" applyAlignment="1">
      <alignment vertical="center"/>
    </xf>
    <xf numFmtId="0" fontId="9" fillId="2" borderId="27" xfId="40" applyFont="1" applyFill="1" applyBorder="1" applyAlignment="1">
      <alignment horizontal="right" vertical="center"/>
    </xf>
    <xf numFmtId="0" fontId="9" fillId="2" borderId="28" xfId="2" applyFont="1" applyFill="1" applyBorder="1" applyAlignment="1">
      <alignment vertical="center"/>
    </xf>
    <xf numFmtId="0" fontId="9" fillId="2" borderId="0" xfId="40" applyFont="1" applyFill="1" applyBorder="1" applyAlignment="1">
      <alignment horizontal="center" vertical="center"/>
    </xf>
    <xf numFmtId="0" fontId="9" fillId="2" borderId="25" xfId="40" applyNumberFormat="1" applyFont="1" applyFill="1" applyBorder="1" applyAlignment="1" applyProtection="1">
      <alignment horizontal="left" vertical="center"/>
    </xf>
    <xf numFmtId="0" fontId="9" fillId="2" borderId="26" xfId="40" applyFont="1" applyFill="1" applyBorder="1" applyAlignment="1">
      <alignment horizontal="left" vertical="center"/>
    </xf>
    <xf numFmtId="0" fontId="9" fillId="2" borderId="27" xfId="40" applyNumberFormat="1" applyFont="1" applyFill="1" applyBorder="1" applyAlignment="1" applyProtection="1">
      <alignment vertical="center"/>
    </xf>
    <xf numFmtId="0" fontId="9" fillId="2" borderId="28" xfId="40" applyNumberFormat="1" applyFont="1" applyFill="1" applyBorder="1" applyAlignment="1" applyProtection="1">
      <alignment horizontal="left" vertical="center"/>
    </xf>
    <xf numFmtId="0" fontId="35" fillId="0" borderId="0" xfId="0" applyFont="1"/>
    <xf numFmtId="0" fontId="9" fillId="0" borderId="9" xfId="41" applyFont="1" applyFill="1" applyBorder="1" applyAlignment="1" applyProtection="1">
      <alignment vertical="center"/>
      <protection locked="0"/>
    </xf>
    <xf numFmtId="0" fontId="9" fillId="0" borderId="9" xfId="41" applyFont="1" applyFill="1" applyBorder="1" applyAlignment="1" applyProtection="1">
      <alignment horizontal="left" vertical="center"/>
      <protection locked="0"/>
    </xf>
    <xf numFmtId="1" fontId="9" fillId="0" borderId="9" xfId="41" applyNumberFormat="1" applyFont="1" applyFill="1" applyBorder="1" applyAlignment="1" applyProtection="1">
      <alignment horizontal="center" vertical="center" shrinkToFit="1"/>
      <protection locked="0"/>
    </xf>
    <xf numFmtId="2" fontId="9" fillId="0" borderId="15" xfId="41" applyNumberFormat="1" applyFont="1" applyFill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1" fontId="9" fillId="0" borderId="11" xfId="42" applyNumberFormat="1" applyFont="1" applyBorder="1" applyAlignment="1" applyProtection="1">
      <alignment horizontal="center" vertical="center" shrinkToFit="1"/>
      <protection locked="0"/>
    </xf>
    <xf numFmtId="0" fontId="2" fillId="34" borderId="0" xfId="0" applyFont="1" applyFill="1" applyAlignment="1">
      <alignment horizontal="right"/>
    </xf>
    <xf numFmtId="1" fontId="0" fillId="35" borderId="6" xfId="0" applyNumberFormat="1" applyFill="1" applyBorder="1" applyAlignment="1">
      <alignment horizontal="center" vertical="center"/>
    </xf>
    <xf numFmtId="1" fontId="0" fillId="35" borderId="7" xfId="0" applyNumberFormat="1" applyFill="1" applyBorder="1" applyAlignment="1">
      <alignment horizontal="center" vertical="center"/>
    </xf>
    <xf numFmtId="2" fontId="0" fillId="35" borderId="8" xfId="0" applyNumberFormat="1" applyFill="1" applyBorder="1" applyAlignment="1">
      <alignment horizontal="center" vertical="center"/>
    </xf>
    <xf numFmtId="1" fontId="0" fillId="35" borderId="9" xfId="0" applyNumberFormat="1" applyFill="1" applyBorder="1" applyAlignment="1">
      <alignment horizontal="center" vertical="center"/>
    </xf>
    <xf numFmtId="1" fontId="0" fillId="35" borderId="0" xfId="0" applyNumberFormat="1" applyFill="1" applyBorder="1" applyAlignment="1">
      <alignment horizontal="center" vertical="center"/>
    </xf>
    <xf numFmtId="2" fontId="0" fillId="35" borderId="10" xfId="0" applyNumberFormat="1" applyFill="1" applyBorder="1" applyAlignment="1">
      <alignment horizontal="center" vertical="center"/>
    </xf>
    <xf numFmtId="0" fontId="2" fillId="35" borderId="12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15" fillId="0" borderId="35" xfId="2" applyFill="1" applyBorder="1" applyAlignment="1">
      <alignment horizontal="center" vertical="center"/>
    </xf>
    <xf numFmtId="0" fontId="0" fillId="0" borderId="39" xfId="0" applyBorder="1"/>
    <xf numFmtId="0" fontId="15" fillId="0" borderId="0" xfId="2" applyFill="1" applyBorder="1" applyAlignment="1">
      <alignment horizontal="center" vertical="center"/>
    </xf>
    <xf numFmtId="0" fontId="15" fillId="0" borderId="0" xfId="2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9" xfId="0" applyFill="1" applyBorder="1"/>
    <xf numFmtId="170" fontId="15" fillId="0" borderId="0" xfId="5" applyNumberFormat="1" applyFont="1" applyFill="1" applyBorder="1" applyAlignment="1" applyProtection="1">
      <alignment horizontal="center" vertical="center"/>
    </xf>
    <xf numFmtId="0" fontId="0" fillId="0" borderId="11" xfId="0" applyFill="1" applyBorder="1"/>
    <xf numFmtId="0" fontId="0" fillId="0" borderId="17" xfId="0" applyBorder="1" applyAlignment="1">
      <alignment horizontal="center"/>
    </xf>
    <xf numFmtId="0" fontId="0" fillId="0" borderId="40" xfId="0" applyBorder="1"/>
    <xf numFmtId="0" fontId="2" fillId="0" borderId="11" xfId="0" applyFont="1" applyBorder="1"/>
    <xf numFmtId="170" fontId="0" fillId="0" borderId="13" xfId="0" applyNumberFormat="1" applyBorder="1"/>
    <xf numFmtId="3" fontId="15" fillId="0" borderId="41" xfId="2" applyNumberFormat="1" applyFont="1" applyFill="1" applyBorder="1" applyAlignment="1" applyProtection="1">
      <alignment horizontal="center" vertical="center"/>
    </xf>
    <xf numFmtId="3" fontId="15" fillId="0" borderId="16" xfId="2" applyNumberFormat="1" applyFont="1" applyFill="1" applyBorder="1" applyAlignment="1" applyProtection="1">
      <alignment horizontal="center" vertical="center"/>
    </xf>
    <xf numFmtId="170" fontId="2" fillId="0" borderId="38" xfId="0" applyNumberFormat="1" applyFont="1" applyFill="1" applyBorder="1" applyAlignment="1">
      <alignment horizontal="center" vertical="center" wrapText="1"/>
    </xf>
    <xf numFmtId="170" fontId="15" fillId="0" borderId="39" xfId="5" applyNumberFormat="1" applyFont="1" applyFill="1" applyBorder="1" applyAlignment="1" applyProtection="1">
      <alignment horizontal="center" vertical="center"/>
    </xf>
    <xf numFmtId="170" fontId="15" fillId="0" borderId="17" xfId="5" applyNumberFormat="1" applyFont="1" applyFill="1" applyBorder="1" applyAlignment="1" applyProtection="1">
      <alignment horizontal="center" vertical="center"/>
    </xf>
    <xf numFmtId="170" fontId="0" fillId="0" borderId="17" xfId="0" applyNumberFormat="1" applyBorder="1" applyAlignment="1">
      <alignment horizontal="center"/>
    </xf>
    <xf numFmtId="178" fontId="0" fillId="0" borderId="17" xfId="0" applyNumberFormat="1" applyBorder="1" applyAlignment="1">
      <alignment horizontal="center"/>
    </xf>
    <xf numFmtId="170" fontId="0" fillId="0" borderId="40" xfId="0" applyNumberFormat="1" applyBorder="1" applyAlignment="1">
      <alignment horizontal="center"/>
    </xf>
    <xf numFmtId="0" fontId="2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2" fillId="0" borderId="45" xfId="0" applyFont="1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0" xfId="0" applyBorder="1" applyAlignment="1">
      <alignment vertical="top"/>
    </xf>
    <xf numFmtId="0" fontId="0" fillId="36" borderId="0" xfId="0" applyFill="1" applyAlignment="1">
      <alignment horizontal="center"/>
    </xf>
    <xf numFmtId="49" fontId="0" fillId="36" borderId="0" xfId="0" applyNumberFormat="1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0" fontId="41" fillId="0" borderId="0" xfId="0" applyFont="1"/>
    <xf numFmtId="14" fontId="2" fillId="0" borderId="0" xfId="0" applyNumberFormat="1" applyFont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25" fillId="0" borderId="0" xfId="0" applyFont="1" applyBorder="1" applyAlignment="1">
      <alignment vertical="center"/>
    </xf>
    <xf numFmtId="0" fontId="42" fillId="0" borderId="0" xfId="0" applyFont="1" applyBorder="1" applyAlignment="1">
      <alignment vertical="center"/>
    </xf>
    <xf numFmtId="49" fontId="25" fillId="0" borderId="0" xfId="0" applyNumberFormat="1" applyFont="1" applyBorder="1" applyAlignment="1">
      <alignment horizontal="center"/>
    </xf>
    <xf numFmtId="0" fontId="0" fillId="36" borderId="0" xfId="0" applyFill="1"/>
    <xf numFmtId="0" fontId="0" fillId="0" borderId="0" xfId="0" applyFill="1"/>
    <xf numFmtId="0" fontId="2" fillId="37" borderId="45" xfId="0" applyFont="1" applyFill="1" applyBorder="1"/>
    <xf numFmtId="0" fontId="0" fillId="37" borderId="46" xfId="0" applyFill="1" applyBorder="1"/>
    <xf numFmtId="0" fontId="0" fillId="37" borderId="47" xfId="0" applyFill="1" applyBorder="1"/>
    <xf numFmtId="0" fontId="0" fillId="37" borderId="0" xfId="0" applyFill="1" applyBorder="1"/>
    <xf numFmtId="0" fontId="0" fillId="37" borderId="49" xfId="0" applyFill="1" applyBorder="1"/>
    <xf numFmtId="0" fontId="0" fillId="37" borderId="50" xfId="0" applyFill="1" applyBorder="1"/>
    <xf numFmtId="0" fontId="0" fillId="37" borderId="51" xfId="0" applyFill="1" applyBorder="1"/>
    <xf numFmtId="0" fontId="0" fillId="37" borderId="52" xfId="0" applyFill="1" applyBorder="1"/>
    <xf numFmtId="0" fontId="0" fillId="19" borderId="0" xfId="0" applyFill="1" applyBorder="1"/>
    <xf numFmtId="0" fontId="0" fillId="19" borderId="12" xfId="0" applyFill="1" applyBorder="1"/>
    <xf numFmtId="0" fontId="0" fillId="19" borderId="13" xfId="0" applyFill="1" applyBorder="1"/>
    <xf numFmtId="0" fontId="0" fillId="19" borderId="7" xfId="0" applyFill="1" applyBorder="1"/>
    <xf numFmtId="0" fontId="0" fillId="19" borderId="8" xfId="0" applyFill="1" applyBorder="1"/>
    <xf numFmtId="0" fontId="0" fillId="19" borderId="10" xfId="0" applyFill="1" applyBorder="1"/>
    <xf numFmtId="0" fontId="2" fillId="37" borderId="48" xfId="0" applyFont="1" applyFill="1" applyBorder="1" applyAlignment="1">
      <alignment horizontal="right"/>
    </xf>
    <xf numFmtId="0" fontId="0" fillId="37" borderId="48" xfId="0" applyFill="1" applyBorder="1" applyAlignment="1">
      <alignment horizontal="right"/>
    </xf>
    <xf numFmtId="0" fontId="0" fillId="0" borderId="33" xfId="0" applyBorder="1" applyAlignment="1">
      <alignment horizontal="center"/>
    </xf>
    <xf numFmtId="0" fontId="2" fillId="37" borderId="48" xfId="0" applyFont="1" applyFill="1" applyBorder="1" applyAlignment="1">
      <alignment vertical="top"/>
    </xf>
    <xf numFmtId="0" fontId="0" fillId="19" borderId="0" xfId="0" applyFill="1" applyBorder="1" applyAlignment="1">
      <alignment vertical="top"/>
    </xf>
    <xf numFmtId="0" fontId="0" fillId="19" borderId="10" xfId="0" applyFill="1" applyBorder="1" applyAlignment="1">
      <alignment vertical="top"/>
    </xf>
    <xf numFmtId="0" fontId="0" fillId="19" borderId="12" xfId="0" applyFill="1" applyBorder="1" applyAlignment="1">
      <alignment vertical="top"/>
    </xf>
    <xf numFmtId="0" fontId="0" fillId="19" borderId="13" xfId="0" applyFill="1" applyBorder="1" applyAlignment="1">
      <alignment vertical="top"/>
    </xf>
    <xf numFmtId="0" fontId="0" fillId="0" borderId="7" xfId="0" applyBorder="1" applyAlignment="1">
      <alignment horizontal="left"/>
    </xf>
    <xf numFmtId="0" fontId="0" fillId="19" borderId="6" xfId="0" applyFill="1" applyBorder="1" applyAlignment="1">
      <alignment horizontal="left" vertical="center"/>
    </xf>
    <xf numFmtId="0" fontId="0" fillId="19" borderId="9" xfId="0" applyFill="1" applyBorder="1" applyAlignment="1">
      <alignment horizontal="left" vertical="center"/>
    </xf>
    <xf numFmtId="0" fontId="0" fillId="19" borderId="11" xfId="0" applyFill="1" applyBorder="1" applyAlignment="1">
      <alignment horizontal="left" vertical="center"/>
    </xf>
    <xf numFmtId="0" fontId="2" fillId="37" borderId="54" xfId="0" applyFont="1" applyFill="1" applyBorder="1" applyAlignment="1">
      <alignment horizontal="center"/>
    </xf>
    <xf numFmtId="0" fontId="2" fillId="37" borderId="55" xfId="0" applyFont="1" applyFill="1" applyBorder="1" applyAlignment="1">
      <alignment horizontal="center"/>
    </xf>
    <xf numFmtId="0" fontId="2" fillId="37" borderId="56" xfId="0" applyFont="1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applyFill="1" applyBorder="1"/>
    <xf numFmtId="0" fontId="43" fillId="0" borderId="0" xfId="0" applyFont="1"/>
    <xf numFmtId="0" fontId="2" fillId="0" borderId="0" xfId="0" applyFont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42" fillId="0" borderId="0" xfId="0" applyFont="1" applyBorder="1" applyAlignment="1">
      <alignment horizontal="left" vertical="center"/>
    </xf>
    <xf numFmtId="0" fontId="25" fillId="0" borderId="0" xfId="0" applyFont="1" applyBorder="1" applyAlignment="1">
      <alignment horizontal="left" vertical="center"/>
    </xf>
    <xf numFmtId="0" fontId="0" fillId="36" borderId="0" xfId="0" applyFill="1" applyAlignment="1">
      <alignment horizontal="left" vertical="center"/>
    </xf>
    <xf numFmtId="0" fontId="0" fillId="37" borderId="50" xfId="0" applyFill="1" applyBorder="1" applyAlignment="1">
      <alignment horizontal="right"/>
    </xf>
    <xf numFmtId="0" fontId="2" fillId="0" borderId="0" xfId="0" applyFont="1" applyBorder="1"/>
    <xf numFmtId="0" fontId="0" fillId="37" borderId="45" xfId="0" applyFill="1" applyBorder="1" applyAlignment="1">
      <alignment horizontal="right"/>
    </xf>
    <xf numFmtId="0" fontId="2" fillId="37" borderId="48" xfId="0" applyFont="1" applyFill="1" applyBorder="1" applyAlignment="1">
      <alignment horizontal="right" vertical="top"/>
    </xf>
    <xf numFmtId="0" fontId="2" fillId="37" borderId="48" xfId="0" applyFont="1" applyFill="1" applyBorder="1" applyAlignment="1">
      <alignment vertical="top" wrapText="1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3" fillId="2" borderId="0" xfId="2" applyFont="1" applyFill="1" applyBorder="1" applyAlignment="1">
      <alignment horizontal="center" vertical="center"/>
    </xf>
    <xf numFmtId="0" fontId="3" fillId="2" borderId="0" xfId="2" applyFont="1" applyFill="1" applyAlignment="1">
      <alignment horizontal="center" vertical="center"/>
    </xf>
    <xf numFmtId="0" fontId="15" fillId="2" borderId="0" xfId="2" applyFill="1" applyAlignment="1">
      <alignment horizontal="center" vertical="center"/>
    </xf>
    <xf numFmtId="0" fontId="18" fillId="2" borderId="26" xfId="2" applyFont="1" applyFill="1" applyBorder="1" applyAlignment="1">
      <alignment horizontal="center" vertical="center"/>
    </xf>
    <xf numFmtId="0" fontId="18" fillId="2" borderId="27" xfId="2" applyFont="1" applyFill="1" applyBorder="1" applyAlignment="1">
      <alignment horizontal="center" vertical="center"/>
    </xf>
    <xf numFmtId="178" fontId="18" fillId="2" borderId="0" xfId="5" applyNumberFormat="1" applyFont="1" applyFill="1" applyBorder="1" applyAlignment="1" applyProtection="1">
      <alignment horizontal="center" vertical="center"/>
    </xf>
    <xf numFmtId="166" fontId="18" fillId="2" borderId="25" xfId="5" applyFont="1" applyFill="1" applyBorder="1" applyAlignment="1" applyProtection="1">
      <alignment horizontal="center" vertical="center"/>
    </xf>
    <xf numFmtId="0" fontId="3" fillId="2" borderId="22" xfId="2" applyFont="1" applyFill="1" applyBorder="1" applyAlignment="1">
      <alignment horizontal="center" vertical="center"/>
    </xf>
    <xf numFmtId="0" fontId="3" fillId="2" borderId="23" xfId="2" applyFont="1" applyFill="1" applyBorder="1" applyAlignment="1">
      <alignment horizontal="center" vertical="center"/>
    </xf>
    <xf numFmtId="0" fontId="3" fillId="2" borderId="24" xfId="2" applyFont="1" applyFill="1" applyBorder="1" applyAlignment="1">
      <alignment horizontal="center" vertical="center"/>
    </xf>
    <xf numFmtId="0" fontId="3" fillId="2" borderId="26" xfId="2" applyNumberFormat="1" applyFont="1" applyFill="1" applyBorder="1" applyAlignment="1" applyProtection="1">
      <alignment horizontal="center" vertical="center"/>
    </xf>
    <xf numFmtId="0" fontId="3" fillId="2" borderId="27" xfId="2" applyNumberFormat="1" applyFont="1" applyFill="1" applyBorder="1" applyAlignment="1" applyProtection="1">
      <alignment horizontal="center" vertical="center"/>
    </xf>
    <xf numFmtId="0" fontId="3" fillId="2" borderId="28" xfId="2" applyNumberFormat="1" applyFont="1" applyFill="1" applyBorder="1" applyAlignment="1" applyProtection="1">
      <alignment horizontal="center" vertical="center"/>
    </xf>
    <xf numFmtId="0" fontId="3" fillId="2" borderId="26" xfId="2" applyFont="1" applyFill="1" applyBorder="1" applyAlignment="1">
      <alignment horizontal="center" vertical="center"/>
    </xf>
    <xf numFmtId="0" fontId="3" fillId="2" borderId="23" xfId="2" applyNumberFormat="1" applyFont="1" applyFill="1" applyBorder="1" applyAlignment="1" applyProtection="1">
      <alignment horizontal="left" vertical="center"/>
    </xf>
    <xf numFmtId="0" fontId="3" fillId="2" borderId="24" xfId="2" applyNumberFormat="1" applyFont="1" applyFill="1" applyBorder="1" applyAlignment="1" applyProtection="1">
      <alignment horizontal="left" vertical="center"/>
    </xf>
    <xf numFmtId="0" fontId="3" fillId="2" borderId="27" xfId="2" applyNumberFormat="1" applyFont="1" applyFill="1" applyBorder="1" applyAlignment="1" applyProtection="1">
      <alignment horizontal="left" vertical="center"/>
    </xf>
    <xf numFmtId="0" fontId="3" fillId="2" borderId="28" xfId="2" applyNumberFormat="1" applyFont="1" applyFill="1" applyBorder="1" applyAlignment="1" applyProtection="1">
      <alignment horizontal="left" vertical="center"/>
    </xf>
    <xf numFmtId="0" fontId="18" fillId="2" borderId="14" xfId="2" applyFont="1" applyFill="1" applyBorder="1" applyAlignment="1">
      <alignment horizontal="center" vertical="center" wrapText="1"/>
    </xf>
    <xf numFmtId="0" fontId="18" fillId="2" borderId="25" xfId="2" applyFont="1" applyFill="1" applyBorder="1" applyAlignment="1">
      <alignment horizontal="center" vertical="center" wrapText="1"/>
    </xf>
    <xf numFmtId="0" fontId="18" fillId="2" borderId="26" xfId="2" applyFont="1" applyFill="1" applyBorder="1" applyAlignment="1">
      <alignment horizontal="center" vertical="center" wrapText="1"/>
    </xf>
    <xf numFmtId="0" fontId="18" fillId="2" borderId="28" xfId="2" applyFont="1" applyFill="1" applyBorder="1" applyAlignment="1">
      <alignment horizontal="center" vertical="center" wrapText="1"/>
    </xf>
    <xf numFmtId="49" fontId="18" fillId="2" borderId="30" xfId="2" applyNumberFormat="1" applyFont="1" applyFill="1" applyBorder="1" applyAlignment="1" applyProtection="1">
      <alignment horizontal="center" vertical="center"/>
    </xf>
    <xf numFmtId="49" fontId="18" fillId="2" borderId="31" xfId="2" applyNumberFormat="1" applyFont="1" applyFill="1" applyBorder="1" applyAlignment="1" applyProtection="1">
      <alignment horizontal="center" vertical="center"/>
    </xf>
    <xf numFmtId="178" fontId="18" fillId="2" borderId="14" xfId="5" applyNumberFormat="1" applyFont="1" applyFill="1" applyBorder="1" applyAlignment="1" applyProtection="1">
      <alignment horizontal="center" vertical="center"/>
    </xf>
    <xf numFmtId="178" fontId="18" fillId="2" borderId="25" xfId="5" applyNumberFormat="1" applyFont="1" applyFill="1" applyBorder="1" applyAlignment="1" applyProtection="1">
      <alignment horizontal="center" vertical="center"/>
    </xf>
    <xf numFmtId="178" fontId="18" fillId="2" borderId="26" xfId="5" applyNumberFormat="1" applyFont="1" applyFill="1" applyBorder="1" applyAlignment="1" applyProtection="1">
      <alignment horizontal="center" vertical="center"/>
    </xf>
    <xf numFmtId="178" fontId="18" fillId="2" borderId="28" xfId="5" applyNumberFormat="1" applyFont="1" applyFill="1" applyBorder="1" applyAlignment="1" applyProtection="1">
      <alignment horizontal="center" vertical="center"/>
    </xf>
    <xf numFmtId="164" fontId="15" fillId="2" borderId="14" xfId="2" applyNumberFormat="1" applyFont="1" applyFill="1" applyBorder="1" applyAlignment="1" applyProtection="1">
      <alignment horizontal="center" vertical="center"/>
    </xf>
    <xf numFmtId="164" fontId="15" fillId="2" borderId="25" xfId="2" applyNumberFormat="1" applyFont="1" applyFill="1" applyBorder="1" applyAlignment="1" applyProtection="1">
      <alignment horizontal="center" vertical="center"/>
    </xf>
    <xf numFmtId="164" fontId="15" fillId="2" borderId="26" xfId="2" applyNumberFormat="1" applyFont="1" applyFill="1" applyBorder="1" applyAlignment="1" applyProtection="1">
      <alignment horizontal="center" vertical="center"/>
    </xf>
    <xf numFmtId="164" fontId="15" fillId="2" borderId="28" xfId="2" applyNumberFormat="1" applyFont="1" applyFill="1" applyBorder="1" applyAlignment="1" applyProtection="1">
      <alignment horizontal="center" vertical="center"/>
    </xf>
    <xf numFmtId="178" fontId="18" fillId="2" borderId="27" xfId="5" applyNumberFormat="1" applyFont="1" applyFill="1" applyBorder="1" applyAlignment="1" applyProtection="1">
      <alignment horizontal="center" vertical="center"/>
    </xf>
    <xf numFmtId="166" fontId="18" fillId="2" borderId="28" xfId="5" applyFont="1" applyFill="1" applyBorder="1" applyAlignment="1" applyProtection="1">
      <alignment horizontal="center" vertical="center"/>
    </xf>
    <xf numFmtId="0" fontId="23" fillId="2" borderId="22" xfId="2" applyNumberFormat="1" applyFont="1" applyFill="1" applyBorder="1" applyAlignment="1" applyProtection="1">
      <alignment horizontal="left" vertical="top"/>
    </xf>
    <xf numFmtId="0" fontId="23" fillId="2" borderId="23" xfId="2" applyNumberFormat="1" applyFont="1" applyFill="1" applyBorder="1" applyAlignment="1" applyProtection="1">
      <alignment horizontal="left" vertical="top"/>
    </xf>
    <xf numFmtId="0" fontId="23" fillId="2" borderId="24" xfId="2" applyNumberFormat="1" applyFont="1" applyFill="1" applyBorder="1" applyAlignment="1" applyProtection="1">
      <alignment horizontal="left" vertical="top"/>
    </xf>
    <xf numFmtId="0" fontId="23" fillId="2" borderId="22" xfId="2" applyFont="1" applyFill="1" applyBorder="1" applyAlignment="1">
      <alignment horizontal="left" vertical="top"/>
    </xf>
    <xf numFmtId="0" fontId="23" fillId="2" borderId="23" xfId="2" applyFont="1" applyFill="1" applyBorder="1" applyAlignment="1">
      <alignment horizontal="left" vertical="top"/>
    </xf>
    <xf numFmtId="0" fontId="23" fillId="2" borderId="24" xfId="2" applyFont="1" applyFill="1" applyBorder="1" applyAlignment="1">
      <alignment horizontal="left" vertical="top"/>
    </xf>
    <xf numFmtId="0" fontId="18" fillId="2" borderId="28" xfId="2" applyFont="1" applyFill="1" applyBorder="1" applyAlignment="1">
      <alignment horizontal="center" vertical="center"/>
    </xf>
    <xf numFmtId="178" fontId="18" fillId="2" borderId="26" xfId="2" applyNumberFormat="1" applyFont="1" applyFill="1" applyBorder="1" applyAlignment="1">
      <alignment horizontal="left" vertical="center"/>
    </xf>
    <xf numFmtId="178" fontId="18" fillId="2" borderId="27" xfId="2" applyNumberFormat="1" applyFont="1" applyFill="1" applyBorder="1" applyAlignment="1">
      <alignment horizontal="left" vertical="center"/>
    </xf>
    <xf numFmtId="178" fontId="18" fillId="2" borderId="28" xfId="2" applyNumberFormat="1" applyFont="1" applyFill="1" applyBorder="1" applyAlignment="1">
      <alignment horizontal="left" vertical="center"/>
    </xf>
    <xf numFmtId="0" fontId="18" fillId="2" borderId="26" xfId="2" applyNumberFormat="1" applyFont="1" applyFill="1" applyBorder="1" applyAlignment="1" applyProtection="1">
      <alignment horizontal="center" vertical="center"/>
    </xf>
    <xf numFmtId="0" fontId="18" fillId="2" borderId="27" xfId="2" applyNumberFormat="1" applyFont="1" applyFill="1" applyBorder="1" applyAlignment="1" applyProtection="1">
      <alignment horizontal="center" vertical="center"/>
    </xf>
    <xf numFmtId="0" fontId="23" fillId="19" borderId="29" xfId="2" applyNumberFormat="1" applyFont="1" applyFill="1" applyBorder="1" applyAlignment="1" applyProtection="1">
      <alignment horizontal="center" vertical="center" wrapText="1"/>
    </xf>
    <xf numFmtId="0" fontId="23" fillId="19" borderId="30" xfId="2" applyNumberFormat="1" applyFont="1" applyFill="1" applyBorder="1" applyAlignment="1" applyProtection="1">
      <alignment horizontal="center" vertical="center"/>
    </xf>
    <xf numFmtId="0" fontId="23" fillId="19" borderId="31" xfId="2" applyNumberFormat="1" applyFont="1" applyFill="1" applyBorder="1" applyAlignment="1" applyProtection="1">
      <alignment horizontal="center" vertical="center"/>
    </xf>
    <xf numFmtId="0" fontId="23" fillId="2" borderId="29" xfId="2" applyFont="1" applyFill="1" applyBorder="1" applyAlignment="1">
      <alignment horizontal="center" vertical="center" wrapText="1"/>
    </xf>
    <xf numFmtId="0" fontId="23" fillId="2" borderId="30" xfId="2" applyFont="1" applyFill="1" applyBorder="1" applyAlignment="1">
      <alignment horizontal="center" vertical="center"/>
    </xf>
    <xf numFmtId="0" fontId="23" fillId="2" borderId="31" xfId="2" applyFont="1" applyFill="1" applyBorder="1" applyAlignment="1">
      <alignment horizontal="center" vertical="center"/>
    </xf>
    <xf numFmtId="0" fontId="23" fillId="2" borderId="22" xfId="2" applyFont="1" applyFill="1" applyBorder="1" applyAlignment="1">
      <alignment horizontal="center" vertical="center" wrapText="1"/>
    </xf>
    <xf numFmtId="0" fontId="23" fillId="2" borderId="14" xfId="2" applyFont="1" applyFill="1" applyBorder="1" applyAlignment="1">
      <alignment horizontal="center" vertical="center" wrapText="1"/>
    </xf>
    <xf numFmtId="0" fontId="23" fillId="2" borderId="26" xfId="2" applyFont="1" applyFill="1" applyBorder="1" applyAlignment="1">
      <alignment horizontal="center" vertical="center" wrapText="1"/>
    </xf>
    <xf numFmtId="0" fontId="23" fillId="2" borderId="23" xfId="2" applyFont="1" applyFill="1" applyBorder="1" applyAlignment="1">
      <alignment horizontal="center" vertical="center" wrapText="1"/>
    </xf>
    <xf numFmtId="0" fontId="23" fillId="2" borderId="24" xfId="2" applyFont="1" applyFill="1" applyBorder="1" applyAlignment="1">
      <alignment horizontal="center" vertical="center" wrapText="1"/>
    </xf>
    <xf numFmtId="0" fontId="23" fillId="2" borderId="0" xfId="2" applyFont="1" applyFill="1" applyBorder="1" applyAlignment="1">
      <alignment horizontal="center" vertical="center" wrapText="1"/>
    </xf>
    <xf numFmtId="0" fontId="23" fillId="2" borderId="25" xfId="2" applyFont="1" applyFill="1" applyBorder="1" applyAlignment="1">
      <alignment horizontal="center" vertical="center" wrapText="1"/>
    </xf>
    <xf numFmtId="0" fontId="23" fillId="2" borderId="27" xfId="2" applyFont="1" applyFill="1" applyBorder="1" applyAlignment="1">
      <alignment horizontal="center" vertical="center" wrapText="1"/>
    </xf>
    <xf numFmtId="0" fontId="23" fillId="2" borderId="28" xfId="2" applyFont="1" applyFill="1" applyBorder="1" applyAlignment="1">
      <alignment horizontal="center" vertical="center" wrapText="1"/>
    </xf>
    <xf numFmtId="0" fontId="23" fillId="2" borderId="29" xfId="2" applyFont="1" applyFill="1" applyBorder="1" applyAlignment="1">
      <alignment horizontal="center" vertical="center"/>
    </xf>
    <xf numFmtId="0" fontId="23" fillId="2" borderId="30" xfId="2" applyFont="1" applyFill="1" applyBorder="1" applyAlignment="1">
      <alignment horizontal="center" vertical="center" wrapText="1"/>
    </xf>
    <xf numFmtId="0" fontId="23" fillId="2" borderId="31" xfId="2" applyFont="1" applyFill="1" applyBorder="1" applyAlignment="1">
      <alignment horizontal="center" vertical="center" wrapText="1"/>
    </xf>
    <xf numFmtId="0" fontId="15" fillId="0" borderId="14" xfId="2" applyBorder="1"/>
    <xf numFmtId="0" fontId="15" fillId="0" borderId="26" xfId="2" applyBorder="1"/>
    <xf numFmtId="0" fontId="23" fillId="2" borderId="22" xfId="2" applyFont="1" applyFill="1" applyBorder="1" applyAlignment="1">
      <alignment vertical="top"/>
    </xf>
    <xf numFmtId="0" fontId="23" fillId="2" borderId="23" xfId="2" applyFont="1" applyFill="1" applyBorder="1" applyAlignment="1">
      <alignment vertical="top"/>
    </xf>
    <xf numFmtId="0" fontId="23" fillId="2" borderId="24" xfId="2" applyFont="1" applyFill="1" applyBorder="1" applyAlignment="1">
      <alignment vertical="top"/>
    </xf>
    <xf numFmtId="0" fontId="23" fillId="19" borderId="22" xfId="2" applyFont="1" applyFill="1" applyBorder="1" applyAlignment="1">
      <alignment horizontal="left" vertical="top"/>
    </xf>
    <xf numFmtId="0" fontId="23" fillId="19" borderId="24" xfId="2" applyFont="1" applyFill="1" applyBorder="1" applyAlignment="1">
      <alignment horizontal="left" vertical="top"/>
    </xf>
    <xf numFmtId="0" fontId="15" fillId="2" borderId="26" xfId="2" applyNumberFormat="1" applyFont="1" applyFill="1" applyBorder="1" applyAlignment="1" applyProtection="1">
      <alignment horizontal="center" vertical="center"/>
    </xf>
    <xf numFmtId="0" fontId="15" fillId="2" borderId="28" xfId="2" applyNumberFormat="1" applyFont="1" applyFill="1" applyBorder="1" applyAlignment="1" applyProtection="1">
      <alignment horizontal="center" vertical="center"/>
    </xf>
    <xf numFmtId="14" fontId="15" fillId="0" borderId="26" xfId="2" applyNumberFormat="1" applyFont="1" applyFill="1" applyBorder="1" applyAlignment="1">
      <alignment horizontal="center" vertical="center"/>
    </xf>
    <xf numFmtId="14" fontId="15" fillId="0" borderId="28" xfId="2" applyNumberFormat="1" applyFont="1" applyFill="1" applyBorder="1" applyAlignment="1">
      <alignment horizontal="center" vertical="center"/>
    </xf>
    <xf numFmtId="0" fontId="15" fillId="0" borderId="27" xfId="2" applyFont="1" applyFill="1" applyBorder="1" applyAlignment="1">
      <alignment horizontal="center" vertical="center"/>
    </xf>
    <xf numFmtId="0" fontId="15" fillId="2" borderId="26" xfId="2" applyFont="1" applyFill="1" applyBorder="1" applyAlignment="1">
      <alignment horizontal="center" vertical="center"/>
    </xf>
    <xf numFmtId="0" fontId="15" fillId="2" borderId="27" xfId="2" applyFont="1" applyFill="1" applyBorder="1" applyAlignment="1">
      <alignment horizontal="center" vertical="center"/>
    </xf>
    <xf numFmtId="0" fontId="15" fillId="2" borderId="28" xfId="2" applyFont="1" applyFill="1" applyBorder="1" applyAlignment="1">
      <alignment horizontal="center" vertical="center"/>
    </xf>
    <xf numFmtId="0" fontId="23" fillId="19" borderId="23" xfId="2" applyFont="1" applyFill="1" applyBorder="1" applyAlignment="1">
      <alignment horizontal="left" vertical="top"/>
    </xf>
    <xf numFmtId="0" fontId="9" fillId="2" borderId="26" xfId="40" applyNumberFormat="1" applyFont="1" applyFill="1" applyBorder="1" applyAlignment="1" applyProtection="1">
      <alignment horizontal="center" vertical="center"/>
    </xf>
    <xf numFmtId="0" fontId="9" fillId="2" borderId="27" xfId="40" applyNumberFormat="1" applyFont="1" applyFill="1" applyBorder="1" applyAlignment="1" applyProtection="1">
      <alignment horizontal="center" vertical="center"/>
    </xf>
    <xf numFmtId="0" fontId="9" fillId="2" borderId="28" xfId="40" applyNumberFormat="1" applyFont="1" applyFill="1" applyBorder="1" applyAlignment="1" applyProtection="1">
      <alignment horizontal="center" vertical="center"/>
    </xf>
    <xf numFmtId="0" fontId="9" fillId="2" borderId="26" xfId="40" applyFont="1" applyFill="1" applyBorder="1" applyAlignment="1">
      <alignment horizontal="center" vertical="center"/>
    </xf>
    <xf numFmtId="0" fontId="9" fillId="2" borderId="28" xfId="40" applyFont="1" applyFill="1" applyBorder="1" applyAlignment="1">
      <alignment horizontal="center" vertical="center"/>
    </xf>
    <xf numFmtId="179" fontId="9" fillId="2" borderId="26" xfId="40" applyNumberFormat="1" applyFont="1" applyFill="1" applyBorder="1" applyAlignment="1">
      <alignment horizontal="center" vertical="center"/>
    </xf>
    <xf numFmtId="179" fontId="9" fillId="2" borderId="28" xfId="40" applyNumberFormat="1" applyFont="1" applyFill="1" applyBorder="1" applyAlignment="1">
      <alignment horizontal="center" vertical="center"/>
    </xf>
    <xf numFmtId="1" fontId="9" fillId="2" borderId="26" xfId="40" applyNumberFormat="1" applyFont="1" applyFill="1" applyBorder="1" applyAlignment="1">
      <alignment horizontal="center" vertical="center"/>
    </xf>
    <xf numFmtId="0" fontId="8" fillId="0" borderId="11" xfId="41" applyFont="1" applyBorder="1" applyAlignment="1" applyProtection="1">
      <alignment vertical="center"/>
    </xf>
    <xf numFmtId="0" fontId="8" fillId="0" borderId="13" xfId="41" applyFont="1" applyBorder="1" applyAlignment="1" applyProtection="1">
      <alignment vertical="center"/>
    </xf>
    <xf numFmtId="0" fontId="8" fillId="0" borderId="12" xfId="41" applyFont="1" applyBorder="1" applyAlignment="1" applyProtection="1">
      <alignment vertical="center"/>
    </xf>
    <xf numFmtId="0" fontId="12" fillId="0" borderId="11" xfId="41" applyFont="1" applyBorder="1" applyAlignment="1" applyProtection="1">
      <alignment vertical="center"/>
    </xf>
    <xf numFmtId="0" fontId="12" fillId="0" borderId="12" xfId="41" applyFont="1" applyBorder="1" applyAlignment="1" applyProtection="1">
      <alignment vertical="center"/>
    </xf>
    <xf numFmtId="0" fontId="12" fillId="0" borderId="13" xfId="41" applyFont="1" applyBorder="1" applyAlignment="1" applyProtection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 applyProtection="1">
      <alignment vertical="center"/>
    </xf>
    <xf numFmtId="0" fontId="8" fillId="0" borderId="10" xfId="41" applyFont="1" applyBorder="1" applyAlignment="1" applyProtection="1">
      <alignment vertical="center"/>
    </xf>
    <xf numFmtId="0" fontId="8" fillId="0" borderId="0" xfId="41" applyFont="1" applyBorder="1" applyAlignment="1" applyProtection="1">
      <alignment vertical="center"/>
    </xf>
    <xf numFmtId="0" fontId="12" fillId="0" borderId="9" xfId="41" applyFont="1" applyBorder="1" applyAlignment="1" applyProtection="1">
      <alignment vertical="center"/>
    </xf>
    <xf numFmtId="0" fontId="12" fillId="0" borderId="0" xfId="41" applyFont="1" applyBorder="1" applyAlignment="1" applyProtection="1">
      <alignment vertical="center"/>
    </xf>
    <xf numFmtId="0" fontId="12" fillId="0" borderId="10" xfId="41" applyFont="1" applyBorder="1" applyAlignment="1" applyProtection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 applyProtection="1">
      <alignment horizontal="center" vertical="center" shrinkToFit="1"/>
    </xf>
    <xf numFmtId="0" fontId="9" fillId="0" borderId="12" xfId="41" applyFont="1" applyBorder="1" applyAlignment="1" applyProtection="1">
      <alignment horizontal="center" vertical="center" shrinkToFit="1"/>
    </xf>
    <xf numFmtId="0" fontId="9" fillId="0" borderId="13" xfId="41" applyFont="1" applyBorder="1" applyAlignment="1" applyProtection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4" fillId="0" borderId="11" xfId="41" applyFont="1" applyBorder="1" applyAlignment="1" applyProtection="1">
      <alignment horizontal="center" vertical="center" shrinkToFit="1"/>
    </xf>
    <xf numFmtId="0" fontId="24" fillId="0" borderId="12" xfId="41" applyFont="1" applyBorder="1" applyAlignment="1" applyProtection="1">
      <alignment horizontal="center" vertical="center" shrinkToFit="1"/>
    </xf>
    <xf numFmtId="0" fontId="24" fillId="0" borderId="13" xfId="41" applyFont="1" applyBorder="1" applyAlignment="1" applyProtection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Border="1" applyAlignment="1" applyProtection="1">
      <alignment shrinkToFit="1"/>
      <protection locked="0"/>
    </xf>
    <xf numFmtId="14" fontId="9" fillId="0" borderId="11" xfId="41" applyNumberFormat="1" applyFont="1" applyBorder="1" applyAlignment="1" applyProtection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 applyAlignment="1"/>
    <xf numFmtId="0" fontId="6" fillId="0" borderId="7" xfId="41" applyFont="1" applyBorder="1" applyAlignment="1"/>
    <xf numFmtId="0" fontId="6" fillId="0" borderId="8" xfId="41" applyFont="1" applyBorder="1" applyAlignment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Border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 applyAlignment="1" applyProtection="1"/>
    <xf numFmtId="0" fontId="12" fillId="0" borderId="12" xfId="41" applyFont="1" applyBorder="1" applyAlignment="1" applyProtection="1"/>
    <xf numFmtId="0" fontId="12" fillId="0" borderId="13" xfId="41" applyFont="1" applyBorder="1" applyAlignment="1" applyProtection="1"/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 applyAlignment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Border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Border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Border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Border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4" fillId="0" borderId="11" xfId="41" applyFont="1" applyBorder="1" applyAlignment="1" applyProtection="1">
      <alignment vertical="center" shrinkToFit="1"/>
      <protection locked="0"/>
    </xf>
    <xf numFmtId="0" fontId="24" fillId="0" borderId="13" xfId="41" applyFont="1" applyBorder="1" applyAlignment="1" applyProtection="1">
      <alignment vertical="center" shrinkToFit="1"/>
      <protection locked="0"/>
    </xf>
    <xf numFmtId="0" fontId="6" fillId="0" borderId="0" xfId="41" applyFont="1" applyBorder="1" applyAlignment="1" applyProtection="1">
      <alignment horizontal="right" vertical="center"/>
    </xf>
    <xf numFmtId="0" fontId="6" fillId="0" borderId="10" xfId="41" applyFont="1" applyBorder="1" applyAlignment="1" applyProtection="1">
      <alignment horizontal="right" vertical="center"/>
    </xf>
    <xf numFmtId="0" fontId="4" fillId="0" borderId="0" xfId="41" applyFont="1" applyBorder="1" applyAlignment="1"/>
    <xf numFmtId="0" fontId="5" fillId="0" borderId="0" xfId="41" applyFont="1" applyBorder="1" applyAlignme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 applyAlignment="1"/>
    <xf numFmtId="0" fontId="10" fillId="0" borderId="7" xfId="41" applyFont="1" applyBorder="1" applyAlignment="1"/>
    <xf numFmtId="0" fontId="10" fillId="0" borderId="8" xfId="41" applyFont="1" applyBorder="1" applyAlignment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Border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0" fillId="19" borderId="3" xfId="0" applyFill="1" applyBorder="1" applyAlignment="1">
      <alignment horizontal="left" vertical="center"/>
    </xf>
    <xf numFmtId="0" fontId="0" fillId="19" borderId="4" xfId="0" applyFill="1" applyBorder="1" applyAlignment="1">
      <alignment horizontal="left" vertical="center"/>
    </xf>
    <xf numFmtId="0" fontId="0" fillId="19" borderId="5" xfId="0" applyFill="1" applyBorder="1" applyAlignment="1">
      <alignment horizontal="left" vertical="center"/>
    </xf>
    <xf numFmtId="0" fontId="2" fillId="37" borderId="53" xfId="0" applyFont="1" applyFill="1" applyBorder="1" applyAlignment="1">
      <alignment horizontal="right" vertical="center" wrapText="1"/>
    </xf>
    <xf numFmtId="14" fontId="0" fillId="19" borderId="3" xfId="0" applyNumberFormat="1" applyFill="1" applyBorder="1" applyAlignment="1">
      <alignment horizontal="right" vertical="center"/>
    </xf>
    <xf numFmtId="14" fontId="0" fillId="19" borderId="5" xfId="0" applyNumberFormat="1" applyFill="1" applyBorder="1" applyAlignment="1">
      <alignment horizontal="right" vertical="center"/>
    </xf>
    <xf numFmtId="14" fontId="0" fillId="19" borderId="11" xfId="0" applyNumberFormat="1" applyFill="1" applyBorder="1" applyAlignment="1">
      <alignment horizontal="right" vertical="center"/>
    </xf>
    <xf numFmtId="14" fontId="0" fillId="19" borderId="13" xfId="0" applyNumberFormat="1" applyFill="1" applyBorder="1" applyAlignment="1">
      <alignment horizontal="right" vertical="center"/>
    </xf>
    <xf numFmtId="170" fontId="44" fillId="19" borderId="3" xfId="0" applyNumberFormat="1" applyFont="1" applyFill="1" applyBorder="1" applyAlignment="1">
      <alignment horizontal="right" vertical="center"/>
    </xf>
    <xf numFmtId="170" fontId="44" fillId="19" borderId="5" xfId="0" applyNumberFormat="1" applyFont="1" applyFill="1" applyBorder="1" applyAlignment="1">
      <alignment horizontal="right" vertical="center"/>
    </xf>
    <xf numFmtId="0" fontId="0" fillId="19" borderId="6" xfId="0" applyFill="1" applyBorder="1" applyAlignment="1">
      <alignment horizontal="left" vertical="top" wrapText="1"/>
    </xf>
    <xf numFmtId="0" fontId="0" fillId="19" borderId="7" xfId="0" applyFill="1" applyBorder="1" applyAlignment="1">
      <alignment horizontal="left" vertical="top" wrapText="1"/>
    </xf>
    <xf numFmtId="0" fontId="0" fillId="19" borderId="8" xfId="0" applyFill="1" applyBorder="1" applyAlignment="1">
      <alignment horizontal="left" vertical="top" wrapText="1"/>
    </xf>
    <xf numFmtId="0" fontId="0" fillId="19" borderId="9" xfId="0" applyFill="1" applyBorder="1" applyAlignment="1">
      <alignment horizontal="left" vertical="top" wrapText="1"/>
    </xf>
    <xf numFmtId="0" fontId="0" fillId="19" borderId="0" xfId="0" applyFill="1" applyBorder="1" applyAlignment="1">
      <alignment horizontal="left" vertical="top" wrapText="1"/>
    </xf>
    <xf numFmtId="0" fontId="0" fillId="19" borderId="10" xfId="0" applyFill="1" applyBorder="1" applyAlignment="1">
      <alignment horizontal="left" vertical="top" wrapText="1"/>
    </xf>
    <xf numFmtId="0" fontId="0" fillId="19" borderId="11" xfId="0" applyFill="1" applyBorder="1" applyAlignment="1">
      <alignment horizontal="left" vertical="top" wrapText="1"/>
    </xf>
    <xf numFmtId="0" fontId="0" fillId="19" borderId="12" xfId="0" applyFill="1" applyBorder="1" applyAlignment="1">
      <alignment horizontal="left" vertical="top" wrapText="1"/>
    </xf>
    <xf numFmtId="0" fontId="0" fillId="19" borderId="13" xfId="0" applyFill="1" applyBorder="1" applyAlignment="1">
      <alignment horizontal="left" vertical="top" wrapText="1"/>
    </xf>
    <xf numFmtId="0" fontId="0" fillId="0" borderId="33" xfId="0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57" xfId="0" applyBorder="1"/>
    <xf numFmtId="0" fontId="0" fillId="0" borderId="58" xfId="0" applyBorder="1" applyAlignment="1"/>
    <xf numFmtId="0" fontId="0" fillId="0" borderId="58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37" borderId="48" xfId="0" applyFill="1" applyBorder="1"/>
    <xf numFmtId="0" fontId="0" fillId="19" borderId="33" xfId="0" applyFill="1" applyBorder="1" applyAlignment="1"/>
    <xf numFmtId="0" fontId="0" fillId="37" borderId="45" xfId="0" applyFill="1" applyBorder="1"/>
    <xf numFmtId="0" fontId="2" fillId="37" borderId="48" xfId="0" applyFont="1" applyFill="1" applyBorder="1"/>
    <xf numFmtId="0" fontId="39" fillId="37" borderId="48" xfId="0" applyFont="1" applyFill="1" applyBorder="1"/>
    <xf numFmtId="0" fontId="0" fillId="37" borderId="0" xfId="0" applyFill="1" applyBorder="1" applyAlignment="1">
      <alignment vertical="top"/>
    </xf>
    <xf numFmtId="0" fontId="0" fillId="37" borderId="49" xfId="0" applyFill="1" applyBorder="1" applyAlignment="1">
      <alignment vertical="top"/>
    </xf>
    <xf numFmtId="0" fontId="0" fillId="38" borderId="60" xfId="0" applyFont="1" applyFill="1" applyBorder="1" applyAlignment="1">
      <alignment horizontal="center"/>
    </xf>
    <xf numFmtId="14" fontId="0" fillId="38" borderId="61" xfId="0" applyNumberFormat="1" applyFont="1" applyFill="1" applyBorder="1" applyAlignment="1">
      <alignment horizontal="center"/>
    </xf>
    <xf numFmtId="0" fontId="0" fillId="38" borderId="61" xfId="0" applyFont="1" applyFill="1" applyBorder="1" applyAlignment="1">
      <alignment horizontal="center"/>
    </xf>
    <xf numFmtId="170" fontId="0" fillId="38" borderId="61" xfId="0" applyNumberFormat="1" applyFont="1" applyFill="1" applyBorder="1" applyAlignment="1">
      <alignment horizontal="right"/>
    </xf>
    <xf numFmtId="0" fontId="0" fillId="37" borderId="62" xfId="0" applyFill="1" applyBorder="1" applyAlignment="1">
      <alignment horizontal="center" vertical="center"/>
    </xf>
    <xf numFmtId="0" fontId="0" fillId="38" borderId="63" xfId="0" applyNumberFormat="1" applyFill="1" applyBorder="1" applyAlignment="1">
      <alignment horizontal="center"/>
    </xf>
    <xf numFmtId="14" fontId="0" fillId="38" borderId="30" xfId="0" applyNumberFormat="1" applyFill="1" applyBorder="1" applyAlignment="1">
      <alignment horizontal="center"/>
    </xf>
    <xf numFmtId="0" fontId="0" fillId="38" borderId="30" xfId="0" applyNumberFormat="1" applyFill="1" applyBorder="1" applyAlignment="1">
      <alignment horizontal="center"/>
    </xf>
    <xf numFmtId="0" fontId="0" fillId="38" borderId="30" xfId="0" applyFill="1" applyBorder="1" applyAlignment="1">
      <alignment horizontal="center"/>
    </xf>
    <xf numFmtId="170" fontId="0" fillId="38" borderId="30" xfId="0" applyNumberFormat="1" applyFill="1" applyBorder="1" applyAlignment="1">
      <alignment horizontal="right"/>
    </xf>
    <xf numFmtId="0" fontId="0" fillId="37" borderId="64" xfId="0" applyFill="1" applyBorder="1" applyAlignment="1">
      <alignment horizontal="center" vertical="center"/>
    </xf>
    <xf numFmtId="0" fontId="0" fillId="38" borderId="63" xfId="0" applyNumberFormat="1" applyFill="1" applyBorder="1" applyAlignment="1">
      <alignment horizontal="left"/>
    </xf>
    <xf numFmtId="0" fontId="0" fillId="38" borderId="30" xfId="0" applyFill="1" applyBorder="1"/>
    <xf numFmtId="0" fontId="40" fillId="38" borderId="63" xfId="343" applyNumberFormat="1" applyFill="1" applyBorder="1" applyAlignment="1" applyProtection="1">
      <alignment horizontal="left"/>
    </xf>
    <xf numFmtId="0" fontId="0" fillId="38" borderId="65" xfId="0" applyNumberFormat="1" applyFill="1" applyBorder="1" applyAlignment="1">
      <alignment horizontal="center"/>
    </xf>
    <xf numFmtId="14" fontId="0" fillId="38" borderId="66" xfId="0" applyNumberFormat="1" applyFill="1" applyBorder="1" applyAlignment="1">
      <alignment horizontal="center"/>
    </xf>
    <xf numFmtId="0" fontId="0" fillId="38" borderId="66" xfId="0" applyNumberFormat="1" applyFill="1" applyBorder="1" applyAlignment="1">
      <alignment horizontal="center"/>
    </xf>
    <xf numFmtId="0" fontId="0" fillId="38" borderId="66" xfId="0" applyFill="1" applyBorder="1" applyAlignment="1">
      <alignment horizontal="center"/>
    </xf>
    <xf numFmtId="170" fontId="0" fillId="38" borderId="66" xfId="0" applyNumberFormat="1" applyFill="1" applyBorder="1" applyAlignment="1">
      <alignment horizontal="right"/>
    </xf>
    <xf numFmtId="0" fontId="0" fillId="37" borderId="67" xfId="0" applyFill="1" applyBorder="1" applyAlignment="1">
      <alignment horizontal="center" vertical="center"/>
    </xf>
    <xf numFmtId="0" fontId="0" fillId="37" borderId="60" xfId="0" applyFill="1" applyBorder="1"/>
    <xf numFmtId="0" fontId="0" fillId="37" borderId="61" xfId="0" applyFill="1" applyBorder="1"/>
    <xf numFmtId="0" fontId="0" fillId="37" borderId="62" xfId="0" applyFill="1" applyBorder="1"/>
    <xf numFmtId="0" fontId="0" fillId="37" borderId="63" xfId="0" applyFill="1" applyBorder="1"/>
    <xf numFmtId="0" fontId="0" fillId="37" borderId="30" xfId="0" applyFill="1" applyBorder="1"/>
    <xf numFmtId="0" fontId="0" fillId="37" borderId="64" xfId="0" applyFill="1" applyBorder="1"/>
    <xf numFmtId="0" fontId="0" fillId="37" borderId="63" xfId="0" applyFill="1" applyBorder="1" applyAlignment="1">
      <alignment vertical="top"/>
    </xf>
    <xf numFmtId="0" fontId="0" fillId="37" borderId="65" xfId="0" applyFill="1" applyBorder="1"/>
    <xf numFmtId="0" fontId="0" fillId="37" borderId="66" xfId="0" applyFill="1" applyBorder="1"/>
    <xf numFmtId="0" fontId="0" fillId="37" borderId="67" xfId="0" applyFill="1" applyBorder="1"/>
    <xf numFmtId="0" fontId="0" fillId="0" borderId="1" xfId="0" applyBorder="1" applyAlignment="1"/>
    <xf numFmtId="0" fontId="0" fillId="0" borderId="15" xfId="0" applyBorder="1" applyAlignment="1"/>
    <xf numFmtId="0" fontId="0" fillId="0" borderId="15" xfId="0" applyBorder="1"/>
    <xf numFmtId="0" fontId="0" fillId="0" borderId="2" xfId="0" applyBorder="1"/>
  </cellXfs>
  <cellStyles count="344">
    <cellStyle name="20% - Accent1 2" xfId="46"/>
    <cellStyle name="20% - Accent1 2 2" xfId="47"/>
    <cellStyle name="20% - Accent1 3" xfId="48"/>
    <cellStyle name="20% - Accent1 4" xfId="49"/>
    <cellStyle name="20% - Accent2 2" xfId="50"/>
    <cellStyle name="20% - Accent2 2 2" xfId="51"/>
    <cellStyle name="20% - Accent2 3" xfId="52"/>
    <cellStyle name="20% - Accent2 4" xfId="53"/>
    <cellStyle name="20% - Accent3 2" xfId="54"/>
    <cellStyle name="20% - Accent3 2 2" xfId="55"/>
    <cellStyle name="20% - Accent3 3" xfId="56"/>
    <cellStyle name="20% - Accent3 4" xfId="57"/>
    <cellStyle name="20% - Accent4 2" xfId="58"/>
    <cellStyle name="20% - Accent4 2 2" xfId="59"/>
    <cellStyle name="20% - Accent4 3" xfId="60"/>
    <cellStyle name="20% - Accent4 4" xfId="61"/>
    <cellStyle name="20% - Accent5 2" xfId="62"/>
    <cellStyle name="20% - Accent5 2 2" xfId="63"/>
    <cellStyle name="20% - Accent5 3" xfId="64"/>
    <cellStyle name="20% - Accent5 4" xfId="65"/>
    <cellStyle name="20% - Accent6 2" xfId="66"/>
    <cellStyle name="20% - Accent6 2 2" xfId="67"/>
    <cellStyle name="20% - Accent6 3" xfId="68"/>
    <cellStyle name="20% - Accent6 4" xfId="69"/>
    <cellStyle name="40% - Accent1 2" xfId="70"/>
    <cellStyle name="40% - Accent1 2 2" xfId="71"/>
    <cellStyle name="40% - Accent1 3" xfId="72"/>
    <cellStyle name="40% - Accent1 4" xfId="73"/>
    <cellStyle name="40% - Accent2 2" xfId="74"/>
    <cellStyle name="40% - Accent2 2 2" xfId="75"/>
    <cellStyle name="40% - Accent2 3" xfId="76"/>
    <cellStyle name="40% - Accent2 4" xfId="77"/>
    <cellStyle name="40% - Accent3 2" xfId="78"/>
    <cellStyle name="40% - Accent3 2 2" xfId="79"/>
    <cellStyle name="40% - Accent3 3" xfId="80"/>
    <cellStyle name="40% - Accent3 4" xfId="81"/>
    <cellStyle name="40% - Accent4 2" xfId="82"/>
    <cellStyle name="40% - Accent4 2 2" xfId="83"/>
    <cellStyle name="40% - Accent4 3" xfId="84"/>
    <cellStyle name="40% - Accent4 4" xfId="85"/>
    <cellStyle name="40% - Accent5 2" xfId="86"/>
    <cellStyle name="40% - Accent5 2 2" xfId="87"/>
    <cellStyle name="40% - Accent5 3" xfId="88"/>
    <cellStyle name="40% - Accent5 4" xfId="89"/>
    <cellStyle name="40% - Accent6 2" xfId="90"/>
    <cellStyle name="40% - Accent6 2 2" xfId="91"/>
    <cellStyle name="40% - Accent6 3" xfId="92"/>
    <cellStyle name="40% - Accent6 4" xfId="93"/>
    <cellStyle name="autoPopulatedData" xfId="94"/>
    <cellStyle name="Bad 2" xfId="95"/>
    <cellStyle name="Bad 2 2" xfId="96"/>
    <cellStyle name="Bad 3" xfId="97"/>
    <cellStyle name="Bad 4" xfId="98"/>
    <cellStyle name="Bad 4 2" xfId="99"/>
    <cellStyle name="Bad1" xfId="100"/>
    <cellStyle name="Bad1 2" xfId="101"/>
    <cellStyle name="Collegamento ipertestuale" xfId="343" builtinId="8"/>
    <cellStyle name="Comma 10" xfId="102"/>
    <cellStyle name="Comma 10 2" xfId="103"/>
    <cellStyle name="Comma 10 2 2" xfId="104"/>
    <cellStyle name="Comma 10 3" xfId="105"/>
    <cellStyle name="Comma 11" xfId="106"/>
    <cellStyle name="Comma 11 2" xfId="107"/>
    <cellStyle name="Comma 12" xfId="108"/>
    <cellStyle name="Comma 12 2" xfId="109"/>
    <cellStyle name="Comma 2" xfId="7"/>
    <cellStyle name="Comma 2 2" xfId="110"/>
    <cellStyle name="Comma 2 2 2" xfId="111"/>
    <cellStyle name="Comma 2 3" xfId="112"/>
    <cellStyle name="Comma 3" xfId="8"/>
    <cellStyle name="Comma 3 2" xfId="113"/>
    <cellStyle name="Comma 3 2 2" xfId="114"/>
    <cellStyle name="Comma 3 3" xfId="115"/>
    <cellStyle name="Comma 4" xfId="9"/>
    <cellStyle name="Comma 4 2" xfId="116"/>
    <cellStyle name="Comma 4 2 2" xfId="117"/>
    <cellStyle name="Comma 4 3" xfId="118"/>
    <cellStyle name="Comma 5" xfId="119"/>
    <cellStyle name="Comma 5 2" xfId="120"/>
    <cellStyle name="Comma 6" xfId="121"/>
    <cellStyle name="Comma 6 2" xfId="122"/>
    <cellStyle name="Comma 6 2 2" xfId="123"/>
    <cellStyle name="Comma 6 3" xfId="124"/>
    <cellStyle name="Comma 7" xfId="125"/>
    <cellStyle name="Comma 7 2" xfId="126"/>
    <cellStyle name="Comma 7 2 2" xfId="127"/>
    <cellStyle name="Comma 7 3" xfId="128"/>
    <cellStyle name="Comma 8" xfId="129"/>
    <cellStyle name="Comma 8 2" xfId="130"/>
    <cellStyle name="Comma 8 2 2" xfId="131"/>
    <cellStyle name="Comma 8 3" xfId="132"/>
    <cellStyle name="Comma 9" xfId="133"/>
    <cellStyle name="Comma 9 2" xfId="134"/>
    <cellStyle name="Comma 9 2 2" xfId="135"/>
    <cellStyle name="Comma 9 3" xfId="136"/>
    <cellStyle name="Completed" xfId="137"/>
    <cellStyle name="Coppo" xfId="138"/>
    <cellStyle name="Currency 2" xfId="10"/>
    <cellStyle name="Currency 2 2" xfId="139"/>
    <cellStyle name="Currency 2 2 2" xfId="140"/>
    <cellStyle name="Currency 2 3" xfId="141"/>
    <cellStyle name="Currency 3" xfId="142"/>
    <cellStyle name="Currency 3 2" xfId="143"/>
    <cellStyle name="Currency 3 2 2" xfId="144"/>
    <cellStyle name="Currency 3 3" xfId="145"/>
    <cellStyle name="Currency 4" xfId="146"/>
    <cellStyle name="Currency 4 2" xfId="147"/>
    <cellStyle name="Currency 4 2 2" xfId="148"/>
    <cellStyle name="Currency 4 3" xfId="149"/>
    <cellStyle name="Currency 5" xfId="150"/>
    <cellStyle name="Currency 5 2" xfId="151"/>
    <cellStyle name="Currency 6" xfId="152"/>
    <cellStyle name="Euro" xfId="153"/>
    <cellStyle name="Euro 2" xfId="154"/>
    <cellStyle name="Euro 3" xfId="155"/>
    <cellStyle name="Existing" xfId="156"/>
    <cellStyle name="Good 2" xfId="157"/>
    <cellStyle name="Good 3" xfId="158"/>
    <cellStyle name="Good 4" xfId="159"/>
    <cellStyle name="Komma 2" xfId="160"/>
    <cellStyle name="Komma 2 2" xfId="161"/>
    <cellStyle name="LineItemError" xfId="162"/>
    <cellStyle name="Migliaia [0] 2" xfId="4"/>
    <cellStyle name="Migliaia 10" xfId="11"/>
    <cellStyle name="Migliaia 11" xfId="12"/>
    <cellStyle name="Migliaia 12" xfId="13"/>
    <cellStyle name="Migliaia 13" xfId="14"/>
    <cellStyle name="Migliaia 14" xfId="15"/>
    <cellStyle name="Migliaia 15" xfId="16"/>
    <cellStyle name="Migliaia 16" xfId="43"/>
    <cellStyle name="Migliaia 2" xfId="1"/>
    <cellStyle name="Migliaia 2 2" xfId="17"/>
    <cellStyle name="Migliaia 2 2 2" xfId="18"/>
    <cellStyle name="Migliaia 2 3" xfId="39"/>
    <cellStyle name="Migliaia 3" xfId="19"/>
    <cellStyle name="Migliaia 4" xfId="20"/>
    <cellStyle name="Migliaia 4 2" xfId="21"/>
    <cellStyle name="Migliaia 4 3" xfId="42"/>
    <cellStyle name="Migliaia 5" xfId="22"/>
    <cellStyle name="Migliaia 6" xfId="23"/>
    <cellStyle name="Migliaia 6 2" xfId="24"/>
    <cellStyle name="Migliaia 7" xfId="25"/>
    <cellStyle name="Migliaia 7 2" xfId="26"/>
    <cellStyle name="Migliaia 8" xfId="27"/>
    <cellStyle name="Migliaia 9" xfId="28"/>
    <cellStyle name="Neutral 2" xfId="163"/>
    <cellStyle name="Neutral 3" xfId="164"/>
    <cellStyle name="Neutral 4" xfId="165"/>
    <cellStyle name="Normal 10" xfId="166"/>
    <cellStyle name="Normal 10 2" xfId="167"/>
    <cellStyle name="Normal 10 2 2" xfId="168"/>
    <cellStyle name="Normal 10 2 3" xfId="169"/>
    <cellStyle name="Normal 10 2 4" xfId="170"/>
    <cellStyle name="Normal 10 2 4 2" xfId="171"/>
    <cellStyle name="Normal 10 2 5" xfId="172"/>
    <cellStyle name="Normal 10 3" xfId="173"/>
    <cellStyle name="Normal 10 4" xfId="174"/>
    <cellStyle name="Normal 11" xfId="175"/>
    <cellStyle name="Normal 11 2" xfId="176"/>
    <cellStyle name="Normal 11 3" xfId="177"/>
    <cellStyle name="Normal 12" xfId="178"/>
    <cellStyle name="Normal 12 2" xfId="179"/>
    <cellStyle name="Normal 12 3" xfId="180"/>
    <cellStyle name="Normal 12 3 2" xfId="181"/>
    <cellStyle name="Normal 13" xfId="182"/>
    <cellStyle name="Normal 13 2" xfId="183"/>
    <cellStyle name="Normal 13 3" xfId="184"/>
    <cellStyle name="Normal 14" xfId="185"/>
    <cellStyle name="Normal 14 2" xfId="186"/>
    <cellStyle name="Normal 15" xfId="187"/>
    <cellStyle name="Normal 15 2" xfId="188"/>
    <cellStyle name="Normal 15 3" xfId="189"/>
    <cellStyle name="Normal 15 3 2" xfId="190"/>
    <cellStyle name="Normal 16" xfId="191"/>
    <cellStyle name="Normal 16 2" xfId="192"/>
    <cellStyle name="Normal 17" xfId="193"/>
    <cellStyle name="Normal 17 2" xfId="194"/>
    <cellStyle name="Normal 17 2 2" xfId="195"/>
    <cellStyle name="Normal 17 2 3" xfId="196"/>
    <cellStyle name="Normal 17 3" xfId="197"/>
    <cellStyle name="Normal 17 4" xfId="198"/>
    <cellStyle name="Normal 18" xfId="199"/>
    <cellStyle name="Normal 18 2" xfId="200"/>
    <cellStyle name="Normal 18 3" xfId="201"/>
    <cellStyle name="Normal 18 4" xfId="202"/>
    <cellStyle name="Normal 19" xfId="203"/>
    <cellStyle name="Normal 19 2" xfId="204"/>
    <cellStyle name="Normal 19 3" xfId="205"/>
    <cellStyle name="Normal 19 4" xfId="206"/>
    <cellStyle name="Normal 19 5" xfId="207"/>
    <cellStyle name="Normal 19 5 2" xfId="208"/>
    <cellStyle name="Normal 19 5 2 2" xfId="209"/>
    <cellStyle name="Normal 19 5 3" xfId="210"/>
    <cellStyle name="Normal 19 6" xfId="211"/>
    <cellStyle name="Normal 19 7" xfId="212"/>
    <cellStyle name="Normal 19 7 2" xfId="213"/>
    <cellStyle name="Normal 2" xfId="214"/>
    <cellStyle name="Normal 2 2" xfId="215"/>
    <cellStyle name="Normal 2 2 2" xfId="216"/>
    <cellStyle name="Normal 2 2 2 2" xfId="217"/>
    <cellStyle name="Normal 2 2 2 3" xfId="218"/>
    <cellStyle name="Normal 2 2 3" xfId="219"/>
    <cellStyle name="Normal 2 2 4" xfId="220"/>
    <cellStyle name="Normal 2 2 5" xfId="221"/>
    <cellStyle name="Normal 2 3" xfId="222"/>
    <cellStyle name="Normal 2 3 2" xfId="223"/>
    <cellStyle name="Normal 2 3 3" xfId="224"/>
    <cellStyle name="Normal 2 4" xfId="225"/>
    <cellStyle name="Normal 2 5" xfId="226"/>
    <cellStyle name="Normal 2 6" xfId="227"/>
    <cellStyle name="Normal 2 7" xfId="228"/>
    <cellStyle name="Normal 20" xfId="229"/>
    <cellStyle name="Normal 20 2" xfId="230"/>
    <cellStyle name="Normal 20 3" xfId="231"/>
    <cellStyle name="Normal 21" xfId="232"/>
    <cellStyle name="Normal 21 2" xfId="233"/>
    <cellStyle name="Normal 21 3" xfId="234"/>
    <cellStyle name="Normal 22" xfId="235"/>
    <cellStyle name="Normal 22 2" xfId="236"/>
    <cellStyle name="Normal 23" xfId="237"/>
    <cellStyle name="Normal 23 2" xfId="238"/>
    <cellStyle name="Normal 23 3" xfId="239"/>
    <cellStyle name="Normal 24" xfId="240"/>
    <cellStyle name="Normal 24 2" xfId="241"/>
    <cellStyle name="Normal 25" xfId="242"/>
    <cellStyle name="Normal 25 2" xfId="243"/>
    <cellStyle name="Normal 25 3" xfId="244"/>
    <cellStyle name="Normal 25 3 2" xfId="245"/>
    <cellStyle name="Normal 25 3 2 2" xfId="246"/>
    <cellStyle name="Normal 25 3 3" xfId="247"/>
    <cellStyle name="Normal 25 4" xfId="248"/>
    <cellStyle name="Normal 25 4 2" xfId="249"/>
    <cellStyle name="Normal 26" xfId="250"/>
    <cellStyle name="Normal 26 2" xfId="251"/>
    <cellStyle name="Normal 27" xfId="252"/>
    <cellStyle name="Normal 27 2" xfId="253"/>
    <cellStyle name="Normal 28" xfId="254"/>
    <cellStyle name="Normal 29" xfId="255"/>
    <cellStyle name="Normal 3" xfId="29"/>
    <cellStyle name="Normal 3 2" xfId="256"/>
    <cellStyle name="Normal 3 2 2" xfId="257"/>
    <cellStyle name="Normal 3 2 3" xfId="258"/>
    <cellStyle name="Normal 3 3" xfId="259"/>
    <cellStyle name="Normal 3 4" xfId="260"/>
    <cellStyle name="Normal 3 5" xfId="261"/>
    <cellStyle name="Normal 3 6" xfId="262"/>
    <cellStyle name="Normal 30" xfId="263"/>
    <cellStyle name="Normal 30 2" xfId="264"/>
    <cellStyle name="Normal 4" xfId="265"/>
    <cellStyle name="Normal 4 2" xfId="266"/>
    <cellStyle name="Normal 4 2 2" xfId="267"/>
    <cellStyle name="Normal 4 2 3" xfId="268"/>
    <cellStyle name="Normal 4 3" xfId="269"/>
    <cellStyle name="Normal 4 4" xfId="270"/>
    <cellStyle name="Normal 5" xfId="271"/>
    <cellStyle name="Normal 5 2" xfId="272"/>
    <cellStyle name="Normal 5 2 2" xfId="273"/>
    <cellStyle name="Normal 5 2 3" xfId="274"/>
    <cellStyle name="Normal 5 3" xfId="275"/>
    <cellStyle name="Normal 5 4" xfId="276"/>
    <cellStyle name="Normal 6" xfId="277"/>
    <cellStyle name="Normal 6 2" xfId="278"/>
    <cellStyle name="Normal 6 2 2" xfId="279"/>
    <cellStyle name="Normal 6 2 3" xfId="280"/>
    <cellStyle name="Normal 6 3" xfId="281"/>
    <cellStyle name="Normal 6 4" xfId="282"/>
    <cellStyle name="Normal 7" xfId="283"/>
    <cellStyle name="Normal 7 2" xfId="284"/>
    <cellStyle name="Normal 7 2 2" xfId="285"/>
    <cellStyle name="Normal 7 2 3" xfId="286"/>
    <cellStyle name="Normal 7 3" xfId="287"/>
    <cellStyle name="Normal 7 4" xfId="288"/>
    <cellStyle name="Normal 8" xfId="289"/>
    <cellStyle name="Normal 8 2" xfId="290"/>
    <cellStyle name="Normal 8 2 2" xfId="291"/>
    <cellStyle name="Normal 8 2 3" xfId="292"/>
    <cellStyle name="Normal 8 3" xfId="293"/>
    <cellStyle name="Normal 8 4" xfId="294"/>
    <cellStyle name="Normal 9" xfId="295"/>
    <cellStyle name="Normal 9 2" xfId="296"/>
    <cellStyle name="Normal 9 2 2" xfId="297"/>
    <cellStyle name="Normal 9 2 2 2" xfId="298"/>
    <cellStyle name="Normal 9 2 2 3" xfId="299"/>
    <cellStyle name="Normal 9 2 2 4" xfId="300"/>
    <cellStyle name="Normal 9 2 2 4 2" xfId="301"/>
    <cellStyle name="Normal 9 2 2 5" xfId="302"/>
    <cellStyle name="Normal 9 2 3" xfId="303"/>
    <cellStyle name="Normal 9 2 4" xfId="304"/>
    <cellStyle name="Normal 9 3" xfId="305"/>
    <cellStyle name="Normal 9 4" xfId="306"/>
    <cellStyle name="Normal1" xfId="307"/>
    <cellStyle name="Normale" xfId="0" builtinId="0"/>
    <cellStyle name="Normale 2" xfId="2"/>
    <cellStyle name="Normale 3" xfId="30"/>
    <cellStyle name="Normale 3 2" xfId="31"/>
    <cellStyle name="Normale 3 3" xfId="40"/>
    <cellStyle name="Normale 3 3 2" xfId="41"/>
    <cellStyle name="Normale 4" xfId="6"/>
    <cellStyle name="Normale 5" xfId="32"/>
    <cellStyle name="Normale 6" xfId="44"/>
    <cellStyle name="Note 2" xfId="308"/>
    <cellStyle name="Note 2 2" xfId="309"/>
    <cellStyle name="Note 3" xfId="310"/>
    <cellStyle name="Note 4" xfId="311"/>
    <cellStyle name="notUpdatable" xfId="312"/>
    <cellStyle name="Optional" xfId="313"/>
    <cellStyle name="Optional 2" xfId="314"/>
    <cellStyle name="Optional2" xfId="315"/>
    <cellStyle name="Optional2 2" xfId="316"/>
    <cellStyle name="OptionalForCommit" xfId="317"/>
    <cellStyle name="OverridingAllowed" xfId="318"/>
    <cellStyle name="OverridingAllowed 2" xfId="319"/>
    <cellStyle name="Percent 2" xfId="33"/>
    <cellStyle name="Percent 2 2" xfId="320"/>
    <cellStyle name="Percent 3" xfId="321"/>
    <cellStyle name="Percent 3 2" xfId="322"/>
    <cellStyle name="Percent 4" xfId="323"/>
    <cellStyle name="Percent 4 2" xfId="324"/>
    <cellStyle name="Percent 5" xfId="325"/>
    <cellStyle name="Percent 5 2" xfId="326"/>
    <cellStyle name="Percent 6" xfId="327"/>
    <cellStyle name="Percent 6 2" xfId="328"/>
    <cellStyle name="Percent 7" xfId="329"/>
    <cellStyle name="Percent 8" xfId="330"/>
    <cellStyle name="Percentuale 2" xfId="34"/>
    <cellStyle name="Percentuale 2 2" xfId="35"/>
    <cellStyle name="Percentuale 3" xfId="36"/>
    <cellStyle name="Percentuale 4" xfId="45"/>
    <cellStyle name="Required" xfId="331"/>
    <cellStyle name="Required2" xfId="332"/>
    <cellStyle name="Sample" xfId="333"/>
    <cellStyle name="SkipRequired" xfId="334"/>
    <cellStyle name="Standaard 2" xfId="335"/>
    <cellStyle name="Standard 4" xfId="336"/>
    <cellStyle name="StringOnly" xfId="337"/>
    <cellStyle name="Title 2" xfId="338"/>
    <cellStyle name="Valuta 2" xfId="3"/>
    <cellStyle name="Valuta 2 2" xfId="37"/>
    <cellStyle name="Valuta 2 3" xfId="38"/>
    <cellStyle name="Valuta 3" xfId="5"/>
    <cellStyle name="Valuta 4" xfId="339"/>
    <cellStyle name="Warnings" xfId="340"/>
    <cellStyle name="Warnings 2" xfId="341"/>
    <cellStyle name="Κανονικό 2" xfId="342"/>
  </cellStyles>
  <dxfs count="100">
    <dxf>
      <fill>
        <patternFill>
          <bgColor theme="4" tint="0.59996337778862885"/>
        </patternFill>
      </fill>
    </dxf>
    <dxf>
      <font>
        <b/>
        <i val="0"/>
        <color theme="9"/>
      </font>
    </dxf>
    <dxf>
      <font>
        <b/>
        <i val="0"/>
        <color rgb="FFFF0000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4"/>
          </stop>
        </gradientFill>
      </fill>
    </dxf>
    <dxf>
      <fill>
        <patternFill>
          <bgColor theme="4" tint="0.59996337778862885"/>
        </patternFill>
      </fill>
    </dxf>
    <dxf>
      <numFmt numFmtId="170" formatCode="#,##0.00\ &quot;€&quot;"/>
    </dxf>
    <dxf>
      <alignment horizontal="center" textRotation="0" indent="0" relativeIndent="255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78" formatCode="\€\ #,##0.00_)"/>
      <alignment horizontal="right" vertical="center" textRotation="0" wrapText="0" indent="0" relativeIndent="0" justifyLastLine="0" shrinkToFit="0" mergeCell="0" readingOrder="0"/>
    </dxf>
    <dxf>
      <numFmt numFmtId="170" formatCode="#,##0.00\ &quot;€&quot;"/>
      <alignment horizontal="right" vertical="center" textRotation="0" wrapText="0" indent="0" relativeIndent="0" justifyLastLine="0" shrinkToFit="0" mergeCell="0" readingOrder="0"/>
    </dxf>
    <dxf>
      <numFmt numFmtId="170" formatCode="#,##0.00\ &quot;€&quot;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numFmt numFmtId="177" formatCode="dd/mm/yy;@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mergeCell="0" readingOrder="0"/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169" formatCode="0.0000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relativeIndent="255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30" formatCode="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mergeCell="0" readingOrder="0"/>
    </dxf>
    <dxf>
      <alignment horizontal="left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left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47625</xdr:rowOff>
    </xdr:from>
    <xdr:to>
      <xdr:col>4</xdr:col>
      <xdr:colOff>641223</xdr:colOff>
      <xdr:row>0</xdr:row>
      <xdr:rowOff>49149</xdr:rowOff>
    </xdr:to>
    <xdr:pic>
      <xdr:nvPicPr>
        <xdr:cNvPr id="2" name="Picture 2" descr="Logo Coppo lun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47625"/>
          <a:ext cx="3835273" cy="15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288923</xdr:colOff>
      <xdr:row>0</xdr:row>
      <xdr:rowOff>123826</xdr:rowOff>
    </xdr:from>
    <xdr:to>
      <xdr:col>6</xdr:col>
      <xdr:colOff>245498</xdr:colOff>
      <xdr:row>6</xdr:row>
      <xdr:rowOff>131238</xdr:rowOff>
    </xdr:to>
    <xdr:pic>
      <xdr:nvPicPr>
        <xdr:cNvPr id="3" name="Immagine 2" descr="Logo Coppo lungo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88923" y="123826"/>
          <a:ext cx="4719075" cy="9916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47625</xdr:rowOff>
    </xdr:from>
    <xdr:to>
      <xdr:col>4</xdr:col>
      <xdr:colOff>584073</xdr:colOff>
      <xdr:row>0</xdr:row>
      <xdr:rowOff>49149</xdr:rowOff>
    </xdr:to>
    <xdr:pic>
      <xdr:nvPicPr>
        <xdr:cNvPr id="2" name="Picture 2" descr="Logo Coppo lun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47625"/>
          <a:ext cx="3835273" cy="15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288923</xdr:colOff>
      <xdr:row>0</xdr:row>
      <xdr:rowOff>123826</xdr:rowOff>
    </xdr:from>
    <xdr:to>
      <xdr:col>6</xdr:col>
      <xdr:colOff>188348</xdr:colOff>
      <xdr:row>6</xdr:row>
      <xdr:rowOff>131238</xdr:rowOff>
    </xdr:to>
    <xdr:pic>
      <xdr:nvPicPr>
        <xdr:cNvPr id="3" name="Immagine 2" descr="Logo Coppo lungo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88923" y="123826"/>
          <a:ext cx="4719075" cy="9916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215899</xdr:colOff>
      <xdr:row>3</xdr:row>
      <xdr:rowOff>139701</xdr:rowOff>
    </xdr:from>
    <xdr:to>
      <xdr:col>17</xdr:col>
      <xdr:colOff>73024</xdr:colOff>
      <xdr:row>7</xdr:row>
      <xdr:rowOff>161925</xdr:rowOff>
    </xdr:to>
    <xdr:sp macro="[0]!new_dgn.new_order" textlink="">
      <xdr:nvSpPr>
        <xdr:cNvPr id="2" name="Rettangolo arrotondato 1"/>
        <xdr:cNvSpPr/>
      </xdr:nvSpPr>
      <xdr:spPr>
        <a:xfrm>
          <a:off x="13188949" y="996951"/>
          <a:ext cx="1685925" cy="7842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/>
            <a:t>NUOVO </a:t>
          </a:r>
          <a:endParaRPr lang="it-IT" sz="1400" b="1"/>
        </a:p>
        <a:p>
          <a:pPr algn="ctr"/>
          <a:r>
            <a:rPr lang="it-IT" sz="1600" b="1"/>
            <a:t>ORDINE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52</xdr:col>
      <xdr:colOff>381000</xdr:colOff>
      <xdr:row>0</xdr:row>
      <xdr:rowOff>107950</xdr:rowOff>
    </xdr:from>
    <xdr:to>
      <xdr:col>53</xdr:col>
      <xdr:colOff>644525</xdr:colOff>
      <xdr:row>2</xdr:row>
      <xdr:rowOff>25400</xdr:rowOff>
    </xdr:to>
    <xdr:sp macro="" textlink="">
      <xdr:nvSpPr>
        <xdr:cNvPr id="2" name="Rettangolo arrotondato 1"/>
        <xdr:cNvSpPr/>
      </xdr:nvSpPr>
      <xdr:spPr>
        <a:xfrm>
          <a:off x="8077200" y="107950"/>
          <a:ext cx="981075" cy="311150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NEW</a:t>
          </a:r>
        </a:p>
      </xdr:txBody>
    </xdr:sp>
    <xdr:clientData/>
  </xdr:twoCellAnchor>
  <xdr:twoCellAnchor editAs="absolute">
    <xdr:from>
      <xdr:col>54</xdr:col>
      <xdr:colOff>133350</xdr:colOff>
      <xdr:row>0</xdr:row>
      <xdr:rowOff>107950</xdr:rowOff>
    </xdr:from>
    <xdr:to>
      <xdr:col>55</xdr:col>
      <xdr:colOff>250825</xdr:colOff>
      <xdr:row>2</xdr:row>
      <xdr:rowOff>25400</xdr:rowOff>
    </xdr:to>
    <xdr:sp macro="" textlink="">
      <xdr:nvSpPr>
        <xdr:cNvPr id="3" name="Rettangolo arrotondato 2"/>
        <xdr:cNvSpPr/>
      </xdr:nvSpPr>
      <xdr:spPr>
        <a:xfrm>
          <a:off x="9264650" y="107950"/>
          <a:ext cx="835025" cy="311150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LOAD</a:t>
          </a:r>
        </a:p>
      </xdr:txBody>
    </xdr:sp>
    <xdr:clientData/>
  </xdr:twoCellAnchor>
  <xdr:twoCellAnchor editAs="absolute">
    <xdr:from>
      <xdr:col>55</xdr:col>
      <xdr:colOff>457200</xdr:colOff>
      <xdr:row>0</xdr:row>
      <xdr:rowOff>107950</xdr:rowOff>
    </xdr:from>
    <xdr:to>
      <xdr:col>57</xdr:col>
      <xdr:colOff>22225</xdr:colOff>
      <xdr:row>2</xdr:row>
      <xdr:rowOff>25400</xdr:rowOff>
    </xdr:to>
    <xdr:sp macro="" textlink="">
      <xdr:nvSpPr>
        <xdr:cNvPr id="4" name="Rettangolo arrotondato 3"/>
        <xdr:cNvSpPr/>
      </xdr:nvSpPr>
      <xdr:spPr>
        <a:xfrm>
          <a:off x="10306050" y="107950"/>
          <a:ext cx="1000125" cy="311150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SAVE</a:t>
          </a:r>
        </a:p>
      </xdr:txBody>
    </xdr:sp>
    <xdr:clientData/>
  </xdr:twoCellAnchor>
  <xdr:twoCellAnchor editAs="absolute">
    <xdr:from>
      <xdr:col>57</xdr:col>
      <xdr:colOff>228600</xdr:colOff>
      <xdr:row>0</xdr:row>
      <xdr:rowOff>107950</xdr:rowOff>
    </xdr:from>
    <xdr:to>
      <xdr:col>59</xdr:col>
      <xdr:colOff>250825</xdr:colOff>
      <xdr:row>2</xdr:row>
      <xdr:rowOff>25400</xdr:rowOff>
    </xdr:to>
    <xdr:sp macro="" textlink="">
      <xdr:nvSpPr>
        <xdr:cNvPr id="5" name="Rettangolo arrotondato 4"/>
        <xdr:cNvSpPr/>
      </xdr:nvSpPr>
      <xdr:spPr>
        <a:xfrm>
          <a:off x="11512550" y="107950"/>
          <a:ext cx="1241425" cy="311150"/>
        </a:xfrm>
        <a:prstGeom prst="roundRect">
          <a:avLst/>
        </a:prstGeom>
        <a:solidFill>
          <a:schemeClr val="accent2">
            <a:lumMod val="75000"/>
          </a:schemeClr>
        </a:solidFill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DELETE</a:t>
          </a:r>
        </a:p>
      </xdr:txBody>
    </xdr:sp>
    <xdr:clientData/>
  </xdr:twoCellAnchor>
  <xdr:twoCellAnchor editAs="absolute">
    <xdr:from>
      <xdr:col>42</xdr:col>
      <xdr:colOff>136525</xdr:colOff>
      <xdr:row>3</xdr:row>
      <xdr:rowOff>76200</xdr:rowOff>
    </xdr:from>
    <xdr:to>
      <xdr:col>44</xdr:col>
      <xdr:colOff>256750</xdr:colOff>
      <xdr:row>5</xdr:row>
      <xdr:rowOff>85725</xdr:rowOff>
    </xdr:to>
    <xdr:sp macro="[0]!showClientTab" textlink="">
      <xdr:nvSpPr>
        <xdr:cNvPr id="6" name="Ritaglia singolo angolo rettangolo 5"/>
        <xdr:cNvSpPr/>
      </xdr:nvSpPr>
      <xdr:spPr>
        <a:xfrm>
          <a:off x="1927225" y="654050"/>
          <a:ext cx="1339425" cy="3778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CLIENT</a:t>
          </a:r>
        </a:p>
      </xdr:txBody>
    </xdr:sp>
    <xdr:clientData/>
  </xdr:twoCellAnchor>
  <xdr:twoCellAnchor editAs="absolute">
    <xdr:from>
      <xdr:col>44</xdr:col>
      <xdr:colOff>273050</xdr:colOff>
      <xdr:row>3</xdr:row>
      <xdr:rowOff>76200</xdr:rowOff>
    </xdr:from>
    <xdr:to>
      <xdr:col>46</xdr:col>
      <xdr:colOff>466300</xdr:colOff>
      <xdr:row>5</xdr:row>
      <xdr:rowOff>85725</xdr:rowOff>
    </xdr:to>
    <xdr:sp macro="[0]!showOrderTab" textlink="">
      <xdr:nvSpPr>
        <xdr:cNvPr id="7" name="Ritaglia singolo angolo rettangolo 6"/>
        <xdr:cNvSpPr/>
      </xdr:nvSpPr>
      <xdr:spPr>
        <a:xfrm>
          <a:off x="3282950" y="654050"/>
          <a:ext cx="1412450" cy="3778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ORDER</a:t>
          </a:r>
        </a:p>
      </xdr:txBody>
    </xdr:sp>
    <xdr:clientData/>
  </xdr:twoCellAnchor>
  <xdr:twoCellAnchor editAs="absolute">
    <xdr:from>
      <xdr:col>46</xdr:col>
      <xdr:colOff>482600</xdr:colOff>
      <xdr:row>3</xdr:row>
      <xdr:rowOff>76200</xdr:rowOff>
    </xdr:from>
    <xdr:to>
      <xdr:col>49</xdr:col>
      <xdr:colOff>402800</xdr:colOff>
      <xdr:row>5</xdr:row>
      <xdr:rowOff>85725</xdr:rowOff>
    </xdr:to>
    <xdr:sp macro="" textlink="">
      <xdr:nvSpPr>
        <xdr:cNvPr id="8" name="Ritaglia singolo angolo rettangolo 7"/>
        <xdr:cNvSpPr/>
      </xdr:nvSpPr>
      <xdr:spPr>
        <a:xfrm>
          <a:off x="4711700" y="654050"/>
          <a:ext cx="1361650" cy="377825"/>
        </a:xfrm>
        <a:prstGeom prst="snip1Rect">
          <a:avLst/>
        </a:prstGeom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>
    <xdr:from>
      <xdr:col>17</xdr:col>
      <xdr:colOff>146050</xdr:colOff>
      <xdr:row>40</xdr:row>
      <xdr:rowOff>82550</xdr:rowOff>
    </xdr:from>
    <xdr:to>
      <xdr:col>20</xdr:col>
      <xdr:colOff>825500</xdr:colOff>
      <xdr:row>43</xdr:row>
      <xdr:rowOff>165100</xdr:rowOff>
    </xdr:to>
    <xdr:sp macro="" textlink="">
      <xdr:nvSpPr>
        <xdr:cNvPr id="10" name="CasellaDiTesto 9"/>
        <xdr:cNvSpPr txBox="1"/>
      </xdr:nvSpPr>
      <xdr:spPr>
        <a:xfrm>
          <a:off x="12223750" y="7486650"/>
          <a:ext cx="3308350" cy="63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 baseline="0"/>
            <a:t>Con un doppio click o cliccando sulla scheda ORDER sarà possibile visualizzare l'ordine nel dettaglio (quali prodotti sono stati acquistati, quanti e a che prezzo)</a:t>
          </a:r>
          <a:endParaRPr lang="it-IT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M%20BHPC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hpc_data_dgn"/>
      <sheetName val="dgnFinal"/>
      <sheetName val="db_clienti"/>
      <sheetName val="bhpc_data"/>
      <sheetName val="dgn_calculation"/>
      <sheetName val="ORDER"/>
      <sheetName val="proformaModel"/>
      <sheetName val="plModel"/>
      <sheetName val="dgnModel"/>
    </sheetNames>
    <sheetDataSet>
      <sheetData sheetId="0"/>
      <sheetData sheetId="1"/>
      <sheetData sheetId="2"/>
      <sheetData sheetId="3"/>
      <sheetData sheetId="4">
        <row r="6">
          <cell r="E6">
            <v>24</v>
          </cell>
        </row>
      </sheetData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phane Ducci" refreshedDate="45337.580436226854" createdVersion="3" refreshedVersion="3" minRefreshableVersion="3" recordCount="32">
  <cacheSource type="worksheet">
    <worksheetSource name="dbStorico"/>
  </cacheSource>
  <cacheFields count="9">
    <cacheField name="NO." numFmtId="0">
      <sharedItems containsSemiMixedTypes="0" containsString="0" containsNumber="1" containsInteger="1" minValue="1" maxValue="2"/>
    </cacheField>
    <cacheField name="DATE" numFmtId="177">
      <sharedItems containsSemiMixedTypes="0" containsNonDate="0" containsDate="1" containsString="0" minDate="2024-02-15T00:00:00" maxDate="2024-02-21T00:00:00" count="2">
        <d v="2024-02-15T00:00:00"/>
        <d v="2024-02-20T00:00:00"/>
      </sharedItems>
    </cacheField>
    <cacheField name="CLIENT" numFmtId="0">
      <sharedItems count="2">
        <s v="CIELOMED"/>
        <s v="PRESTIGE BRANDS"/>
      </sharedItems>
    </cacheField>
    <cacheField name="SKU" numFmtId="0">
      <sharedItems/>
    </cacheField>
    <cacheField name="QTY" numFmtId="0">
      <sharedItems containsSemiMixedTypes="0" containsString="0" containsNumber="1" containsInteger="1" minValue="3" maxValue="250"/>
    </cacheField>
    <cacheField name="PRICE" numFmtId="170">
      <sharedItems containsSemiMixedTypes="0" containsString="0" containsNumber="1" minValue="0" maxValue="15"/>
    </cacheField>
    <cacheField name="TOTAL" numFmtId="170">
      <sharedItems containsSemiMixedTypes="0" containsString="0" containsNumber="1" minValue="0" maxValue="1500"/>
    </cacheField>
    <cacheField name="SALE TYPE" numFmtId="0">
      <sharedItems count="2">
        <s v="NORMAL"/>
        <s v="FOC"/>
      </sharedItems>
    </cacheField>
    <cacheField name="CURRENCY" numFmtId="0">
      <sharedItems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n v="1"/>
    <x v="0"/>
    <x v="0"/>
    <s v="P06000"/>
    <n v="100"/>
    <n v="5"/>
    <n v="500"/>
    <x v="0"/>
    <s v="EUR"/>
  </r>
  <r>
    <n v="1"/>
    <x v="0"/>
    <x v="0"/>
    <s v="P06001"/>
    <n v="100"/>
    <n v="5"/>
    <n v="500"/>
    <x v="0"/>
    <s v="EUR"/>
  </r>
  <r>
    <n v="1"/>
    <x v="0"/>
    <x v="0"/>
    <s v="P06002"/>
    <n v="100"/>
    <n v="5"/>
    <n v="500"/>
    <x v="0"/>
    <s v="EUR"/>
  </r>
  <r>
    <n v="1"/>
    <x v="0"/>
    <x v="0"/>
    <s v="P06003"/>
    <n v="100"/>
    <n v="5"/>
    <n v="500"/>
    <x v="0"/>
    <s v="EUR"/>
  </r>
  <r>
    <n v="1"/>
    <x v="0"/>
    <x v="0"/>
    <s v="GS5004"/>
    <n v="100"/>
    <n v="6"/>
    <n v="600"/>
    <x v="0"/>
    <s v="EUR"/>
  </r>
  <r>
    <n v="1"/>
    <x v="0"/>
    <x v="0"/>
    <s v="GS5005"/>
    <n v="100"/>
    <n v="6"/>
    <n v="600"/>
    <x v="0"/>
    <s v="EUR"/>
  </r>
  <r>
    <n v="1"/>
    <x v="0"/>
    <x v="0"/>
    <s v="GS5006"/>
    <n v="100"/>
    <n v="6"/>
    <n v="600"/>
    <x v="0"/>
    <s v="EUR"/>
  </r>
  <r>
    <n v="1"/>
    <x v="0"/>
    <x v="0"/>
    <s v="GS5007"/>
    <n v="100"/>
    <n v="6"/>
    <n v="600"/>
    <x v="0"/>
    <s v="EUR"/>
  </r>
  <r>
    <n v="1"/>
    <x v="0"/>
    <x v="0"/>
    <s v="GSTRO3"/>
    <n v="100"/>
    <n v="15"/>
    <n v="1500"/>
    <x v="0"/>
    <s v="EUR"/>
  </r>
  <r>
    <n v="1"/>
    <x v="0"/>
    <x v="0"/>
    <s v="P06000"/>
    <n v="10"/>
    <n v="0"/>
    <n v="0"/>
    <x v="1"/>
    <s v="EUR"/>
  </r>
  <r>
    <n v="1"/>
    <x v="0"/>
    <x v="0"/>
    <s v="P06001"/>
    <n v="10"/>
    <n v="0"/>
    <n v="0"/>
    <x v="1"/>
    <s v="EUR"/>
  </r>
  <r>
    <n v="1"/>
    <x v="0"/>
    <x v="0"/>
    <s v="P06002"/>
    <n v="10"/>
    <n v="0"/>
    <n v="0"/>
    <x v="1"/>
    <s v="EUR"/>
  </r>
  <r>
    <n v="1"/>
    <x v="0"/>
    <x v="0"/>
    <s v="P06003"/>
    <n v="10"/>
    <n v="0"/>
    <n v="0"/>
    <x v="1"/>
    <s v="EUR"/>
  </r>
  <r>
    <n v="2"/>
    <x v="1"/>
    <x v="1"/>
    <s v="P05004"/>
    <n v="60"/>
    <n v="4.76"/>
    <n v="285.59999999999997"/>
    <x v="0"/>
    <s v="EUR"/>
  </r>
  <r>
    <n v="2"/>
    <x v="1"/>
    <x v="1"/>
    <s v="P05005"/>
    <n v="20"/>
    <n v="4.76"/>
    <n v="95.199999999999989"/>
    <x v="0"/>
    <s v="EUR"/>
  </r>
  <r>
    <n v="2"/>
    <x v="1"/>
    <x v="1"/>
    <s v="P05006"/>
    <n v="40"/>
    <n v="4.76"/>
    <n v="190.39999999999998"/>
    <x v="0"/>
    <s v="EUR"/>
  </r>
  <r>
    <n v="2"/>
    <x v="1"/>
    <x v="1"/>
    <s v="P05007"/>
    <n v="40"/>
    <n v="4.76"/>
    <n v="190.39999999999998"/>
    <x v="0"/>
    <s v="EUR"/>
  </r>
  <r>
    <n v="2"/>
    <x v="1"/>
    <x v="1"/>
    <s v="P05050"/>
    <n v="50"/>
    <n v="4.76"/>
    <n v="238"/>
    <x v="0"/>
    <s v="EUR"/>
  </r>
  <r>
    <n v="2"/>
    <x v="1"/>
    <x v="1"/>
    <s v="P05051"/>
    <n v="40"/>
    <n v="4.76"/>
    <n v="190.39999999999998"/>
    <x v="0"/>
    <s v="EUR"/>
  </r>
  <r>
    <n v="2"/>
    <x v="1"/>
    <x v="1"/>
    <s v="P05052"/>
    <n v="30"/>
    <n v="4.76"/>
    <n v="142.79999999999998"/>
    <x v="0"/>
    <s v="EUR"/>
  </r>
  <r>
    <n v="2"/>
    <x v="1"/>
    <x v="1"/>
    <s v="GS5004"/>
    <n v="100"/>
    <n v="5.6"/>
    <n v="560"/>
    <x v="0"/>
    <s v="EUR"/>
  </r>
  <r>
    <n v="2"/>
    <x v="1"/>
    <x v="1"/>
    <s v="GS5005"/>
    <n v="250"/>
    <n v="5.6"/>
    <n v="1400"/>
    <x v="0"/>
    <s v="EUR"/>
  </r>
  <r>
    <n v="2"/>
    <x v="1"/>
    <x v="1"/>
    <s v="GS5006"/>
    <n v="60"/>
    <n v="5.6"/>
    <n v="336"/>
    <x v="0"/>
    <s v="EUR"/>
  </r>
  <r>
    <n v="2"/>
    <x v="1"/>
    <x v="1"/>
    <s v="GS5007"/>
    <n v="250"/>
    <n v="5.6"/>
    <n v="1400"/>
    <x v="0"/>
    <s v="EUR"/>
  </r>
  <r>
    <n v="2"/>
    <x v="1"/>
    <x v="1"/>
    <s v="GS5050"/>
    <n v="40"/>
    <n v="5.6"/>
    <n v="224"/>
    <x v="0"/>
    <s v="EUR"/>
  </r>
  <r>
    <n v="2"/>
    <x v="1"/>
    <x v="1"/>
    <s v="P05004"/>
    <n v="10"/>
    <n v="0"/>
    <n v="0"/>
    <x v="1"/>
    <s v="EUR"/>
  </r>
  <r>
    <n v="2"/>
    <x v="1"/>
    <x v="1"/>
    <s v="P05005"/>
    <n v="3"/>
    <n v="0"/>
    <n v="0"/>
    <x v="1"/>
    <s v="EUR"/>
  </r>
  <r>
    <n v="2"/>
    <x v="1"/>
    <x v="1"/>
    <s v="P05006"/>
    <n v="7"/>
    <n v="0"/>
    <n v="0"/>
    <x v="1"/>
    <s v="EUR"/>
  </r>
  <r>
    <n v="2"/>
    <x v="1"/>
    <x v="1"/>
    <s v="P05007"/>
    <n v="7"/>
    <n v="0"/>
    <n v="0"/>
    <x v="1"/>
    <s v="EUR"/>
  </r>
  <r>
    <n v="2"/>
    <x v="1"/>
    <x v="1"/>
    <s v="P05050"/>
    <n v="8"/>
    <n v="0"/>
    <n v="0"/>
    <x v="1"/>
    <s v="EUR"/>
  </r>
  <r>
    <n v="2"/>
    <x v="1"/>
    <x v="1"/>
    <s v="P05051"/>
    <n v="7"/>
    <n v="0"/>
    <n v="0"/>
    <x v="1"/>
    <s v="EUR"/>
  </r>
  <r>
    <n v="2"/>
    <x v="1"/>
    <x v="1"/>
    <s v="P05052"/>
    <n v="5"/>
    <n v="0"/>
    <n v="0"/>
    <x v="1"/>
    <s v="EU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la_pivot2" cacheId="0" applyNumberFormats="0" applyBorderFormats="0" applyFontFormats="0" applyPatternFormats="0" applyAlignmentFormats="0" applyWidthHeightFormats="1" dataCaption="Valori" updatedVersion="3" minRefreshableVersion="3" showCalcMbrs="0" useAutoFormatting="1" itemPrintTitles="1" createdVersion="3" indent="0" outline="1" outlineData="1" multipleFieldFilters="0">
  <location ref="E1:H5" firstHeaderRow="1" firstDataRow="2" firstDataCol="1"/>
  <pivotFields count="9">
    <pivotField showAll="0"/>
    <pivotField numFmtId="177" showAll="0"/>
    <pivotField axis="axisCol" showAll="0">
      <items count="3">
        <item x="0"/>
        <item x="1"/>
        <item t="default"/>
      </items>
    </pivotField>
    <pivotField showAll="0"/>
    <pivotField dataField="1" showAll="0"/>
    <pivotField numFmtId="170" showAll="0"/>
    <pivotField numFmtId="170" showAll="0" defaultSubtotal="0"/>
    <pivotField axis="axisRow" showAll="0">
      <items count="3">
        <item x="0"/>
        <item x="1"/>
        <item t="default"/>
      </items>
    </pivotField>
    <pivotField showAll="0"/>
  </pivotFields>
  <rowFields count="1">
    <field x="7"/>
  </rowFields>
  <rowItems count="3">
    <i>
      <x/>
    </i>
    <i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omma di QTY" fld="4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la_pivot1" cacheId="0" applyNumberFormats="0" applyBorderFormats="0" applyFontFormats="0" applyPatternFormats="0" applyAlignmentFormats="0" applyWidthHeightFormats="1" dataCaption="Valori" updatedVersion="3" minRefreshableVersion="3" showCalcMbrs="0" useAutoFormatting="1" itemPrintTitles="1" createdVersion="3" indent="0" outline="1" outlineData="1" multipleFieldFilters="0">
  <location ref="A1:C7" firstHeaderRow="1" firstDataRow="2" firstDataCol="1"/>
  <pivotFields count="9">
    <pivotField showAll="0"/>
    <pivotField axis="axisRow" numFmtId="177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170" showAll="0"/>
    <pivotField dataField="1" numFmtId="170" showAll="0" defaultSubtotal="0"/>
    <pivotField showAll="0"/>
    <pivotField showAll="0"/>
  </pivotFields>
  <rowFields count="2">
    <field x="2"/>
    <field x="1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ma di QTY" fld="4" baseField="0" baseItem="0"/>
    <dataField name="Somma di TOTAL" fld="6" baseField="0" baseItem="0"/>
  </dataFields>
  <formats count="1">
    <format dxfId="8">
      <pivotArea dataOnly="0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5" name="dbClienti" displayName="dbClienti" ref="A2:Q7" totalsRowShown="0" dataDxfId="97">
  <autoFilter ref="A2:Q7">
    <filterColumn colId="8"/>
    <filterColumn colId="9"/>
    <filterColumn colId="10"/>
  </autoFilter>
  <tableColumns count="17">
    <tableColumn id="1" name="COD CLIENTE" dataDxfId="96"/>
    <tableColumn id="2" name="PAESE" dataDxfId="95"/>
    <tableColumn id="3" name="CONTO PAGAMENTO" dataDxfId="94"/>
    <tableColumn id="4" name="INTESTATARIO 1"/>
    <tableColumn id="5" name="INTESTATARIO 2"/>
    <tableColumn id="6" name="INDIRIZZO LOGISTICA 1"/>
    <tableColumn id="7" name="INDIRIZZO LOGISTICA 2"/>
    <tableColumn id="8" name="INDIRIZZO LOGISTICA 3" dataDxfId="93"/>
    <tableColumn id="15" name="INDIRIZZO LEGALE 1" dataDxfId="92"/>
    <tableColumn id="16" name="INDIRIZZO LEGALE 2" dataDxfId="91"/>
    <tableColumn id="17" name="INDIRIZZO LEGALE 3" dataDxfId="90"/>
    <tableColumn id="9" name="VAT NO" dataDxfId="89"/>
    <tableColumn id="10" name="METODO DI PAGAMENTO" dataDxfId="88"/>
    <tableColumn id="11" name="INCOTERMS"/>
    <tableColumn id="12" name="VALUTA" dataDxfId="87"/>
    <tableColumn id="13" name="IVA" dataDxfId="86"/>
    <tableColumn id="14" name="RIFERIMENTI DI LEGGE" dataDxfId="8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bhpc_data" displayName="bhpc_data" ref="A1:Z77" totalsRowShown="0" headerRowDxfId="84" dataDxfId="83">
  <autoFilter ref="A1:Z77">
    <filterColumn colId="1"/>
  </autoFilter>
  <sortState ref="A2:Z77">
    <sortCondition ref="S1:S77"/>
  </sortState>
  <tableColumns count="26">
    <tableColumn id="1" name="sku" dataDxfId="82"/>
    <tableColumn id="2" name="category" dataDxfId="81"/>
    <tableColumn id="3" name="nr_of_products" dataDxfId="80"/>
    <tableColumn id="4" name="sex" dataDxfId="79"/>
    <tableColumn id="5" name="ean" dataDxfId="78"/>
    <tableColumn id="6" name="hs_code" dataDxfId="77"/>
    <tableColumn id="7" name="description" dataDxfId="76"/>
    <tableColumn id="8" name="unit" dataDxfId="75"/>
    <tableColumn id="9" name="units_per_carton" dataDxfId="74"/>
    <tableColumn id="10" name="box_per_pallet" dataDxfId="73"/>
    <tableColumn id="11" name="box_per_layer" dataDxfId="72"/>
    <tableColumn id="12" name="layers_per_pallet" dataDxfId="71"/>
    <tableColumn id="13" name="cif_price_per_unit" dataDxfId="70"/>
    <tableColumn id="14" name="lenght" dataDxfId="69"/>
    <tableColumn id="15" name="width" dataDxfId="68"/>
    <tableColumn id="16" name="height" dataDxfId="67"/>
    <tableColumn id="17" name="net_weight" dataDxfId="66"/>
    <tableColumn id="18" name="gross_weight" dataDxfId="65"/>
    <tableColumn id="19" name="size12" dataDxfId="64"/>
    <tableColumn id="20" name="size22" dataDxfId="63"/>
    <tableColumn id="21" name="size3" dataDxfId="62"/>
    <tableColumn id="22" name="product1_weight" dataDxfId="61"/>
    <tableColumn id="23" name="product2_weight" dataDxfId="60"/>
    <tableColumn id="24" name="product3_weight" dataDxfId="59"/>
    <tableColumn id="25" name="product4_weight" dataDxfId="58"/>
    <tableColumn id="26" name="country_of_origin" dataDxfId="5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dgn_data" displayName="dgn_data" ref="AB1:AL77" totalsRowShown="0" headerRowDxfId="56" dataDxfId="55" headerRowCellStyle="Normale 2" dataCellStyle="Normale 2">
  <autoFilter ref="AB1:AL77">
    <filterColumn colId="3"/>
    <filterColumn colId="5"/>
    <filterColumn colId="7"/>
  </autoFilter>
  <tableColumns count="11">
    <tableColumn id="1" name="normal_boxes" dataDxfId="54" dataCellStyle="Normale 2">
      <calculatedColumnFormula>ROUNDUP(dgn_data[[#This Row],[order]]/bhpc_data[[#This Row],[units_per_carton]],0)</calculatedColumnFormula>
    </tableColumn>
    <tableColumn id="2" name="testers_boxes" dataDxfId="53" dataCellStyle="Normale 2">
      <calculatedColumnFormula>dgn_data[[#This Row],[foc_order]]/bhpc_data[[#This Row],[units_per_carton]]</calculatedColumnFormula>
    </tableColumn>
    <tableColumn id="3" name="unit_net_weight" dataDxfId="52" dataCellStyle="Normale 2">
      <calculatedColumnFormula>(bhpc_data[[#This Row],[net_weight]]/bhpc_data[[#This Row],[units_per_carton]])*dgn_data[[#This Row],[tot_order]]*bhpc_data[[#This Row],[product1_weight]]</calculatedColumnFormula>
    </tableColumn>
    <tableColumn id="9" name="unit_net_weight2" dataDxfId="51" dataCellStyle="Normale 2">
      <calculatedColumnFormula>(bhpc_data[[#This Row],[net_weight]]/bhpc_data[[#This Row],[units_per_carton]])*dgn_data[[#This Row],[tot_order]]*bhpc_data[[#This Row],[product2_weight]]</calculatedColumnFormula>
    </tableColumn>
    <tableColumn id="4" name="unit_gross_weight" dataDxfId="50" dataCellStyle="Normale 2">
      <calculatedColumnFormula>(bhpc_data[[#This Row],[gross_weight]]/bhpc_data[[#This Row],[units_per_carton]])*dgn_data[[#This Row],[tot_order]]*bhpc_data[[#This Row],[product1_weight]]</calculatedColumnFormula>
    </tableColumn>
    <tableColumn id="10" name="unit_gross_weight2" dataDxfId="49" dataCellStyle="Normale 2">
      <calculatedColumnFormula>(bhpc_data[[#This Row],[gross_weight]]/bhpc_data[[#This Row],[units_per_carton]])*dgn_data[[#This Row],[tot_order]]*bhpc_data[[#This Row],[product2_weight]]</calculatedColumnFormula>
    </tableColumn>
    <tableColumn id="5" name="cbm" dataDxfId="48" dataCellStyle="Normale 2">
      <calculatedColumnFormula>(bhpc_data[[#This Row],[lenght]]*bhpc_data[[#This Row],[width]]*bhpc_data[[#This Row],[height]])/1000000000*dgn_data[[#This Row],[tot_order]]/bhpc_data[[#This Row],[units_per_carton]]*bhpc_data[[#This Row],[product1_weight]]</calculatedColumnFormula>
    </tableColumn>
    <tableColumn id="11" name="cbm2" dataDxfId="47" dataCellStyle="Normale 2">
      <calculatedColumnFormula>(bhpc_data[[#This Row],[lenght]]*bhpc_data[[#This Row],[width]]*bhpc_data[[#This Row],[height]])/1000000000*dgn_data[[#This Row],[tot_order]]/bhpc_data[[#This Row],[units_per_carton]]*bhpc_data[[#This Row],[product2_weight]]</calculatedColumnFormula>
    </tableColumn>
    <tableColumn id="6" name="order" dataDxfId="46" dataCellStyle="Normale 2">
      <calculatedColumnFormula>SUMIF('ORDER ENTRY FORM'!$A$3:$A$60,bhpc_data[[#This Row],[sku]],'ORDER ENTRY FORM'!$C$3:$C$60)</calculatedColumnFormula>
    </tableColumn>
    <tableColumn id="7" name="foc_order" dataDxfId="45" dataCellStyle="Normale 2">
      <calculatedColumnFormula>SUMIF('ORDER ENTRY FORM'!$A$3:$A$60,bhpc_data[[#This Row],[sku]],'ORDER ENTRY FORM'!#REF!)</calculatedColumnFormula>
    </tableColumn>
    <tableColumn id="8" name="tot_order" dataDxfId="44" dataCellStyle="Normale 2">
      <calculatedColumnFormula>dgn_data[[#This Row],[order]]+dgn_data[[#This Row],[foc_order]]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salesDb" displayName="salesDb" ref="A1:I33" totalsRowShown="0" headerRowDxfId="41" dataDxfId="40">
  <autoFilter ref="A1:I33">
    <filterColumn colId="6"/>
    <filterColumn colId="7"/>
  </autoFilter>
  <tableColumns count="9">
    <tableColumn id="1" name="order_no" dataDxfId="39"/>
    <tableColumn id="2" name="date" dataDxfId="38"/>
    <tableColumn id="3" name="customer" dataDxfId="37"/>
    <tableColumn id="4" name="sku" dataDxfId="36"/>
    <tableColumn id="5" name="qty" dataDxfId="35"/>
    <tableColumn id="6" name="sale_price" dataDxfId="34"/>
    <tableColumn id="10" name="cost_price" dataDxfId="33"/>
    <tableColumn id="9" name="total_sold" dataDxfId="32"/>
    <tableColumn id="7" name="sale_type" dataDxfId="3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3" name="orderHistory" displayName="orderHistory" ref="A2:V7" totalsRowShown="0" headerRowDxfId="30">
  <autoFilter ref="A2:V7">
    <filterColumn colId="17"/>
    <filterColumn colId="18"/>
    <filterColumn colId="21"/>
  </autoFilter>
  <sortState ref="A3:V7">
    <sortCondition descending="1" ref="A1:A1048576"/>
  </sortState>
  <tableColumns count="22">
    <tableColumn id="1" name="order_id" dataDxfId="29"/>
    <tableColumn id="2" name="order_date" dataDxfId="28"/>
    <tableColumn id="3" name="customer" dataDxfId="27"/>
    <tableColumn id="4" name="currency" dataDxfId="26"/>
    <tableColumn id="5" name="exchange_rate" dataDxfId="25"/>
    <tableColumn id="6" name="carton_no" dataDxfId="24"/>
    <tableColumn id="7" name="incoterms" dataDxfId="23"/>
    <tableColumn id="8" name="pallet_type" dataDxfId="22"/>
    <tableColumn id="9" name="pallet_no" dataDxfId="21"/>
    <tableColumn id="10" name="logistic_notes" dataDxfId="20"/>
    <tableColumn id="11" name="carrier_name" dataDxfId="19"/>
    <tableColumn id="12" name="carrier_cost" dataDxfId="18"/>
    <tableColumn id="13" name="other_notes" dataDxfId="17"/>
    <tableColumn id="14" name="invoice_no" dataDxfId="16"/>
    <tableColumn id="15" name="invoice_date" dataDxfId="15"/>
    <tableColumn id="16" name="payment_type"/>
    <tableColumn id="17" name="payment_date" dataDxfId="14"/>
    <tableColumn id="22" name="payed" dataDxfId="13"/>
    <tableColumn id="21" name="cost_of_goods" dataDxfId="12"/>
    <tableColumn id="18" name="amount_sold" dataDxfId="11"/>
    <tableColumn id="19" name="profit" dataDxfId="10">
      <calculatedColumnFormula>orderHistory[[#This Row],[amount_sold]]-orderHistory[[#This Row],[cost_of_goods]]</calculatedColumnFormula>
    </tableColumn>
    <tableColumn id="20" name="status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5"/>
  <dimension ref="A1:Q23"/>
  <sheetViews>
    <sheetView workbookViewId="0">
      <pane xSplit="1" ySplit="2" topLeftCell="F3" activePane="bottomRight" state="frozen"/>
      <selection activeCell="H55" sqref="H55"/>
      <selection pane="topRight" activeCell="H55" sqref="H55"/>
      <selection pane="bottomLeft" activeCell="H55" sqref="H55"/>
      <selection pane="bottomRight" activeCell="I13" sqref="I13"/>
    </sheetView>
  </sheetViews>
  <sheetFormatPr defaultColWidth="8.7265625" defaultRowHeight="14.5"/>
  <cols>
    <col min="1" max="1" width="18.453125" style="162" customWidth="1"/>
    <col min="2" max="2" width="13.7265625" style="1" customWidth="1"/>
    <col min="3" max="3" width="80.1796875" style="162" customWidth="1"/>
    <col min="4" max="4" width="39.453125" style="10" bestFit="1" customWidth="1"/>
    <col min="5" max="6" width="31.26953125" style="10" customWidth="1"/>
    <col min="7" max="7" width="39.54296875" style="10" bestFit="1" customWidth="1"/>
    <col min="8" max="8" width="31.26953125" style="10" customWidth="1"/>
    <col min="9" max="11" width="31.26953125" style="235" customWidth="1"/>
    <col min="12" max="12" width="31.26953125" style="10" customWidth="1"/>
    <col min="13" max="13" width="32.54296875" style="1" bestFit="1" customWidth="1"/>
    <col min="14" max="14" width="55.81640625" style="10" customWidth="1"/>
    <col min="15" max="15" width="12" style="1" bestFit="1" customWidth="1"/>
    <col min="16" max="16" width="8.7265625" style="164"/>
    <col min="17" max="17" width="31.7265625" style="1" customWidth="1"/>
    <col min="18" max="16384" width="8.7265625" style="10"/>
  </cols>
  <sheetData>
    <row r="1" spans="1:17" s="328" customFormat="1">
      <c r="A1" s="328">
        <f ca="1">COUNTA(clientId)</f>
        <v>5</v>
      </c>
      <c r="B1" s="328" t="s">
        <v>466</v>
      </c>
      <c r="C1" s="328" t="s">
        <v>467</v>
      </c>
      <c r="D1" s="328" t="s">
        <v>465</v>
      </c>
      <c r="E1" s="328" t="s">
        <v>479</v>
      </c>
      <c r="F1" s="328" t="s">
        <v>472</v>
      </c>
      <c r="G1" s="328" t="s">
        <v>473</v>
      </c>
      <c r="H1" s="328" t="s">
        <v>474</v>
      </c>
      <c r="I1" s="377"/>
      <c r="J1" s="377"/>
      <c r="K1" s="377"/>
      <c r="L1" s="328" t="s">
        <v>478</v>
      </c>
      <c r="M1" s="328" t="s">
        <v>468</v>
      </c>
      <c r="N1" s="328" t="s">
        <v>469</v>
      </c>
      <c r="O1" s="328" t="s">
        <v>470</v>
      </c>
      <c r="P1" s="329"/>
    </row>
    <row r="2" spans="1:17" s="160" customFormat="1">
      <c r="A2" s="160" t="s">
        <v>471</v>
      </c>
      <c r="B2" s="160" t="s">
        <v>307</v>
      </c>
      <c r="C2" s="160" t="s">
        <v>301</v>
      </c>
      <c r="D2" s="160" t="s">
        <v>302</v>
      </c>
      <c r="E2" s="160" t="s">
        <v>303</v>
      </c>
      <c r="F2" s="160" t="s">
        <v>534</v>
      </c>
      <c r="G2" s="160" t="s">
        <v>533</v>
      </c>
      <c r="H2" s="160" t="s">
        <v>535</v>
      </c>
      <c r="I2" s="373" t="s">
        <v>536</v>
      </c>
      <c r="J2" s="373" t="s">
        <v>537</v>
      </c>
      <c r="K2" s="373" t="s">
        <v>538</v>
      </c>
      <c r="L2" s="160" t="s">
        <v>475</v>
      </c>
      <c r="M2" s="160" t="s">
        <v>304</v>
      </c>
      <c r="N2" s="158" t="s">
        <v>287</v>
      </c>
      <c r="O2" s="20" t="s">
        <v>310</v>
      </c>
      <c r="P2" s="161" t="s">
        <v>305</v>
      </c>
      <c r="Q2" s="160" t="s">
        <v>306</v>
      </c>
    </row>
    <row r="3" spans="1:17">
      <c r="A3" s="162" t="s">
        <v>308</v>
      </c>
      <c r="B3" s="1" t="s">
        <v>309</v>
      </c>
      <c r="C3" s="162" t="s">
        <v>520</v>
      </c>
      <c r="D3" s="10" t="s">
        <v>267</v>
      </c>
      <c r="F3" s="10" t="s">
        <v>268</v>
      </c>
      <c r="G3" s="10" t="s">
        <v>269</v>
      </c>
      <c r="H3" s="163" t="s">
        <v>270</v>
      </c>
      <c r="I3" s="374"/>
      <c r="J3" s="374"/>
      <c r="K3" s="374"/>
      <c r="L3" s="163" t="s">
        <v>476</v>
      </c>
      <c r="M3" s="1" t="s">
        <v>316</v>
      </c>
      <c r="N3" s="10" t="s">
        <v>317</v>
      </c>
      <c r="O3" s="1" t="s">
        <v>272</v>
      </c>
      <c r="P3" s="164" t="s">
        <v>276</v>
      </c>
      <c r="Q3" s="1" t="s">
        <v>275</v>
      </c>
    </row>
    <row r="4" spans="1:17">
      <c r="A4" s="162" t="s">
        <v>311</v>
      </c>
      <c r="B4" s="1" t="s">
        <v>312</v>
      </c>
      <c r="C4" s="162" t="s">
        <v>521</v>
      </c>
      <c r="D4" s="10" t="s">
        <v>313</v>
      </c>
      <c r="F4" s="10" t="s">
        <v>314</v>
      </c>
      <c r="G4" s="10" t="s">
        <v>315</v>
      </c>
      <c r="H4" s="163"/>
      <c r="I4" s="374"/>
      <c r="J4" s="374"/>
      <c r="K4" s="374"/>
      <c r="L4" s="163" t="s">
        <v>477</v>
      </c>
      <c r="M4" s="1" t="s">
        <v>316</v>
      </c>
      <c r="N4" s="10" t="s">
        <v>317</v>
      </c>
      <c r="O4" s="1" t="s">
        <v>272</v>
      </c>
      <c r="P4" s="164" t="s">
        <v>276</v>
      </c>
      <c r="Q4" s="1" t="s">
        <v>275</v>
      </c>
    </row>
    <row r="5" spans="1:17">
      <c r="A5" s="335" t="s">
        <v>507</v>
      </c>
      <c r="B5" s="29" t="s">
        <v>509</v>
      </c>
      <c r="C5" s="335" t="s">
        <v>519</v>
      </c>
      <c r="D5" s="336" t="s">
        <v>514</v>
      </c>
      <c r="E5" s="336"/>
      <c r="F5" s="336" t="s">
        <v>515</v>
      </c>
      <c r="G5" s="336" t="s">
        <v>516</v>
      </c>
      <c r="H5" s="337"/>
      <c r="I5" s="375"/>
      <c r="J5" s="375"/>
      <c r="K5" s="375"/>
      <c r="L5" s="336" t="s">
        <v>517</v>
      </c>
      <c r="M5" s="29" t="s">
        <v>498</v>
      </c>
      <c r="N5" s="3" t="s">
        <v>518</v>
      </c>
      <c r="O5" s="29" t="s">
        <v>272</v>
      </c>
      <c r="P5" s="338" t="s">
        <v>276</v>
      </c>
      <c r="Q5" s="1" t="s">
        <v>275</v>
      </c>
    </row>
    <row r="6" spans="1:17">
      <c r="A6" s="335" t="s">
        <v>508</v>
      </c>
      <c r="B6" s="29" t="s">
        <v>510</v>
      </c>
      <c r="C6" s="335"/>
      <c r="D6" s="335"/>
      <c r="E6" s="335"/>
      <c r="F6" s="335"/>
      <c r="G6" s="335"/>
      <c r="H6" s="337"/>
      <c r="I6" s="375"/>
      <c r="J6" s="375"/>
      <c r="K6" s="375"/>
      <c r="L6" s="337"/>
      <c r="M6" s="29"/>
      <c r="N6" s="3"/>
      <c r="O6" s="29"/>
      <c r="P6" s="338"/>
      <c r="Q6" s="29"/>
    </row>
    <row r="7" spans="1:17">
      <c r="A7" s="335" t="s">
        <v>527</v>
      </c>
      <c r="B7" s="29"/>
      <c r="C7" s="335"/>
      <c r="D7" s="335"/>
      <c r="E7" s="335"/>
      <c r="F7" s="335"/>
      <c r="G7" s="335"/>
      <c r="H7" s="336"/>
      <c r="I7" s="376"/>
      <c r="J7" s="376"/>
      <c r="K7" s="376"/>
      <c r="L7" s="336"/>
      <c r="M7" s="29"/>
      <c r="N7" s="3"/>
      <c r="O7" s="29"/>
      <c r="P7" s="370"/>
      <c r="Q7" s="29"/>
    </row>
    <row r="8" spans="1:17">
      <c r="D8" s="162"/>
      <c r="E8" s="162"/>
      <c r="F8" s="162"/>
      <c r="G8" s="162"/>
      <c r="H8" s="207"/>
      <c r="L8" s="207"/>
    </row>
    <row r="9" spans="1:17">
      <c r="D9" s="162"/>
      <c r="E9" s="162"/>
      <c r="F9" s="162"/>
      <c r="G9" s="162"/>
      <c r="L9" s="207"/>
      <c r="P9" s="165"/>
    </row>
    <row r="10" spans="1:17">
      <c r="D10" s="162"/>
      <c r="E10" s="162"/>
      <c r="F10" s="162"/>
      <c r="G10" s="162"/>
    </row>
    <row r="11" spans="1:17">
      <c r="F11" s="207">
        <f>COLUMN()</f>
        <v>6</v>
      </c>
      <c r="G11" s="207">
        <f>COLUMN()</f>
        <v>7</v>
      </c>
      <c r="H11" s="207">
        <f>COLUMN()</f>
        <v>8</v>
      </c>
      <c r="I11" s="207">
        <f>COLUMN()</f>
        <v>9</v>
      </c>
      <c r="J11" s="207">
        <f>COLUMN()</f>
        <v>10</v>
      </c>
      <c r="K11" s="207">
        <f>COLUMN()</f>
        <v>11</v>
      </c>
      <c r="L11" s="10">
        <f>COLUMN()</f>
        <v>12</v>
      </c>
    </row>
    <row r="19" spans="1:2">
      <c r="A19" s="10"/>
    </row>
    <row r="20" spans="1:2">
      <c r="A20" s="10"/>
      <c r="B20" s="10"/>
    </row>
    <row r="21" spans="1:2">
      <c r="A21" s="10"/>
      <c r="B21" s="10"/>
    </row>
    <row r="22" spans="1:2">
      <c r="B22" s="10"/>
    </row>
    <row r="23" spans="1:2">
      <c r="B23" s="10"/>
    </row>
  </sheetData>
  <conditionalFormatting sqref="L1:L1048576 F11:K11">
    <cfRule type="duplicateValues" dxfId="99" priority="2"/>
  </conditionalFormatting>
  <conditionalFormatting sqref="H1:K1048576">
    <cfRule type="duplicateValues" dxfId="9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6"/>
  <dimension ref="A1:AL77"/>
  <sheetViews>
    <sheetView zoomScale="90" zoomScaleNormal="90" workbookViewId="0">
      <pane ySplit="1" topLeftCell="A2" activePane="bottomLeft" state="frozen"/>
      <selection activeCell="K6" sqref="K6"/>
      <selection pane="bottomLeft" activeCell="K6" sqref="K6"/>
    </sheetView>
  </sheetViews>
  <sheetFormatPr defaultColWidth="9.1796875" defaultRowHeight="12.5"/>
  <cols>
    <col min="1" max="1" width="8.453125" style="189" bestFit="1" customWidth="1"/>
    <col min="2" max="2" width="12.54296875" style="189" bestFit="1" customWidth="1"/>
    <col min="3" max="3" width="16.453125" style="189" customWidth="1"/>
    <col min="4" max="4" width="8.453125" style="189" bestFit="1" customWidth="1"/>
    <col min="5" max="5" width="15.81640625" style="195" customWidth="1"/>
    <col min="6" max="6" width="10.54296875" style="190" customWidth="1"/>
    <col min="7" max="7" width="67.26953125" style="189" bestFit="1" customWidth="1"/>
    <col min="8" max="8" width="8.7265625" style="189" bestFit="1" customWidth="1"/>
    <col min="9" max="9" width="18.1796875" style="189" customWidth="1"/>
    <col min="10" max="10" width="16.7265625" style="189" customWidth="1"/>
    <col min="11" max="11" width="16.1796875" style="189" customWidth="1"/>
    <col min="12" max="12" width="18.7265625" style="189" customWidth="1"/>
    <col min="13" max="13" width="14" style="189" customWidth="1"/>
    <col min="14" max="14" width="8.81640625" style="189" customWidth="1"/>
    <col min="15" max="15" width="8.1796875" style="189" customWidth="1"/>
    <col min="16" max="16" width="8.81640625" style="189" customWidth="1"/>
    <col min="17" max="17" width="13.1796875" style="189" customWidth="1"/>
    <col min="18" max="18" width="15" style="189" customWidth="1"/>
    <col min="19" max="21" width="7.7265625" style="189" customWidth="1"/>
    <col min="22" max="22" width="17.81640625" style="189" customWidth="1"/>
    <col min="23" max="23" width="19.54296875" style="189" customWidth="1"/>
    <col min="24" max="24" width="15.54296875" style="189" customWidth="1"/>
    <col min="25" max="25" width="18.453125" style="189" customWidth="1"/>
    <col min="26" max="26" width="19.54296875" style="190" customWidth="1"/>
    <col min="27" max="27" width="4" style="189" customWidth="1"/>
    <col min="28" max="28" width="16.26953125" style="189" customWidth="1"/>
    <col min="29" max="29" width="16.453125" style="189" customWidth="1"/>
    <col min="30" max="31" width="18" style="189" customWidth="1"/>
    <col min="32" max="33" width="20.453125" style="189" customWidth="1"/>
    <col min="34" max="34" width="14.54296875" style="189" bestFit="1" customWidth="1"/>
    <col min="35" max="35" width="14.54296875" style="189" customWidth="1"/>
    <col min="36" max="36" width="9.1796875" style="189"/>
    <col min="37" max="37" width="12.1796875" style="189" customWidth="1"/>
    <col min="38" max="38" width="11.7265625" style="189" customWidth="1"/>
    <col min="39" max="16384" width="9.1796875" style="189"/>
  </cols>
  <sheetData>
    <row r="1" spans="1:38" s="196" customFormat="1" ht="28.5" customHeight="1">
      <c r="A1" s="196" t="s">
        <v>148</v>
      </c>
      <c r="B1" s="196" t="s">
        <v>149</v>
      </c>
      <c r="C1" s="196" t="s">
        <v>150</v>
      </c>
      <c r="D1" s="196" t="s">
        <v>326</v>
      </c>
      <c r="E1" s="196" t="s">
        <v>327</v>
      </c>
      <c r="F1" s="196" t="s">
        <v>328</v>
      </c>
      <c r="G1" s="196" t="s">
        <v>151</v>
      </c>
      <c r="H1" s="196" t="s">
        <v>329</v>
      </c>
      <c r="I1" s="196" t="s">
        <v>152</v>
      </c>
      <c r="J1" s="196" t="s">
        <v>330</v>
      </c>
      <c r="K1" s="196" t="s">
        <v>331</v>
      </c>
      <c r="L1" s="196" t="s">
        <v>332</v>
      </c>
      <c r="M1" s="196" t="s">
        <v>333</v>
      </c>
      <c r="N1" s="196" t="s">
        <v>153</v>
      </c>
      <c r="O1" s="196" t="s">
        <v>154</v>
      </c>
      <c r="P1" s="196" t="s">
        <v>155</v>
      </c>
      <c r="Q1" s="196" t="s">
        <v>156</v>
      </c>
      <c r="R1" s="196" t="s">
        <v>157</v>
      </c>
      <c r="S1" s="196" t="s">
        <v>247</v>
      </c>
      <c r="T1" s="196" t="s">
        <v>248</v>
      </c>
      <c r="U1" s="196" t="s">
        <v>158</v>
      </c>
      <c r="V1" s="196" t="s">
        <v>368</v>
      </c>
      <c r="W1" s="196" t="s">
        <v>369</v>
      </c>
      <c r="X1" s="196" t="s">
        <v>370</v>
      </c>
      <c r="Y1" s="196" t="s">
        <v>371</v>
      </c>
      <c r="Z1" s="196" t="s">
        <v>334</v>
      </c>
      <c r="AB1" s="203" t="s">
        <v>258</v>
      </c>
      <c r="AC1" s="203" t="s">
        <v>257</v>
      </c>
      <c r="AD1" s="201" t="s">
        <v>249</v>
      </c>
      <c r="AE1" s="208" t="s">
        <v>372</v>
      </c>
      <c r="AF1" s="201" t="s">
        <v>250</v>
      </c>
      <c r="AG1" s="208" t="s">
        <v>373</v>
      </c>
      <c r="AH1" s="201" t="s">
        <v>251</v>
      </c>
      <c r="AI1" s="208" t="s">
        <v>374</v>
      </c>
      <c r="AJ1" s="200" t="s">
        <v>252</v>
      </c>
      <c r="AK1" s="200" t="s">
        <v>262</v>
      </c>
      <c r="AL1" s="200" t="s">
        <v>263</v>
      </c>
    </row>
    <row r="2" spans="1:38">
      <c r="A2" s="189" t="s">
        <v>48</v>
      </c>
      <c r="B2" s="189" t="s">
        <v>176</v>
      </c>
      <c r="C2" s="189">
        <v>2</v>
      </c>
      <c r="D2" s="189" t="s">
        <v>339</v>
      </c>
      <c r="E2" s="191">
        <v>6291107160993</v>
      </c>
      <c r="G2" s="189" t="s">
        <v>181</v>
      </c>
      <c r="H2" s="189" t="s">
        <v>343</v>
      </c>
      <c r="I2" s="189">
        <v>12</v>
      </c>
      <c r="J2" s="189">
        <v>42</v>
      </c>
      <c r="K2" s="189">
        <v>6</v>
      </c>
      <c r="L2" s="189">
        <v>7</v>
      </c>
      <c r="N2" s="189">
        <v>370</v>
      </c>
      <c r="O2" s="189">
        <v>330</v>
      </c>
      <c r="P2" s="189">
        <v>230</v>
      </c>
      <c r="Q2" s="189">
        <v>5.04</v>
      </c>
      <c r="R2" s="189">
        <v>5.79</v>
      </c>
      <c r="S2" s="189">
        <v>50</v>
      </c>
      <c r="T2" s="189">
        <v>175</v>
      </c>
      <c r="U2" s="189">
        <v>0</v>
      </c>
      <c r="V2" s="189">
        <v>0.55000000000000004</v>
      </c>
      <c r="W2" s="189">
        <v>0.45</v>
      </c>
      <c r="X2" s="189">
        <v>0</v>
      </c>
      <c r="Y2" s="189">
        <v>0</v>
      </c>
      <c r="Z2" s="190" t="s">
        <v>342</v>
      </c>
      <c r="AB2" s="204">
        <f>ROUNDUP(dgn_data[[#This Row],[order]]/bhpc_data[[#This Row],[units_per_carton]],0)</f>
        <v>0</v>
      </c>
      <c r="AC2" s="204" t="e">
        <f>dgn_data[[#This Row],[foc_order]]/bhpc_data[[#This Row],[units_per_carton]]</f>
        <v>#REF!</v>
      </c>
      <c r="AD2" s="202" t="e">
        <f>(bhpc_data[[#This Row],[net_weight]]/bhpc_data[[#This Row],[units_per_carton]])*dgn_data[[#This Row],[tot_order]]*bhpc_data[[#This Row],[product1_weight]]</f>
        <v>#REF!</v>
      </c>
      <c r="AE2" s="209" t="e">
        <f>(bhpc_data[[#This Row],[net_weight]]/bhpc_data[[#This Row],[units_per_carton]])*dgn_data[[#This Row],[tot_order]]*bhpc_data[[#This Row],[product2_weight]]</f>
        <v>#REF!</v>
      </c>
      <c r="AF2" s="202" t="e">
        <f>(bhpc_data[[#This Row],[gross_weight]]/bhpc_data[[#This Row],[units_per_carton]])*dgn_data[[#This Row],[tot_order]]*bhpc_data[[#This Row],[product1_weight]]</f>
        <v>#REF!</v>
      </c>
      <c r="AG2" s="209" t="e">
        <f>(bhpc_data[[#This Row],[gross_weight]]/bhpc_data[[#This Row],[units_per_carton]])*dgn_data[[#This Row],[tot_order]]*bhpc_data[[#This Row],[product2_weight]]</f>
        <v>#REF!</v>
      </c>
      <c r="AH2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" s="199">
        <f>SUMIF('ORDER ENTRY FORM'!$A$3:$A$60,bhpc_data[[#This Row],[sku]],'ORDER ENTRY FORM'!$C$3:$C$60)</f>
        <v>0</v>
      </c>
      <c r="AK2" s="199" t="e">
        <f>SUMIF('ORDER ENTRY FORM'!$A$3:$A$60,bhpc_data[[#This Row],[sku]],'ORDER ENTRY FORM'!#REF!)</f>
        <v>#REF!</v>
      </c>
      <c r="AL2" s="199" t="e">
        <f>dgn_data[[#This Row],[order]]+dgn_data[[#This Row],[foc_order]]</f>
        <v>#REF!</v>
      </c>
    </row>
    <row r="3" spans="1:38">
      <c r="A3" s="189" t="s">
        <v>49</v>
      </c>
      <c r="B3" s="189" t="s">
        <v>176</v>
      </c>
      <c r="C3" s="189">
        <v>2</v>
      </c>
      <c r="D3" s="189" t="s">
        <v>339</v>
      </c>
      <c r="E3" s="191">
        <v>6291107161006</v>
      </c>
      <c r="G3" s="189" t="s">
        <v>182</v>
      </c>
      <c r="H3" s="189" t="s">
        <v>343</v>
      </c>
      <c r="I3" s="189">
        <v>12</v>
      </c>
      <c r="J3" s="189">
        <v>42</v>
      </c>
      <c r="K3" s="189">
        <v>6</v>
      </c>
      <c r="L3" s="189">
        <v>7</v>
      </c>
      <c r="N3" s="189">
        <v>370</v>
      </c>
      <c r="O3" s="189">
        <v>330</v>
      </c>
      <c r="P3" s="189">
        <v>230</v>
      </c>
      <c r="Q3" s="189">
        <v>5.04</v>
      </c>
      <c r="R3" s="189">
        <v>5.79</v>
      </c>
      <c r="S3" s="189">
        <v>50</v>
      </c>
      <c r="T3" s="189">
        <v>175</v>
      </c>
      <c r="U3" s="189">
        <v>0</v>
      </c>
      <c r="V3" s="189">
        <v>0.55000000000000004</v>
      </c>
      <c r="W3" s="189">
        <v>0.45</v>
      </c>
      <c r="X3" s="189">
        <v>0</v>
      </c>
      <c r="Y3" s="189">
        <v>0</v>
      </c>
      <c r="Z3" s="190" t="s">
        <v>342</v>
      </c>
      <c r="AB3" s="204">
        <f>ROUNDUP(dgn_data[[#This Row],[order]]/bhpc_data[[#This Row],[units_per_carton]],0)</f>
        <v>0</v>
      </c>
      <c r="AC3" s="204" t="e">
        <f>dgn_data[[#This Row],[foc_order]]/bhpc_data[[#This Row],[units_per_carton]]</f>
        <v>#REF!</v>
      </c>
      <c r="AD3" s="202" t="e">
        <f>(bhpc_data[[#This Row],[net_weight]]/bhpc_data[[#This Row],[units_per_carton]])*dgn_data[[#This Row],[tot_order]]*bhpc_data[[#This Row],[product1_weight]]</f>
        <v>#REF!</v>
      </c>
      <c r="AE3" s="209" t="e">
        <f>(bhpc_data[[#This Row],[net_weight]]/bhpc_data[[#This Row],[units_per_carton]])*dgn_data[[#This Row],[tot_order]]*bhpc_data[[#This Row],[product2_weight]]</f>
        <v>#REF!</v>
      </c>
      <c r="AF3" s="202" t="e">
        <f>(bhpc_data[[#This Row],[gross_weight]]/bhpc_data[[#This Row],[units_per_carton]])*dgn_data[[#This Row],[tot_order]]*bhpc_data[[#This Row],[product1_weight]]</f>
        <v>#REF!</v>
      </c>
      <c r="AG3" s="209" t="e">
        <f>(bhpc_data[[#This Row],[gross_weight]]/bhpc_data[[#This Row],[units_per_carton]])*dgn_data[[#This Row],[tot_order]]*bhpc_data[[#This Row],[product2_weight]]</f>
        <v>#REF!</v>
      </c>
      <c r="AH3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" s="199">
        <f>SUMIF('ORDER ENTRY FORM'!$A$3:$A$60,bhpc_data[[#This Row],[sku]],'ORDER ENTRY FORM'!$C$3:$C$60)</f>
        <v>0</v>
      </c>
      <c r="AK3" s="199" t="e">
        <f>SUMIF('ORDER ENTRY FORM'!$A$3:$A$60,bhpc_data[[#This Row],[sku]],'ORDER ENTRY FORM'!#REF!)</f>
        <v>#REF!</v>
      </c>
      <c r="AL3" s="199" t="e">
        <f>dgn_data[[#This Row],[order]]+dgn_data[[#This Row],[foc_order]]</f>
        <v>#REF!</v>
      </c>
    </row>
    <row r="4" spans="1:38">
      <c r="A4" s="189" t="s">
        <v>50</v>
      </c>
      <c r="B4" s="189" t="s">
        <v>176</v>
      </c>
      <c r="C4" s="189">
        <v>2</v>
      </c>
      <c r="D4" s="189" t="s">
        <v>339</v>
      </c>
      <c r="E4" s="191">
        <v>6291107161013</v>
      </c>
      <c r="G4" s="189" t="s">
        <v>183</v>
      </c>
      <c r="H4" s="189" t="s">
        <v>343</v>
      </c>
      <c r="I4" s="189">
        <v>12</v>
      </c>
      <c r="J4" s="189">
        <v>42</v>
      </c>
      <c r="K4" s="189">
        <v>6</v>
      </c>
      <c r="L4" s="189">
        <v>7</v>
      </c>
      <c r="N4" s="189">
        <v>370</v>
      </c>
      <c r="O4" s="189">
        <v>330</v>
      </c>
      <c r="P4" s="189">
        <v>230</v>
      </c>
      <c r="Q4" s="189">
        <v>5.04</v>
      </c>
      <c r="R4" s="189">
        <v>5.79</v>
      </c>
      <c r="S4" s="189">
        <v>50</v>
      </c>
      <c r="T4" s="189">
        <v>175</v>
      </c>
      <c r="U4" s="189">
        <v>0</v>
      </c>
      <c r="V4" s="189">
        <v>0.55000000000000004</v>
      </c>
      <c r="W4" s="189">
        <v>0.45</v>
      </c>
      <c r="X4" s="189">
        <v>0</v>
      </c>
      <c r="Y4" s="189">
        <v>0</v>
      </c>
      <c r="Z4" s="190" t="s">
        <v>342</v>
      </c>
      <c r="AB4" s="204">
        <f>ROUNDUP(dgn_data[[#This Row],[order]]/bhpc_data[[#This Row],[units_per_carton]],0)</f>
        <v>0</v>
      </c>
      <c r="AC4" s="204" t="e">
        <f>dgn_data[[#This Row],[foc_order]]/bhpc_data[[#This Row],[units_per_carton]]</f>
        <v>#REF!</v>
      </c>
      <c r="AD4" s="202" t="e">
        <f>(bhpc_data[[#This Row],[net_weight]]/bhpc_data[[#This Row],[units_per_carton]])*dgn_data[[#This Row],[tot_order]]*bhpc_data[[#This Row],[product1_weight]]</f>
        <v>#REF!</v>
      </c>
      <c r="AE4" s="209" t="e">
        <f>(bhpc_data[[#This Row],[net_weight]]/bhpc_data[[#This Row],[units_per_carton]])*dgn_data[[#This Row],[tot_order]]*bhpc_data[[#This Row],[product2_weight]]</f>
        <v>#REF!</v>
      </c>
      <c r="AF4" s="202" t="e">
        <f>(bhpc_data[[#This Row],[gross_weight]]/bhpc_data[[#This Row],[units_per_carton]])*dgn_data[[#This Row],[tot_order]]*bhpc_data[[#This Row],[product1_weight]]</f>
        <v>#REF!</v>
      </c>
      <c r="AG4" s="209" t="e">
        <f>(bhpc_data[[#This Row],[gross_weight]]/bhpc_data[[#This Row],[units_per_carton]])*dgn_data[[#This Row],[tot_order]]*bhpc_data[[#This Row],[product2_weight]]</f>
        <v>#REF!</v>
      </c>
      <c r="AH4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" s="199">
        <f>SUMIF('ORDER ENTRY FORM'!$A$3:$A$60,bhpc_data[[#This Row],[sku]],'ORDER ENTRY FORM'!$C$3:$C$60)</f>
        <v>0</v>
      </c>
      <c r="AK4" s="199" t="e">
        <f>SUMIF('ORDER ENTRY FORM'!$A$3:$A$60,bhpc_data[[#This Row],[sku]],'ORDER ENTRY FORM'!#REF!)</f>
        <v>#REF!</v>
      </c>
      <c r="AL4" s="199" t="e">
        <f>dgn_data[[#This Row],[order]]+dgn_data[[#This Row],[foc_order]]</f>
        <v>#REF!</v>
      </c>
    </row>
    <row r="5" spans="1:38">
      <c r="A5" s="189" t="s">
        <v>51</v>
      </c>
      <c r="B5" s="189" t="s">
        <v>176</v>
      </c>
      <c r="C5" s="189">
        <v>2</v>
      </c>
      <c r="D5" s="189" t="s">
        <v>339</v>
      </c>
      <c r="E5" s="191">
        <v>6291107161020</v>
      </c>
      <c r="G5" s="189" t="s">
        <v>184</v>
      </c>
      <c r="H5" s="189" t="s">
        <v>343</v>
      </c>
      <c r="I5" s="189">
        <v>12</v>
      </c>
      <c r="J5" s="189">
        <v>42</v>
      </c>
      <c r="K5" s="189">
        <v>6</v>
      </c>
      <c r="L5" s="189">
        <v>7</v>
      </c>
      <c r="N5" s="189">
        <v>370</v>
      </c>
      <c r="O5" s="189">
        <v>330</v>
      </c>
      <c r="P5" s="189">
        <v>230</v>
      </c>
      <c r="Q5" s="189">
        <v>5.04</v>
      </c>
      <c r="R5" s="189">
        <v>5.79</v>
      </c>
      <c r="S5" s="189">
        <v>50</v>
      </c>
      <c r="T5" s="189">
        <v>175</v>
      </c>
      <c r="U5" s="189">
        <v>0</v>
      </c>
      <c r="V5" s="189">
        <v>0.55000000000000004</v>
      </c>
      <c r="W5" s="189">
        <v>0.45</v>
      </c>
      <c r="X5" s="189">
        <v>0</v>
      </c>
      <c r="Y5" s="189">
        <v>0</v>
      </c>
      <c r="Z5" s="190" t="s">
        <v>342</v>
      </c>
      <c r="AB5" s="204">
        <f>ROUNDUP(dgn_data[[#This Row],[order]]/bhpc_data[[#This Row],[units_per_carton]],0)</f>
        <v>0</v>
      </c>
      <c r="AC5" s="204" t="e">
        <f>dgn_data[[#This Row],[foc_order]]/bhpc_data[[#This Row],[units_per_carton]]</f>
        <v>#REF!</v>
      </c>
      <c r="AD5" s="202" t="e">
        <f>(bhpc_data[[#This Row],[net_weight]]/bhpc_data[[#This Row],[units_per_carton]])*dgn_data[[#This Row],[tot_order]]*bhpc_data[[#This Row],[product1_weight]]</f>
        <v>#REF!</v>
      </c>
      <c r="AE5" s="209" t="e">
        <f>(bhpc_data[[#This Row],[net_weight]]/bhpc_data[[#This Row],[units_per_carton]])*dgn_data[[#This Row],[tot_order]]*bhpc_data[[#This Row],[product2_weight]]</f>
        <v>#REF!</v>
      </c>
      <c r="AF5" s="202" t="e">
        <f>(bhpc_data[[#This Row],[gross_weight]]/bhpc_data[[#This Row],[units_per_carton]])*dgn_data[[#This Row],[tot_order]]*bhpc_data[[#This Row],[product1_weight]]</f>
        <v>#REF!</v>
      </c>
      <c r="AG5" s="209" t="e">
        <f>(bhpc_data[[#This Row],[gross_weight]]/bhpc_data[[#This Row],[units_per_carton]])*dgn_data[[#This Row],[tot_order]]*bhpc_data[[#This Row],[product2_weight]]</f>
        <v>#REF!</v>
      </c>
      <c r="AH5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" s="199">
        <f>SUMIF('ORDER ENTRY FORM'!$A$3:$A$60,bhpc_data[[#This Row],[sku]],'ORDER ENTRY FORM'!$C$3:$C$60)</f>
        <v>0</v>
      </c>
      <c r="AK5" s="199" t="e">
        <f>SUMIF('ORDER ENTRY FORM'!$A$3:$A$60,bhpc_data[[#This Row],[sku]],'ORDER ENTRY FORM'!#REF!)</f>
        <v>#REF!</v>
      </c>
      <c r="AL5" s="199" t="e">
        <f>dgn_data[[#This Row],[order]]+dgn_data[[#This Row],[foc_order]]</f>
        <v>#REF!</v>
      </c>
    </row>
    <row r="6" spans="1:38">
      <c r="A6" s="189" t="s">
        <v>52</v>
      </c>
      <c r="B6" s="189" t="s">
        <v>176</v>
      </c>
      <c r="C6" s="189">
        <v>2</v>
      </c>
      <c r="D6" s="189" t="s">
        <v>335</v>
      </c>
      <c r="E6" s="191">
        <v>6291107161037</v>
      </c>
      <c r="G6" s="189" t="s">
        <v>185</v>
      </c>
      <c r="H6" s="189" t="s">
        <v>343</v>
      </c>
      <c r="I6" s="189">
        <v>12</v>
      </c>
      <c r="J6" s="189">
        <v>42</v>
      </c>
      <c r="K6" s="189">
        <v>6</v>
      </c>
      <c r="L6" s="189">
        <v>7</v>
      </c>
      <c r="N6" s="189">
        <v>370</v>
      </c>
      <c r="O6" s="189">
        <v>330</v>
      </c>
      <c r="P6" s="189">
        <v>230</v>
      </c>
      <c r="Q6" s="189">
        <v>4.78</v>
      </c>
      <c r="R6" s="189">
        <v>5.25</v>
      </c>
      <c r="S6" s="189">
        <v>50</v>
      </c>
      <c r="T6" s="189">
        <v>150</v>
      </c>
      <c r="U6" s="189">
        <v>0</v>
      </c>
      <c r="V6" s="189">
        <v>0.55000000000000004</v>
      </c>
      <c r="W6" s="189">
        <v>0.45</v>
      </c>
      <c r="X6" s="189">
        <v>0</v>
      </c>
      <c r="Y6" s="189">
        <v>0</v>
      </c>
      <c r="Z6" s="190" t="s">
        <v>342</v>
      </c>
      <c r="AB6" s="204">
        <f>ROUNDUP(dgn_data[[#This Row],[order]]/bhpc_data[[#This Row],[units_per_carton]],0)</f>
        <v>0</v>
      </c>
      <c r="AC6" s="204" t="e">
        <f>dgn_data[[#This Row],[foc_order]]/bhpc_data[[#This Row],[units_per_carton]]</f>
        <v>#REF!</v>
      </c>
      <c r="AD6" s="202" t="e">
        <f>(bhpc_data[[#This Row],[net_weight]]/bhpc_data[[#This Row],[units_per_carton]])*dgn_data[[#This Row],[tot_order]]*bhpc_data[[#This Row],[product1_weight]]</f>
        <v>#REF!</v>
      </c>
      <c r="AE6" s="209" t="e">
        <f>(bhpc_data[[#This Row],[net_weight]]/bhpc_data[[#This Row],[units_per_carton]])*dgn_data[[#This Row],[tot_order]]*bhpc_data[[#This Row],[product2_weight]]</f>
        <v>#REF!</v>
      </c>
      <c r="AF6" s="202" t="e">
        <f>(bhpc_data[[#This Row],[gross_weight]]/bhpc_data[[#This Row],[units_per_carton]])*dgn_data[[#This Row],[tot_order]]*bhpc_data[[#This Row],[product1_weight]]</f>
        <v>#REF!</v>
      </c>
      <c r="AG6" s="209" t="e">
        <f>(bhpc_data[[#This Row],[gross_weight]]/bhpc_data[[#This Row],[units_per_carton]])*dgn_data[[#This Row],[tot_order]]*bhpc_data[[#This Row],[product2_weight]]</f>
        <v>#REF!</v>
      </c>
      <c r="AH6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" s="199">
        <f>SUMIF('ORDER ENTRY FORM'!$A$3:$A$60,bhpc_data[[#This Row],[sku]],'ORDER ENTRY FORM'!$C$3:$C$60)</f>
        <v>0</v>
      </c>
      <c r="AK6" s="199" t="e">
        <f>SUMIF('ORDER ENTRY FORM'!$A$3:$A$60,bhpc_data[[#This Row],[sku]],'ORDER ENTRY FORM'!#REF!)</f>
        <v>#REF!</v>
      </c>
      <c r="AL6" s="199" t="e">
        <f>dgn_data[[#This Row],[order]]+dgn_data[[#This Row],[foc_order]]</f>
        <v>#REF!</v>
      </c>
    </row>
    <row r="7" spans="1:38">
      <c r="A7" s="189" t="s">
        <v>53</v>
      </c>
      <c r="B7" s="189" t="s">
        <v>176</v>
      </c>
      <c r="C7" s="189">
        <v>2</v>
      </c>
      <c r="D7" s="189" t="s">
        <v>335</v>
      </c>
      <c r="E7" s="191">
        <v>6291107161044</v>
      </c>
      <c r="G7" s="189" t="s">
        <v>186</v>
      </c>
      <c r="H7" s="189" t="s">
        <v>343</v>
      </c>
      <c r="I7" s="189">
        <v>12</v>
      </c>
      <c r="J7" s="189">
        <v>42</v>
      </c>
      <c r="K7" s="189">
        <v>6</v>
      </c>
      <c r="L7" s="189">
        <v>7</v>
      </c>
      <c r="N7" s="189">
        <v>370</v>
      </c>
      <c r="O7" s="189">
        <v>330</v>
      </c>
      <c r="P7" s="189">
        <v>230</v>
      </c>
      <c r="Q7" s="189">
        <v>4.78</v>
      </c>
      <c r="R7" s="189">
        <v>5.25</v>
      </c>
      <c r="S7" s="189">
        <v>50</v>
      </c>
      <c r="T7" s="189">
        <v>150</v>
      </c>
      <c r="U7" s="189">
        <v>0</v>
      </c>
      <c r="V7" s="189">
        <v>0.55000000000000004</v>
      </c>
      <c r="W7" s="189">
        <v>0.45</v>
      </c>
      <c r="X7" s="189">
        <v>0</v>
      </c>
      <c r="Y7" s="189">
        <v>0</v>
      </c>
      <c r="Z7" s="190" t="s">
        <v>342</v>
      </c>
      <c r="AB7" s="204">
        <f>ROUNDUP(dgn_data[[#This Row],[order]]/bhpc_data[[#This Row],[units_per_carton]],0)</f>
        <v>0</v>
      </c>
      <c r="AC7" s="204" t="e">
        <f>dgn_data[[#This Row],[foc_order]]/bhpc_data[[#This Row],[units_per_carton]]</f>
        <v>#REF!</v>
      </c>
      <c r="AD7" s="202" t="e">
        <f>(bhpc_data[[#This Row],[net_weight]]/bhpc_data[[#This Row],[units_per_carton]])*dgn_data[[#This Row],[tot_order]]*bhpc_data[[#This Row],[product1_weight]]</f>
        <v>#REF!</v>
      </c>
      <c r="AE7" s="209" t="e">
        <f>(bhpc_data[[#This Row],[net_weight]]/bhpc_data[[#This Row],[units_per_carton]])*dgn_data[[#This Row],[tot_order]]*bhpc_data[[#This Row],[product2_weight]]</f>
        <v>#REF!</v>
      </c>
      <c r="AF7" s="202" t="e">
        <f>(bhpc_data[[#This Row],[gross_weight]]/bhpc_data[[#This Row],[units_per_carton]])*dgn_data[[#This Row],[tot_order]]*bhpc_data[[#This Row],[product1_weight]]</f>
        <v>#REF!</v>
      </c>
      <c r="AG7" s="209" t="e">
        <f>(bhpc_data[[#This Row],[gross_weight]]/bhpc_data[[#This Row],[units_per_carton]])*dgn_data[[#This Row],[tot_order]]*bhpc_data[[#This Row],[product2_weight]]</f>
        <v>#REF!</v>
      </c>
      <c r="AH7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" s="199">
        <f>SUMIF('ORDER ENTRY FORM'!$A$3:$A$60,bhpc_data[[#This Row],[sku]],'ORDER ENTRY FORM'!$C$3:$C$60)</f>
        <v>0</v>
      </c>
      <c r="AK7" s="199" t="e">
        <f>SUMIF('ORDER ENTRY FORM'!$A$3:$A$60,bhpc_data[[#This Row],[sku]],'ORDER ENTRY FORM'!#REF!)</f>
        <v>#REF!</v>
      </c>
      <c r="AL7" s="199" t="e">
        <f>dgn_data[[#This Row],[order]]+dgn_data[[#This Row],[foc_order]]</f>
        <v>#REF!</v>
      </c>
    </row>
    <row r="8" spans="1:38">
      <c r="A8" s="189" t="s">
        <v>54</v>
      </c>
      <c r="B8" s="189" t="s">
        <v>176</v>
      </c>
      <c r="C8" s="189">
        <v>2</v>
      </c>
      <c r="D8" s="189" t="s">
        <v>335</v>
      </c>
      <c r="E8" s="191">
        <v>6291107161051</v>
      </c>
      <c r="G8" s="189" t="s">
        <v>187</v>
      </c>
      <c r="H8" s="189" t="s">
        <v>343</v>
      </c>
      <c r="I8" s="189">
        <v>12</v>
      </c>
      <c r="J8" s="189">
        <v>42</v>
      </c>
      <c r="K8" s="189">
        <v>6</v>
      </c>
      <c r="L8" s="189">
        <v>7</v>
      </c>
      <c r="N8" s="189">
        <v>370</v>
      </c>
      <c r="O8" s="189">
        <v>330</v>
      </c>
      <c r="P8" s="189">
        <v>230</v>
      </c>
      <c r="Q8" s="189">
        <v>4.78</v>
      </c>
      <c r="R8" s="189">
        <v>5.25</v>
      </c>
      <c r="S8" s="189">
        <v>50</v>
      </c>
      <c r="T8" s="189">
        <v>150</v>
      </c>
      <c r="U8" s="189">
        <v>0</v>
      </c>
      <c r="V8" s="189">
        <v>0.55000000000000004</v>
      </c>
      <c r="W8" s="189">
        <v>0.45</v>
      </c>
      <c r="X8" s="189">
        <v>0</v>
      </c>
      <c r="Y8" s="189">
        <v>0</v>
      </c>
      <c r="Z8" s="190" t="s">
        <v>342</v>
      </c>
      <c r="AB8" s="204">
        <f>ROUNDUP(dgn_data[[#This Row],[order]]/bhpc_data[[#This Row],[units_per_carton]],0)</f>
        <v>0</v>
      </c>
      <c r="AC8" s="204" t="e">
        <f>dgn_data[[#This Row],[foc_order]]/bhpc_data[[#This Row],[units_per_carton]]</f>
        <v>#REF!</v>
      </c>
      <c r="AD8" s="202" t="e">
        <f>(bhpc_data[[#This Row],[net_weight]]/bhpc_data[[#This Row],[units_per_carton]])*dgn_data[[#This Row],[tot_order]]*bhpc_data[[#This Row],[product1_weight]]</f>
        <v>#REF!</v>
      </c>
      <c r="AE8" s="209" t="e">
        <f>(bhpc_data[[#This Row],[net_weight]]/bhpc_data[[#This Row],[units_per_carton]])*dgn_data[[#This Row],[tot_order]]*bhpc_data[[#This Row],[product2_weight]]</f>
        <v>#REF!</v>
      </c>
      <c r="AF8" s="202" t="e">
        <f>(bhpc_data[[#This Row],[gross_weight]]/bhpc_data[[#This Row],[units_per_carton]])*dgn_data[[#This Row],[tot_order]]*bhpc_data[[#This Row],[product1_weight]]</f>
        <v>#REF!</v>
      </c>
      <c r="AG8" s="209" t="e">
        <f>(bhpc_data[[#This Row],[gross_weight]]/bhpc_data[[#This Row],[units_per_carton]])*dgn_data[[#This Row],[tot_order]]*bhpc_data[[#This Row],[product2_weight]]</f>
        <v>#REF!</v>
      </c>
      <c r="AH8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8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8" s="199">
        <f>SUMIF('ORDER ENTRY FORM'!$A$3:$A$60,bhpc_data[[#This Row],[sku]],'ORDER ENTRY FORM'!$C$3:$C$60)</f>
        <v>0</v>
      </c>
      <c r="AK8" s="199" t="e">
        <f>SUMIF('ORDER ENTRY FORM'!$A$3:$A$60,bhpc_data[[#This Row],[sku]],'ORDER ENTRY FORM'!#REF!)</f>
        <v>#REF!</v>
      </c>
      <c r="AL8" s="199" t="e">
        <f>dgn_data[[#This Row],[order]]+dgn_data[[#This Row],[foc_order]]</f>
        <v>#REF!</v>
      </c>
    </row>
    <row r="9" spans="1:38">
      <c r="A9" s="189" t="s">
        <v>55</v>
      </c>
      <c r="B9" s="189" t="s">
        <v>176</v>
      </c>
      <c r="C9" s="189">
        <v>2</v>
      </c>
      <c r="D9" s="189" t="s">
        <v>335</v>
      </c>
      <c r="E9" s="191">
        <v>6291107161068</v>
      </c>
      <c r="G9" s="189" t="s">
        <v>188</v>
      </c>
      <c r="H9" s="189" t="s">
        <v>343</v>
      </c>
      <c r="I9" s="189">
        <v>12</v>
      </c>
      <c r="J9" s="189">
        <v>42</v>
      </c>
      <c r="K9" s="189">
        <v>6</v>
      </c>
      <c r="L9" s="189">
        <v>7</v>
      </c>
      <c r="N9" s="189">
        <v>370</v>
      </c>
      <c r="O9" s="189">
        <v>330</v>
      </c>
      <c r="P9" s="189">
        <v>230</v>
      </c>
      <c r="Q9" s="189">
        <v>4.78</v>
      </c>
      <c r="R9" s="189">
        <v>5.25</v>
      </c>
      <c r="S9" s="189">
        <v>50</v>
      </c>
      <c r="T9" s="189">
        <v>150</v>
      </c>
      <c r="U9" s="189">
        <v>0</v>
      </c>
      <c r="V9" s="189">
        <v>0.55000000000000004</v>
      </c>
      <c r="W9" s="189">
        <v>0.45</v>
      </c>
      <c r="X9" s="189">
        <v>0</v>
      </c>
      <c r="Y9" s="189">
        <v>0</v>
      </c>
      <c r="Z9" s="190" t="s">
        <v>342</v>
      </c>
      <c r="AB9" s="204">
        <f>ROUNDUP(dgn_data[[#This Row],[order]]/bhpc_data[[#This Row],[units_per_carton]],0)</f>
        <v>0</v>
      </c>
      <c r="AC9" s="204" t="e">
        <f>dgn_data[[#This Row],[foc_order]]/bhpc_data[[#This Row],[units_per_carton]]</f>
        <v>#REF!</v>
      </c>
      <c r="AD9" s="202" t="e">
        <f>(bhpc_data[[#This Row],[net_weight]]/bhpc_data[[#This Row],[units_per_carton]])*dgn_data[[#This Row],[tot_order]]*bhpc_data[[#This Row],[product1_weight]]</f>
        <v>#REF!</v>
      </c>
      <c r="AE9" s="209" t="e">
        <f>(bhpc_data[[#This Row],[net_weight]]/bhpc_data[[#This Row],[units_per_carton]])*dgn_data[[#This Row],[tot_order]]*bhpc_data[[#This Row],[product2_weight]]</f>
        <v>#REF!</v>
      </c>
      <c r="AF9" s="202" t="e">
        <f>(bhpc_data[[#This Row],[gross_weight]]/bhpc_data[[#This Row],[units_per_carton]])*dgn_data[[#This Row],[tot_order]]*bhpc_data[[#This Row],[product1_weight]]</f>
        <v>#REF!</v>
      </c>
      <c r="AG9" s="209" t="e">
        <f>(bhpc_data[[#This Row],[gross_weight]]/bhpc_data[[#This Row],[units_per_carton]])*dgn_data[[#This Row],[tot_order]]*bhpc_data[[#This Row],[product2_weight]]</f>
        <v>#REF!</v>
      </c>
      <c r="AH9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9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9" s="199">
        <f>SUMIF('ORDER ENTRY FORM'!$A$3:$A$60,bhpc_data[[#This Row],[sku]],'ORDER ENTRY FORM'!$C$3:$C$60)</f>
        <v>0</v>
      </c>
      <c r="AK9" s="199" t="e">
        <f>SUMIF('ORDER ENTRY FORM'!$A$3:$A$60,bhpc_data[[#This Row],[sku]],'ORDER ENTRY FORM'!#REF!)</f>
        <v>#REF!</v>
      </c>
      <c r="AL9" s="199" t="e">
        <f>dgn_data[[#This Row],[order]]+dgn_data[[#This Row],[foc_order]]</f>
        <v>#REF!</v>
      </c>
    </row>
    <row r="10" spans="1:38">
      <c r="A10" s="189" t="s">
        <v>60</v>
      </c>
      <c r="B10" s="189" t="s">
        <v>176</v>
      </c>
      <c r="C10" s="189">
        <v>3</v>
      </c>
      <c r="D10" s="189" t="s">
        <v>339</v>
      </c>
      <c r="E10" s="191"/>
      <c r="G10" s="189" t="s">
        <v>193</v>
      </c>
      <c r="H10" s="189" t="s">
        <v>343</v>
      </c>
      <c r="I10" s="189">
        <v>12</v>
      </c>
      <c r="J10" s="189">
        <v>48</v>
      </c>
      <c r="K10" s="189">
        <v>8</v>
      </c>
      <c r="L10" s="189">
        <v>6</v>
      </c>
      <c r="N10" s="189">
        <v>445</v>
      </c>
      <c r="O10" s="189">
        <v>365</v>
      </c>
      <c r="P10" s="189">
        <v>240</v>
      </c>
      <c r="Q10" s="189">
        <v>6.17</v>
      </c>
      <c r="R10" s="189">
        <v>6.77</v>
      </c>
      <c r="S10" s="189">
        <v>50</v>
      </c>
      <c r="T10" s="189">
        <v>175</v>
      </c>
      <c r="U10" s="189">
        <v>50</v>
      </c>
      <c r="V10" s="189">
        <v>0.55000000000000004</v>
      </c>
      <c r="W10" s="189">
        <v>0.45</v>
      </c>
      <c r="X10" s="189">
        <v>0</v>
      </c>
      <c r="Y10" s="189">
        <v>0</v>
      </c>
      <c r="Z10" s="190" t="s">
        <v>342</v>
      </c>
      <c r="AB10" s="204">
        <f>ROUNDUP(dgn_data[[#This Row],[order]]/bhpc_data[[#This Row],[units_per_carton]],0)</f>
        <v>0</v>
      </c>
      <c r="AC10" s="204" t="e">
        <f>dgn_data[[#This Row],[foc_order]]/bhpc_data[[#This Row],[units_per_carton]]</f>
        <v>#REF!</v>
      </c>
      <c r="AD10" s="202" t="e">
        <f>(bhpc_data[[#This Row],[net_weight]]/bhpc_data[[#This Row],[units_per_carton]])*dgn_data[[#This Row],[tot_order]]*bhpc_data[[#This Row],[product1_weight]]</f>
        <v>#REF!</v>
      </c>
      <c r="AE10" s="209" t="e">
        <f>(bhpc_data[[#This Row],[net_weight]]/bhpc_data[[#This Row],[units_per_carton]])*dgn_data[[#This Row],[tot_order]]*bhpc_data[[#This Row],[product2_weight]]</f>
        <v>#REF!</v>
      </c>
      <c r="AF10" s="202" t="e">
        <f>(bhpc_data[[#This Row],[gross_weight]]/bhpc_data[[#This Row],[units_per_carton]])*dgn_data[[#This Row],[tot_order]]*bhpc_data[[#This Row],[product1_weight]]</f>
        <v>#REF!</v>
      </c>
      <c r="AG10" s="209" t="e">
        <f>(bhpc_data[[#This Row],[gross_weight]]/bhpc_data[[#This Row],[units_per_carton]])*dgn_data[[#This Row],[tot_order]]*bhpc_data[[#This Row],[product2_weight]]</f>
        <v>#REF!</v>
      </c>
      <c r="AH10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0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0" s="199">
        <f>SUMIF('ORDER ENTRY FORM'!$A$3:$A$60,bhpc_data[[#This Row],[sku]],'ORDER ENTRY FORM'!$C$3:$C$60)</f>
        <v>0</v>
      </c>
      <c r="AK10" s="199" t="e">
        <f>SUMIF('ORDER ENTRY FORM'!$A$3:$A$60,bhpc_data[[#This Row],[sku]],'ORDER ENTRY FORM'!#REF!)</f>
        <v>#REF!</v>
      </c>
      <c r="AL10" s="199" t="e">
        <f>dgn_data[[#This Row],[order]]+dgn_data[[#This Row],[foc_order]]</f>
        <v>#REF!</v>
      </c>
    </row>
    <row r="11" spans="1:38">
      <c r="A11" s="189" t="s">
        <v>61</v>
      </c>
      <c r="B11" s="189" t="s">
        <v>176</v>
      </c>
      <c r="C11" s="189">
        <v>3</v>
      </c>
      <c r="D11" s="189" t="s">
        <v>339</v>
      </c>
      <c r="E11" s="191"/>
      <c r="G11" s="189" t="s">
        <v>194</v>
      </c>
      <c r="H11" s="189" t="s">
        <v>343</v>
      </c>
      <c r="I11" s="189">
        <v>12</v>
      </c>
      <c r="J11" s="189">
        <v>48</v>
      </c>
      <c r="K11" s="189">
        <v>8</v>
      </c>
      <c r="L11" s="189">
        <v>6</v>
      </c>
      <c r="N11" s="189">
        <v>445</v>
      </c>
      <c r="O11" s="189">
        <v>365</v>
      </c>
      <c r="P11" s="189">
        <v>240</v>
      </c>
      <c r="Q11" s="189">
        <v>6.17</v>
      </c>
      <c r="R11" s="189">
        <v>6.77</v>
      </c>
      <c r="S11" s="189">
        <v>50</v>
      </c>
      <c r="T11" s="189">
        <v>175</v>
      </c>
      <c r="U11" s="189">
        <v>50</v>
      </c>
      <c r="V11" s="189">
        <v>0.55000000000000004</v>
      </c>
      <c r="W11" s="189">
        <v>0.45</v>
      </c>
      <c r="X11" s="189">
        <v>0</v>
      </c>
      <c r="Y11" s="189">
        <v>0</v>
      </c>
      <c r="Z11" s="190" t="s">
        <v>342</v>
      </c>
      <c r="AB11" s="204">
        <f>ROUNDUP(dgn_data[[#This Row],[order]]/bhpc_data[[#This Row],[units_per_carton]],0)</f>
        <v>0</v>
      </c>
      <c r="AC11" s="204" t="e">
        <f>dgn_data[[#This Row],[foc_order]]/bhpc_data[[#This Row],[units_per_carton]]</f>
        <v>#REF!</v>
      </c>
      <c r="AD11" s="202" t="e">
        <f>(bhpc_data[[#This Row],[net_weight]]/bhpc_data[[#This Row],[units_per_carton]])*dgn_data[[#This Row],[tot_order]]*bhpc_data[[#This Row],[product1_weight]]</f>
        <v>#REF!</v>
      </c>
      <c r="AE11" s="209" t="e">
        <f>(bhpc_data[[#This Row],[net_weight]]/bhpc_data[[#This Row],[units_per_carton]])*dgn_data[[#This Row],[tot_order]]*bhpc_data[[#This Row],[product2_weight]]</f>
        <v>#REF!</v>
      </c>
      <c r="AF11" s="202" t="e">
        <f>(bhpc_data[[#This Row],[gross_weight]]/bhpc_data[[#This Row],[units_per_carton]])*dgn_data[[#This Row],[tot_order]]*bhpc_data[[#This Row],[product1_weight]]</f>
        <v>#REF!</v>
      </c>
      <c r="AG11" s="209" t="e">
        <f>(bhpc_data[[#This Row],[gross_weight]]/bhpc_data[[#This Row],[units_per_carton]])*dgn_data[[#This Row],[tot_order]]*bhpc_data[[#This Row],[product2_weight]]</f>
        <v>#REF!</v>
      </c>
      <c r="AH11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1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1" s="199">
        <f>SUMIF('ORDER ENTRY FORM'!$A$3:$A$60,bhpc_data[[#This Row],[sku]],'ORDER ENTRY FORM'!$C$3:$C$60)</f>
        <v>0</v>
      </c>
      <c r="AK11" s="199" t="e">
        <f>SUMIF('ORDER ENTRY FORM'!$A$3:$A$60,bhpc_data[[#This Row],[sku]],'ORDER ENTRY FORM'!#REF!)</f>
        <v>#REF!</v>
      </c>
      <c r="AL11" s="199" t="e">
        <f>dgn_data[[#This Row],[order]]+dgn_data[[#This Row],[foc_order]]</f>
        <v>#REF!</v>
      </c>
    </row>
    <row r="12" spans="1:38">
      <c r="A12" s="189" t="s">
        <v>62</v>
      </c>
      <c r="B12" s="189" t="s">
        <v>176</v>
      </c>
      <c r="C12" s="189">
        <v>3</v>
      </c>
      <c r="D12" s="189" t="s">
        <v>339</v>
      </c>
      <c r="E12" s="191"/>
      <c r="G12" s="189" t="s">
        <v>195</v>
      </c>
      <c r="H12" s="189" t="s">
        <v>343</v>
      </c>
      <c r="I12" s="189">
        <v>12</v>
      </c>
      <c r="J12" s="189">
        <v>48</v>
      </c>
      <c r="K12" s="189">
        <v>8</v>
      </c>
      <c r="L12" s="189">
        <v>6</v>
      </c>
      <c r="N12" s="189">
        <v>445</v>
      </c>
      <c r="O12" s="189">
        <v>365</v>
      </c>
      <c r="P12" s="189">
        <v>240</v>
      </c>
      <c r="Q12" s="189">
        <v>6.17</v>
      </c>
      <c r="R12" s="189">
        <v>6.77</v>
      </c>
      <c r="S12" s="189">
        <v>50</v>
      </c>
      <c r="T12" s="189">
        <v>175</v>
      </c>
      <c r="U12" s="189">
        <v>50</v>
      </c>
      <c r="V12" s="189">
        <v>0.55000000000000004</v>
      </c>
      <c r="W12" s="189">
        <v>0.45</v>
      </c>
      <c r="X12" s="189">
        <v>0</v>
      </c>
      <c r="Y12" s="189">
        <v>0</v>
      </c>
      <c r="Z12" s="190" t="s">
        <v>342</v>
      </c>
      <c r="AB12" s="204">
        <f>ROUNDUP(dgn_data[[#This Row],[order]]/bhpc_data[[#This Row],[units_per_carton]],0)</f>
        <v>0</v>
      </c>
      <c r="AC12" s="204" t="e">
        <f>dgn_data[[#This Row],[foc_order]]/bhpc_data[[#This Row],[units_per_carton]]</f>
        <v>#REF!</v>
      </c>
      <c r="AD12" s="202" t="e">
        <f>(bhpc_data[[#This Row],[net_weight]]/bhpc_data[[#This Row],[units_per_carton]])*dgn_data[[#This Row],[tot_order]]*bhpc_data[[#This Row],[product1_weight]]</f>
        <v>#REF!</v>
      </c>
      <c r="AE12" s="209" t="e">
        <f>(bhpc_data[[#This Row],[net_weight]]/bhpc_data[[#This Row],[units_per_carton]])*dgn_data[[#This Row],[tot_order]]*bhpc_data[[#This Row],[product2_weight]]</f>
        <v>#REF!</v>
      </c>
      <c r="AF12" s="202" t="e">
        <f>(bhpc_data[[#This Row],[gross_weight]]/bhpc_data[[#This Row],[units_per_carton]])*dgn_data[[#This Row],[tot_order]]*bhpc_data[[#This Row],[product1_weight]]</f>
        <v>#REF!</v>
      </c>
      <c r="AG12" s="209" t="e">
        <f>(bhpc_data[[#This Row],[gross_weight]]/bhpc_data[[#This Row],[units_per_carton]])*dgn_data[[#This Row],[tot_order]]*bhpc_data[[#This Row],[product2_weight]]</f>
        <v>#REF!</v>
      </c>
      <c r="AH12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2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2" s="199">
        <f>SUMIF('ORDER ENTRY FORM'!$A$3:$A$60,bhpc_data[[#This Row],[sku]],'ORDER ENTRY FORM'!$C$3:$C$60)</f>
        <v>0</v>
      </c>
      <c r="AK12" s="199" t="e">
        <f>SUMIF('ORDER ENTRY FORM'!$A$3:$A$60,bhpc_data[[#This Row],[sku]],'ORDER ENTRY FORM'!#REF!)</f>
        <v>#REF!</v>
      </c>
      <c r="AL12" s="199" t="e">
        <f>dgn_data[[#This Row],[order]]+dgn_data[[#This Row],[foc_order]]</f>
        <v>#REF!</v>
      </c>
    </row>
    <row r="13" spans="1:38">
      <c r="A13" s="189" t="s">
        <v>63</v>
      </c>
      <c r="B13" s="189" t="s">
        <v>176</v>
      </c>
      <c r="C13" s="189">
        <v>3</v>
      </c>
      <c r="D13" s="189" t="s">
        <v>339</v>
      </c>
      <c r="E13" s="191"/>
      <c r="G13" s="189" t="s">
        <v>196</v>
      </c>
      <c r="H13" s="189" t="s">
        <v>343</v>
      </c>
      <c r="I13" s="189">
        <v>12</v>
      </c>
      <c r="J13" s="189">
        <v>48</v>
      </c>
      <c r="K13" s="189">
        <v>8</v>
      </c>
      <c r="L13" s="189">
        <v>6</v>
      </c>
      <c r="N13" s="189">
        <v>445</v>
      </c>
      <c r="O13" s="189">
        <v>365</v>
      </c>
      <c r="P13" s="189">
        <v>240</v>
      </c>
      <c r="Q13" s="189">
        <v>6.17</v>
      </c>
      <c r="R13" s="189">
        <v>6.77</v>
      </c>
      <c r="S13" s="189">
        <v>50</v>
      </c>
      <c r="T13" s="189">
        <v>175</v>
      </c>
      <c r="U13" s="189">
        <v>50</v>
      </c>
      <c r="V13" s="189">
        <v>0.55000000000000004</v>
      </c>
      <c r="W13" s="189">
        <v>0.45</v>
      </c>
      <c r="X13" s="189">
        <v>0</v>
      </c>
      <c r="Y13" s="189">
        <v>0</v>
      </c>
      <c r="Z13" s="190" t="s">
        <v>342</v>
      </c>
      <c r="AB13" s="204">
        <f>ROUNDUP(dgn_data[[#This Row],[order]]/bhpc_data[[#This Row],[units_per_carton]],0)</f>
        <v>0</v>
      </c>
      <c r="AC13" s="204" t="e">
        <f>dgn_data[[#This Row],[foc_order]]/bhpc_data[[#This Row],[units_per_carton]]</f>
        <v>#REF!</v>
      </c>
      <c r="AD13" s="202" t="e">
        <f>(bhpc_data[[#This Row],[net_weight]]/bhpc_data[[#This Row],[units_per_carton]])*dgn_data[[#This Row],[tot_order]]*bhpc_data[[#This Row],[product1_weight]]</f>
        <v>#REF!</v>
      </c>
      <c r="AE13" s="209" t="e">
        <f>(bhpc_data[[#This Row],[net_weight]]/bhpc_data[[#This Row],[units_per_carton]])*dgn_data[[#This Row],[tot_order]]*bhpc_data[[#This Row],[product2_weight]]</f>
        <v>#REF!</v>
      </c>
      <c r="AF13" s="202" t="e">
        <f>(bhpc_data[[#This Row],[gross_weight]]/bhpc_data[[#This Row],[units_per_carton]])*dgn_data[[#This Row],[tot_order]]*bhpc_data[[#This Row],[product1_weight]]</f>
        <v>#REF!</v>
      </c>
      <c r="AG13" s="209" t="e">
        <f>(bhpc_data[[#This Row],[gross_weight]]/bhpc_data[[#This Row],[units_per_carton]])*dgn_data[[#This Row],[tot_order]]*bhpc_data[[#This Row],[product2_weight]]</f>
        <v>#REF!</v>
      </c>
      <c r="AH13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3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3" s="199">
        <f>SUMIF('ORDER ENTRY FORM'!$A$3:$A$60,bhpc_data[[#This Row],[sku]],'ORDER ENTRY FORM'!$C$3:$C$60)</f>
        <v>0</v>
      </c>
      <c r="AK13" s="199" t="e">
        <f>SUMIF('ORDER ENTRY FORM'!$A$3:$A$60,bhpc_data[[#This Row],[sku]],'ORDER ENTRY FORM'!#REF!)</f>
        <v>#REF!</v>
      </c>
      <c r="AL13" s="199" t="e">
        <f>dgn_data[[#This Row],[order]]+dgn_data[[#This Row],[foc_order]]</f>
        <v>#REF!</v>
      </c>
    </row>
    <row r="14" spans="1:38">
      <c r="A14" s="189" t="s">
        <v>64</v>
      </c>
      <c r="B14" s="189" t="s">
        <v>176</v>
      </c>
      <c r="C14" s="189">
        <v>3</v>
      </c>
      <c r="D14" s="189" t="s">
        <v>335</v>
      </c>
      <c r="E14" s="191"/>
      <c r="G14" s="189" t="s">
        <v>197</v>
      </c>
      <c r="H14" s="189" t="s">
        <v>343</v>
      </c>
      <c r="I14" s="189">
        <v>12</v>
      </c>
      <c r="J14" s="189">
        <v>48</v>
      </c>
      <c r="K14" s="189">
        <v>8</v>
      </c>
      <c r="L14" s="189">
        <v>6</v>
      </c>
      <c r="N14" s="189">
        <v>445</v>
      </c>
      <c r="O14" s="189">
        <v>365</v>
      </c>
      <c r="P14" s="189">
        <v>240</v>
      </c>
      <c r="Q14" s="189">
        <v>5.7</v>
      </c>
      <c r="R14" s="189">
        <v>6.3</v>
      </c>
      <c r="S14" s="189">
        <v>50</v>
      </c>
      <c r="T14" s="189">
        <v>150</v>
      </c>
      <c r="U14" s="189">
        <v>50</v>
      </c>
      <c r="V14" s="189">
        <v>0.55000000000000004</v>
      </c>
      <c r="W14" s="189">
        <v>0.45</v>
      </c>
      <c r="X14" s="189">
        <v>0</v>
      </c>
      <c r="Y14" s="189">
        <v>0</v>
      </c>
      <c r="Z14" s="190" t="s">
        <v>342</v>
      </c>
      <c r="AB14" s="204">
        <f>ROUNDUP(dgn_data[[#This Row],[order]]/bhpc_data[[#This Row],[units_per_carton]],0)</f>
        <v>0</v>
      </c>
      <c r="AC14" s="204" t="e">
        <f>dgn_data[[#This Row],[foc_order]]/bhpc_data[[#This Row],[units_per_carton]]</f>
        <v>#REF!</v>
      </c>
      <c r="AD14" s="202" t="e">
        <f>(bhpc_data[[#This Row],[net_weight]]/bhpc_data[[#This Row],[units_per_carton]])*dgn_data[[#This Row],[tot_order]]*bhpc_data[[#This Row],[product1_weight]]</f>
        <v>#REF!</v>
      </c>
      <c r="AE14" s="209" t="e">
        <f>(bhpc_data[[#This Row],[net_weight]]/bhpc_data[[#This Row],[units_per_carton]])*dgn_data[[#This Row],[tot_order]]*bhpc_data[[#This Row],[product2_weight]]</f>
        <v>#REF!</v>
      </c>
      <c r="AF14" s="202" t="e">
        <f>(bhpc_data[[#This Row],[gross_weight]]/bhpc_data[[#This Row],[units_per_carton]])*dgn_data[[#This Row],[tot_order]]*bhpc_data[[#This Row],[product1_weight]]</f>
        <v>#REF!</v>
      </c>
      <c r="AG14" s="209" t="e">
        <f>(bhpc_data[[#This Row],[gross_weight]]/bhpc_data[[#This Row],[units_per_carton]])*dgn_data[[#This Row],[tot_order]]*bhpc_data[[#This Row],[product2_weight]]</f>
        <v>#REF!</v>
      </c>
      <c r="AH14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4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4" s="199">
        <f>SUMIF('ORDER ENTRY FORM'!$A$3:$A$60,bhpc_data[[#This Row],[sku]],'ORDER ENTRY FORM'!$C$3:$C$60)</f>
        <v>0</v>
      </c>
      <c r="AK14" s="199" t="e">
        <f>SUMIF('ORDER ENTRY FORM'!$A$3:$A$60,bhpc_data[[#This Row],[sku]],'ORDER ENTRY FORM'!#REF!)</f>
        <v>#REF!</v>
      </c>
      <c r="AL14" s="199" t="e">
        <f>dgn_data[[#This Row],[order]]+dgn_data[[#This Row],[foc_order]]</f>
        <v>#REF!</v>
      </c>
    </row>
    <row r="15" spans="1:38">
      <c r="A15" s="189" t="s">
        <v>65</v>
      </c>
      <c r="B15" s="189" t="s">
        <v>176</v>
      </c>
      <c r="C15" s="189">
        <v>3</v>
      </c>
      <c r="D15" s="189" t="s">
        <v>335</v>
      </c>
      <c r="E15" s="191"/>
      <c r="G15" s="189" t="s">
        <v>198</v>
      </c>
      <c r="H15" s="189" t="s">
        <v>343</v>
      </c>
      <c r="I15" s="189">
        <v>12</v>
      </c>
      <c r="J15" s="189">
        <v>48</v>
      </c>
      <c r="K15" s="189">
        <v>8</v>
      </c>
      <c r="L15" s="189">
        <v>6</v>
      </c>
      <c r="N15" s="189">
        <v>445</v>
      </c>
      <c r="O15" s="189">
        <v>365</v>
      </c>
      <c r="P15" s="189">
        <v>240</v>
      </c>
      <c r="Q15" s="189">
        <v>5.7</v>
      </c>
      <c r="R15" s="189">
        <v>6.3</v>
      </c>
      <c r="S15" s="189">
        <v>50</v>
      </c>
      <c r="T15" s="189">
        <v>150</v>
      </c>
      <c r="U15" s="189">
        <v>50</v>
      </c>
      <c r="V15" s="189">
        <v>0.55000000000000004</v>
      </c>
      <c r="W15" s="189">
        <v>0.45</v>
      </c>
      <c r="X15" s="189">
        <v>0</v>
      </c>
      <c r="Y15" s="189">
        <v>0</v>
      </c>
      <c r="Z15" s="190" t="s">
        <v>342</v>
      </c>
      <c r="AB15" s="204">
        <f>ROUNDUP(dgn_data[[#This Row],[order]]/bhpc_data[[#This Row],[units_per_carton]],0)</f>
        <v>0</v>
      </c>
      <c r="AC15" s="204" t="e">
        <f>dgn_data[[#This Row],[foc_order]]/bhpc_data[[#This Row],[units_per_carton]]</f>
        <v>#REF!</v>
      </c>
      <c r="AD15" s="202" t="e">
        <f>(bhpc_data[[#This Row],[net_weight]]/bhpc_data[[#This Row],[units_per_carton]])*dgn_data[[#This Row],[tot_order]]*bhpc_data[[#This Row],[product1_weight]]</f>
        <v>#REF!</v>
      </c>
      <c r="AE15" s="209" t="e">
        <f>(bhpc_data[[#This Row],[net_weight]]/bhpc_data[[#This Row],[units_per_carton]])*dgn_data[[#This Row],[tot_order]]*bhpc_data[[#This Row],[product2_weight]]</f>
        <v>#REF!</v>
      </c>
      <c r="AF15" s="202" t="e">
        <f>(bhpc_data[[#This Row],[gross_weight]]/bhpc_data[[#This Row],[units_per_carton]])*dgn_data[[#This Row],[tot_order]]*bhpc_data[[#This Row],[product1_weight]]</f>
        <v>#REF!</v>
      </c>
      <c r="AG15" s="209" t="e">
        <f>(bhpc_data[[#This Row],[gross_weight]]/bhpc_data[[#This Row],[units_per_carton]])*dgn_data[[#This Row],[tot_order]]*bhpc_data[[#This Row],[product2_weight]]</f>
        <v>#REF!</v>
      </c>
      <c r="AH15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5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5" s="199">
        <f>SUMIF('ORDER ENTRY FORM'!$A$3:$A$60,bhpc_data[[#This Row],[sku]],'ORDER ENTRY FORM'!$C$3:$C$60)</f>
        <v>0</v>
      </c>
      <c r="AK15" s="199" t="e">
        <f>SUMIF('ORDER ENTRY FORM'!$A$3:$A$60,bhpc_data[[#This Row],[sku]],'ORDER ENTRY FORM'!#REF!)</f>
        <v>#REF!</v>
      </c>
      <c r="AL15" s="199" t="e">
        <f>dgn_data[[#This Row],[order]]+dgn_data[[#This Row],[foc_order]]</f>
        <v>#REF!</v>
      </c>
    </row>
    <row r="16" spans="1:38">
      <c r="A16" s="189" t="s">
        <v>66</v>
      </c>
      <c r="B16" s="189" t="s">
        <v>176</v>
      </c>
      <c r="C16" s="189">
        <v>3</v>
      </c>
      <c r="D16" s="189" t="s">
        <v>335</v>
      </c>
      <c r="E16" s="191"/>
      <c r="G16" s="189" t="s">
        <v>199</v>
      </c>
      <c r="H16" s="189" t="s">
        <v>343</v>
      </c>
      <c r="I16" s="189">
        <v>12</v>
      </c>
      <c r="J16" s="189">
        <v>48</v>
      </c>
      <c r="K16" s="189">
        <v>8</v>
      </c>
      <c r="L16" s="189">
        <v>6</v>
      </c>
      <c r="N16" s="189">
        <v>445</v>
      </c>
      <c r="O16" s="189">
        <v>365</v>
      </c>
      <c r="P16" s="189">
        <v>240</v>
      </c>
      <c r="Q16" s="189">
        <v>5.7</v>
      </c>
      <c r="R16" s="189">
        <v>6.3</v>
      </c>
      <c r="S16" s="189">
        <v>50</v>
      </c>
      <c r="T16" s="189">
        <v>150</v>
      </c>
      <c r="U16" s="189">
        <v>50</v>
      </c>
      <c r="V16" s="189">
        <v>0.55000000000000004</v>
      </c>
      <c r="W16" s="189">
        <v>0.45</v>
      </c>
      <c r="X16" s="189">
        <v>0</v>
      </c>
      <c r="Y16" s="189">
        <v>0</v>
      </c>
      <c r="Z16" s="190" t="s">
        <v>342</v>
      </c>
      <c r="AB16" s="204">
        <f>ROUNDUP(dgn_data[[#This Row],[order]]/bhpc_data[[#This Row],[units_per_carton]],0)</f>
        <v>0</v>
      </c>
      <c r="AC16" s="204" t="e">
        <f>dgn_data[[#This Row],[foc_order]]/bhpc_data[[#This Row],[units_per_carton]]</f>
        <v>#REF!</v>
      </c>
      <c r="AD16" s="202" t="e">
        <f>(bhpc_data[[#This Row],[net_weight]]/bhpc_data[[#This Row],[units_per_carton]])*dgn_data[[#This Row],[tot_order]]*bhpc_data[[#This Row],[product1_weight]]</f>
        <v>#REF!</v>
      </c>
      <c r="AE16" s="209" t="e">
        <f>(bhpc_data[[#This Row],[net_weight]]/bhpc_data[[#This Row],[units_per_carton]])*dgn_data[[#This Row],[tot_order]]*bhpc_data[[#This Row],[product2_weight]]</f>
        <v>#REF!</v>
      </c>
      <c r="AF16" s="202" t="e">
        <f>(bhpc_data[[#This Row],[gross_weight]]/bhpc_data[[#This Row],[units_per_carton]])*dgn_data[[#This Row],[tot_order]]*bhpc_data[[#This Row],[product1_weight]]</f>
        <v>#REF!</v>
      </c>
      <c r="AG16" s="209" t="e">
        <f>(bhpc_data[[#This Row],[gross_weight]]/bhpc_data[[#This Row],[units_per_carton]])*dgn_data[[#This Row],[tot_order]]*bhpc_data[[#This Row],[product2_weight]]</f>
        <v>#REF!</v>
      </c>
      <c r="AH16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6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6" s="199">
        <f>SUMIF('ORDER ENTRY FORM'!$A$3:$A$60,bhpc_data[[#This Row],[sku]],'ORDER ENTRY FORM'!$C$3:$C$60)</f>
        <v>0</v>
      </c>
      <c r="AK16" s="199" t="e">
        <f>SUMIF('ORDER ENTRY FORM'!$A$3:$A$60,bhpc_data[[#This Row],[sku]],'ORDER ENTRY FORM'!#REF!)</f>
        <v>#REF!</v>
      </c>
      <c r="AL16" s="199" t="e">
        <f>dgn_data[[#This Row],[order]]+dgn_data[[#This Row],[foc_order]]</f>
        <v>#REF!</v>
      </c>
    </row>
    <row r="17" spans="1:38">
      <c r="A17" s="189" t="s">
        <v>67</v>
      </c>
      <c r="B17" s="189" t="s">
        <v>176</v>
      </c>
      <c r="C17" s="189">
        <v>3</v>
      </c>
      <c r="D17" s="189" t="s">
        <v>335</v>
      </c>
      <c r="E17" s="191"/>
      <c r="G17" s="189" t="s">
        <v>200</v>
      </c>
      <c r="H17" s="189" t="s">
        <v>343</v>
      </c>
      <c r="I17" s="189">
        <v>12</v>
      </c>
      <c r="J17" s="189">
        <v>48</v>
      </c>
      <c r="K17" s="189">
        <v>8</v>
      </c>
      <c r="L17" s="189">
        <v>6</v>
      </c>
      <c r="N17" s="189">
        <v>445</v>
      </c>
      <c r="O17" s="189">
        <v>365</v>
      </c>
      <c r="P17" s="189">
        <v>240</v>
      </c>
      <c r="Q17" s="189">
        <v>5.7</v>
      </c>
      <c r="R17" s="189">
        <v>6.3</v>
      </c>
      <c r="S17" s="189">
        <v>50</v>
      </c>
      <c r="T17" s="189">
        <v>150</v>
      </c>
      <c r="U17" s="189">
        <v>50</v>
      </c>
      <c r="V17" s="189">
        <v>0.55000000000000004</v>
      </c>
      <c r="W17" s="189">
        <v>0.45</v>
      </c>
      <c r="X17" s="189">
        <v>0</v>
      </c>
      <c r="Y17" s="189">
        <v>0</v>
      </c>
      <c r="Z17" s="190" t="s">
        <v>342</v>
      </c>
      <c r="AB17" s="204">
        <f>ROUNDUP(dgn_data[[#This Row],[order]]/bhpc_data[[#This Row],[units_per_carton]],0)</f>
        <v>0</v>
      </c>
      <c r="AC17" s="204" t="e">
        <f>dgn_data[[#This Row],[foc_order]]/bhpc_data[[#This Row],[units_per_carton]]</f>
        <v>#REF!</v>
      </c>
      <c r="AD17" s="202" t="e">
        <f>(bhpc_data[[#This Row],[net_weight]]/bhpc_data[[#This Row],[units_per_carton]])*dgn_data[[#This Row],[tot_order]]*bhpc_data[[#This Row],[product1_weight]]</f>
        <v>#REF!</v>
      </c>
      <c r="AE17" s="209" t="e">
        <f>(bhpc_data[[#This Row],[net_weight]]/bhpc_data[[#This Row],[units_per_carton]])*dgn_data[[#This Row],[tot_order]]*bhpc_data[[#This Row],[product2_weight]]</f>
        <v>#REF!</v>
      </c>
      <c r="AF17" s="202" t="e">
        <f>(bhpc_data[[#This Row],[gross_weight]]/bhpc_data[[#This Row],[units_per_carton]])*dgn_data[[#This Row],[tot_order]]*bhpc_data[[#This Row],[product1_weight]]</f>
        <v>#REF!</v>
      </c>
      <c r="AG17" s="209" t="e">
        <f>(bhpc_data[[#This Row],[gross_weight]]/bhpc_data[[#This Row],[units_per_carton]])*dgn_data[[#This Row],[tot_order]]*bhpc_data[[#This Row],[product2_weight]]</f>
        <v>#REF!</v>
      </c>
      <c r="AH17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7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7" s="199">
        <f>SUMIF('ORDER ENTRY FORM'!$A$3:$A$60,bhpc_data[[#This Row],[sku]],'ORDER ENTRY FORM'!$C$3:$C$60)</f>
        <v>0</v>
      </c>
      <c r="AK17" s="199" t="e">
        <f>SUMIF('ORDER ENTRY FORM'!$A$3:$A$60,bhpc_data[[#This Row],[sku]],'ORDER ENTRY FORM'!#REF!)</f>
        <v>#REF!</v>
      </c>
      <c r="AL17" s="199" t="e">
        <f>dgn_data[[#This Row],[order]]+dgn_data[[#This Row],[foc_order]]</f>
        <v>#REF!</v>
      </c>
    </row>
    <row r="18" spans="1:38">
      <c r="A18" s="189" t="s">
        <v>8</v>
      </c>
      <c r="B18" s="189" t="s">
        <v>135</v>
      </c>
      <c r="C18" s="189">
        <v>1</v>
      </c>
      <c r="D18" s="189" t="s">
        <v>339</v>
      </c>
      <c r="E18" s="191">
        <v>8718719850084</v>
      </c>
      <c r="F18" s="190" t="s">
        <v>345</v>
      </c>
      <c r="G18" s="189" t="s">
        <v>9</v>
      </c>
      <c r="H18" s="189" t="s">
        <v>337</v>
      </c>
      <c r="I18" s="189">
        <v>24</v>
      </c>
      <c r="J18" s="189">
        <v>72</v>
      </c>
      <c r="K18" s="189">
        <v>9</v>
      </c>
      <c r="L18" s="189">
        <v>8</v>
      </c>
      <c r="N18" s="189">
        <v>385</v>
      </c>
      <c r="O18" s="189">
        <v>250</v>
      </c>
      <c r="P18" s="189">
        <v>150</v>
      </c>
      <c r="Q18" s="189">
        <v>4.8</v>
      </c>
      <c r="R18" s="189">
        <v>5.2</v>
      </c>
      <c r="S18" s="189">
        <v>50</v>
      </c>
      <c r="T18" s="189">
        <v>0</v>
      </c>
      <c r="U18" s="189">
        <v>0</v>
      </c>
      <c r="V18" s="189">
        <v>1</v>
      </c>
      <c r="W18" s="189">
        <v>0</v>
      </c>
      <c r="X18" s="189">
        <v>0</v>
      </c>
      <c r="Y18" s="189">
        <v>0</v>
      </c>
      <c r="Z18" s="190" t="s">
        <v>342</v>
      </c>
      <c r="AB18" s="204">
        <f>ROUNDUP(dgn_data[[#This Row],[order]]/bhpc_data[[#This Row],[units_per_carton]],0)</f>
        <v>0</v>
      </c>
      <c r="AC18" s="204" t="e">
        <f>dgn_data[[#This Row],[foc_order]]/bhpc_data[[#This Row],[units_per_carton]]</f>
        <v>#REF!</v>
      </c>
      <c r="AD18" s="202" t="e">
        <f>(bhpc_data[[#This Row],[net_weight]]/bhpc_data[[#This Row],[units_per_carton]])*dgn_data[[#This Row],[tot_order]]*bhpc_data[[#This Row],[product1_weight]]</f>
        <v>#REF!</v>
      </c>
      <c r="AE18" s="209" t="e">
        <f>(bhpc_data[[#This Row],[net_weight]]/bhpc_data[[#This Row],[units_per_carton]])*dgn_data[[#This Row],[tot_order]]*bhpc_data[[#This Row],[product2_weight]]</f>
        <v>#REF!</v>
      </c>
      <c r="AF18" s="202" t="e">
        <f>(bhpc_data[[#This Row],[gross_weight]]/bhpc_data[[#This Row],[units_per_carton]])*dgn_data[[#This Row],[tot_order]]*bhpc_data[[#This Row],[product1_weight]]</f>
        <v>#REF!</v>
      </c>
      <c r="AG18" s="209" t="e">
        <f>(bhpc_data[[#This Row],[gross_weight]]/bhpc_data[[#This Row],[units_per_carton]])*dgn_data[[#This Row],[tot_order]]*bhpc_data[[#This Row],[product2_weight]]</f>
        <v>#REF!</v>
      </c>
      <c r="AH18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8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8" s="199">
        <f>SUMIF('ORDER ENTRY FORM'!$A$3:$A$60,bhpc_data[[#This Row],[sku]],'ORDER ENTRY FORM'!$C$3:$C$60)</f>
        <v>0</v>
      </c>
      <c r="AK18" s="199" t="e">
        <f>SUMIF('ORDER ENTRY FORM'!$A$3:$A$60,bhpc_data[[#This Row],[sku]],'ORDER ENTRY FORM'!#REF!)</f>
        <v>#REF!</v>
      </c>
      <c r="AL18" s="199" t="e">
        <f>dgn_data[[#This Row],[order]]+dgn_data[[#This Row],[foc_order]]</f>
        <v>#REF!</v>
      </c>
    </row>
    <row r="19" spans="1:38">
      <c r="A19" s="189" t="s">
        <v>10</v>
      </c>
      <c r="B19" s="189" t="s">
        <v>135</v>
      </c>
      <c r="C19" s="189">
        <v>1</v>
      </c>
      <c r="D19" s="189" t="s">
        <v>339</v>
      </c>
      <c r="E19" s="191">
        <v>8718719850091</v>
      </c>
      <c r="F19" s="190" t="s">
        <v>345</v>
      </c>
      <c r="G19" s="189" t="s">
        <v>11</v>
      </c>
      <c r="H19" s="189" t="s">
        <v>337</v>
      </c>
      <c r="I19" s="189">
        <v>24</v>
      </c>
      <c r="J19" s="189">
        <v>72</v>
      </c>
      <c r="K19" s="189">
        <v>9</v>
      </c>
      <c r="L19" s="189">
        <v>8</v>
      </c>
      <c r="N19" s="189">
        <v>385</v>
      </c>
      <c r="O19" s="189">
        <v>250</v>
      </c>
      <c r="P19" s="189">
        <v>150</v>
      </c>
      <c r="Q19" s="189">
        <v>4.8</v>
      </c>
      <c r="R19" s="189">
        <v>5.2</v>
      </c>
      <c r="S19" s="189">
        <v>50</v>
      </c>
      <c r="T19" s="189">
        <v>0</v>
      </c>
      <c r="U19" s="189">
        <v>0</v>
      </c>
      <c r="V19" s="189">
        <v>1</v>
      </c>
      <c r="W19" s="189">
        <v>0</v>
      </c>
      <c r="X19" s="189">
        <v>0</v>
      </c>
      <c r="Y19" s="189">
        <v>0</v>
      </c>
      <c r="Z19" s="190" t="s">
        <v>342</v>
      </c>
      <c r="AB19" s="204">
        <f>ROUNDUP(dgn_data[[#This Row],[order]]/bhpc_data[[#This Row],[units_per_carton]],0)</f>
        <v>0</v>
      </c>
      <c r="AC19" s="204" t="e">
        <f>dgn_data[[#This Row],[foc_order]]/bhpc_data[[#This Row],[units_per_carton]]</f>
        <v>#REF!</v>
      </c>
      <c r="AD19" s="202" t="e">
        <f>(bhpc_data[[#This Row],[net_weight]]/bhpc_data[[#This Row],[units_per_carton]])*dgn_data[[#This Row],[tot_order]]*bhpc_data[[#This Row],[product1_weight]]</f>
        <v>#REF!</v>
      </c>
      <c r="AE19" s="209" t="e">
        <f>(bhpc_data[[#This Row],[net_weight]]/bhpc_data[[#This Row],[units_per_carton]])*dgn_data[[#This Row],[tot_order]]*bhpc_data[[#This Row],[product2_weight]]</f>
        <v>#REF!</v>
      </c>
      <c r="AF19" s="202" t="e">
        <f>(bhpc_data[[#This Row],[gross_weight]]/bhpc_data[[#This Row],[units_per_carton]])*dgn_data[[#This Row],[tot_order]]*bhpc_data[[#This Row],[product1_weight]]</f>
        <v>#REF!</v>
      </c>
      <c r="AG19" s="209" t="e">
        <f>(bhpc_data[[#This Row],[gross_weight]]/bhpc_data[[#This Row],[units_per_carton]])*dgn_data[[#This Row],[tot_order]]*bhpc_data[[#This Row],[product2_weight]]</f>
        <v>#REF!</v>
      </c>
      <c r="AH19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19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19" s="199">
        <f>SUMIF('ORDER ENTRY FORM'!$A$3:$A$60,bhpc_data[[#This Row],[sku]],'ORDER ENTRY FORM'!$C$3:$C$60)</f>
        <v>0</v>
      </c>
      <c r="AK19" s="199" t="e">
        <f>SUMIF('ORDER ENTRY FORM'!$A$3:$A$60,bhpc_data[[#This Row],[sku]],'ORDER ENTRY FORM'!#REF!)</f>
        <v>#REF!</v>
      </c>
      <c r="AL19" s="199" t="e">
        <f>dgn_data[[#This Row],[order]]+dgn_data[[#This Row],[foc_order]]</f>
        <v>#REF!</v>
      </c>
    </row>
    <row r="20" spans="1:38">
      <c r="A20" s="189" t="s">
        <v>12</v>
      </c>
      <c r="B20" s="189" t="s">
        <v>135</v>
      </c>
      <c r="C20" s="189">
        <v>1</v>
      </c>
      <c r="D20" s="189" t="s">
        <v>339</v>
      </c>
      <c r="E20" s="191">
        <v>8718719850107</v>
      </c>
      <c r="F20" s="190" t="s">
        <v>345</v>
      </c>
      <c r="G20" s="189" t="s">
        <v>13</v>
      </c>
      <c r="H20" s="189" t="s">
        <v>337</v>
      </c>
      <c r="I20" s="189">
        <v>24</v>
      </c>
      <c r="J20" s="189">
        <v>72</v>
      </c>
      <c r="K20" s="189">
        <v>9</v>
      </c>
      <c r="L20" s="189">
        <v>8</v>
      </c>
      <c r="N20" s="189">
        <v>385</v>
      </c>
      <c r="O20" s="189">
        <v>250</v>
      </c>
      <c r="P20" s="189">
        <v>150</v>
      </c>
      <c r="Q20" s="189">
        <v>4.8</v>
      </c>
      <c r="R20" s="189">
        <v>5.2</v>
      </c>
      <c r="S20" s="189">
        <v>50</v>
      </c>
      <c r="T20" s="189">
        <v>0</v>
      </c>
      <c r="U20" s="189">
        <v>0</v>
      </c>
      <c r="V20" s="189">
        <v>1</v>
      </c>
      <c r="W20" s="189">
        <v>0</v>
      </c>
      <c r="X20" s="189">
        <v>0</v>
      </c>
      <c r="Y20" s="189">
        <v>0</v>
      </c>
      <c r="Z20" s="190" t="s">
        <v>342</v>
      </c>
      <c r="AB20" s="204">
        <f>ROUNDUP(dgn_data[[#This Row],[order]]/bhpc_data[[#This Row],[units_per_carton]],0)</f>
        <v>0</v>
      </c>
      <c r="AC20" s="204" t="e">
        <f>dgn_data[[#This Row],[foc_order]]/bhpc_data[[#This Row],[units_per_carton]]</f>
        <v>#REF!</v>
      </c>
      <c r="AD20" s="202" t="e">
        <f>(bhpc_data[[#This Row],[net_weight]]/bhpc_data[[#This Row],[units_per_carton]])*dgn_data[[#This Row],[tot_order]]*bhpc_data[[#This Row],[product1_weight]]</f>
        <v>#REF!</v>
      </c>
      <c r="AE20" s="209" t="e">
        <f>(bhpc_data[[#This Row],[net_weight]]/bhpc_data[[#This Row],[units_per_carton]])*dgn_data[[#This Row],[tot_order]]*bhpc_data[[#This Row],[product2_weight]]</f>
        <v>#REF!</v>
      </c>
      <c r="AF20" s="202" t="e">
        <f>(bhpc_data[[#This Row],[gross_weight]]/bhpc_data[[#This Row],[units_per_carton]])*dgn_data[[#This Row],[tot_order]]*bhpc_data[[#This Row],[product1_weight]]</f>
        <v>#REF!</v>
      </c>
      <c r="AG20" s="209" t="e">
        <f>(bhpc_data[[#This Row],[gross_weight]]/bhpc_data[[#This Row],[units_per_carton]])*dgn_data[[#This Row],[tot_order]]*bhpc_data[[#This Row],[product2_weight]]</f>
        <v>#REF!</v>
      </c>
      <c r="AH20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0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0" s="199">
        <f>SUMIF('ORDER ENTRY FORM'!$A$3:$A$60,bhpc_data[[#This Row],[sku]],'ORDER ENTRY FORM'!$C$3:$C$60)</f>
        <v>0</v>
      </c>
      <c r="AK20" s="199" t="e">
        <f>SUMIF('ORDER ENTRY FORM'!$A$3:$A$60,bhpc_data[[#This Row],[sku]],'ORDER ENTRY FORM'!#REF!)</f>
        <v>#REF!</v>
      </c>
      <c r="AL20" s="199" t="e">
        <f>dgn_data[[#This Row],[order]]+dgn_data[[#This Row],[foc_order]]</f>
        <v>#REF!</v>
      </c>
    </row>
    <row r="21" spans="1:38">
      <c r="A21" s="189" t="s">
        <v>14</v>
      </c>
      <c r="B21" s="189" t="s">
        <v>135</v>
      </c>
      <c r="C21" s="189">
        <v>1</v>
      </c>
      <c r="D21" s="189" t="s">
        <v>339</v>
      </c>
      <c r="E21" s="191">
        <v>8718719850114</v>
      </c>
      <c r="F21" s="190" t="s">
        <v>345</v>
      </c>
      <c r="G21" s="189" t="s">
        <v>15</v>
      </c>
      <c r="H21" s="189" t="s">
        <v>337</v>
      </c>
      <c r="I21" s="189">
        <v>24</v>
      </c>
      <c r="J21" s="189">
        <v>72</v>
      </c>
      <c r="K21" s="189">
        <v>9</v>
      </c>
      <c r="L21" s="189">
        <v>8</v>
      </c>
      <c r="N21" s="189">
        <v>385</v>
      </c>
      <c r="O21" s="189">
        <v>250</v>
      </c>
      <c r="P21" s="189">
        <v>150</v>
      </c>
      <c r="Q21" s="189">
        <v>4.8</v>
      </c>
      <c r="R21" s="189">
        <v>5.2</v>
      </c>
      <c r="S21" s="189">
        <v>50</v>
      </c>
      <c r="T21" s="189">
        <v>0</v>
      </c>
      <c r="U21" s="189">
        <v>0</v>
      </c>
      <c r="V21" s="189">
        <v>1</v>
      </c>
      <c r="W21" s="189">
        <v>0</v>
      </c>
      <c r="X21" s="189">
        <v>0</v>
      </c>
      <c r="Y21" s="189">
        <v>0</v>
      </c>
      <c r="Z21" s="190" t="s">
        <v>342</v>
      </c>
      <c r="AB21" s="204">
        <f>ROUNDUP(dgn_data[[#This Row],[order]]/bhpc_data[[#This Row],[units_per_carton]],0)</f>
        <v>0</v>
      </c>
      <c r="AC21" s="204" t="e">
        <f>dgn_data[[#This Row],[foc_order]]/bhpc_data[[#This Row],[units_per_carton]]</f>
        <v>#REF!</v>
      </c>
      <c r="AD21" s="202" t="e">
        <f>(bhpc_data[[#This Row],[net_weight]]/bhpc_data[[#This Row],[units_per_carton]])*dgn_data[[#This Row],[tot_order]]*bhpc_data[[#This Row],[product1_weight]]</f>
        <v>#REF!</v>
      </c>
      <c r="AE21" s="209" t="e">
        <f>(bhpc_data[[#This Row],[net_weight]]/bhpc_data[[#This Row],[units_per_carton]])*dgn_data[[#This Row],[tot_order]]*bhpc_data[[#This Row],[product2_weight]]</f>
        <v>#REF!</v>
      </c>
      <c r="AF21" s="202" t="e">
        <f>(bhpc_data[[#This Row],[gross_weight]]/bhpc_data[[#This Row],[units_per_carton]])*dgn_data[[#This Row],[tot_order]]*bhpc_data[[#This Row],[product1_weight]]</f>
        <v>#REF!</v>
      </c>
      <c r="AG21" s="209" t="e">
        <f>(bhpc_data[[#This Row],[gross_weight]]/bhpc_data[[#This Row],[units_per_carton]])*dgn_data[[#This Row],[tot_order]]*bhpc_data[[#This Row],[product2_weight]]</f>
        <v>#REF!</v>
      </c>
      <c r="AH21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1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1" s="199">
        <f>SUMIF('ORDER ENTRY FORM'!$A$3:$A$60,bhpc_data[[#This Row],[sku]],'ORDER ENTRY FORM'!$C$3:$C$60)</f>
        <v>0</v>
      </c>
      <c r="AK21" s="199" t="e">
        <f>SUMIF('ORDER ENTRY FORM'!$A$3:$A$60,bhpc_data[[#This Row],[sku]],'ORDER ENTRY FORM'!#REF!)</f>
        <v>#REF!</v>
      </c>
      <c r="AL21" s="199" t="e">
        <f>dgn_data[[#This Row],[order]]+dgn_data[[#This Row],[foc_order]]</f>
        <v>#REF!</v>
      </c>
    </row>
    <row r="22" spans="1:38">
      <c r="A22" s="189" t="s">
        <v>20</v>
      </c>
      <c r="B22" s="189" t="s">
        <v>135</v>
      </c>
      <c r="C22" s="189">
        <v>1</v>
      </c>
      <c r="D22" s="189" t="s">
        <v>335</v>
      </c>
      <c r="E22" s="191">
        <v>8718719850282</v>
      </c>
      <c r="F22" s="190" t="s">
        <v>345</v>
      </c>
      <c r="G22" s="189" t="s">
        <v>205</v>
      </c>
      <c r="H22" s="189" t="s">
        <v>337</v>
      </c>
      <c r="I22" s="189">
        <v>24</v>
      </c>
      <c r="J22" s="189">
        <v>72</v>
      </c>
      <c r="K22" s="189">
        <v>9</v>
      </c>
      <c r="L22" s="189">
        <v>8</v>
      </c>
      <c r="N22" s="189">
        <v>377</v>
      </c>
      <c r="O22" s="189">
        <v>300</v>
      </c>
      <c r="P22" s="189">
        <v>163</v>
      </c>
      <c r="Q22" s="189">
        <v>4.68</v>
      </c>
      <c r="R22" s="189">
        <v>5.08</v>
      </c>
      <c r="S22" s="189">
        <v>50</v>
      </c>
      <c r="T22" s="189">
        <v>0</v>
      </c>
      <c r="U22" s="189">
        <v>0</v>
      </c>
      <c r="V22" s="189">
        <v>1</v>
      </c>
      <c r="W22" s="189">
        <v>0</v>
      </c>
      <c r="X22" s="189">
        <v>0</v>
      </c>
      <c r="Y22" s="189">
        <v>0</v>
      </c>
      <c r="Z22" s="190" t="s">
        <v>342</v>
      </c>
      <c r="AB22" s="204">
        <f>ROUNDUP(dgn_data[[#This Row],[order]]/bhpc_data[[#This Row],[units_per_carton]],0)</f>
        <v>0</v>
      </c>
      <c r="AC22" s="204" t="e">
        <f>dgn_data[[#This Row],[foc_order]]/bhpc_data[[#This Row],[units_per_carton]]</f>
        <v>#REF!</v>
      </c>
      <c r="AD22" s="202" t="e">
        <f>(bhpc_data[[#This Row],[net_weight]]/bhpc_data[[#This Row],[units_per_carton]])*dgn_data[[#This Row],[tot_order]]*bhpc_data[[#This Row],[product1_weight]]</f>
        <v>#REF!</v>
      </c>
      <c r="AE22" s="209" t="e">
        <f>(bhpc_data[[#This Row],[net_weight]]/bhpc_data[[#This Row],[units_per_carton]])*dgn_data[[#This Row],[tot_order]]*bhpc_data[[#This Row],[product2_weight]]</f>
        <v>#REF!</v>
      </c>
      <c r="AF22" s="202" t="e">
        <f>(bhpc_data[[#This Row],[gross_weight]]/bhpc_data[[#This Row],[units_per_carton]])*dgn_data[[#This Row],[tot_order]]*bhpc_data[[#This Row],[product1_weight]]</f>
        <v>#REF!</v>
      </c>
      <c r="AG22" s="209" t="e">
        <f>(bhpc_data[[#This Row],[gross_weight]]/bhpc_data[[#This Row],[units_per_carton]])*dgn_data[[#This Row],[tot_order]]*bhpc_data[[#This Row],[product2_weight]]</f>
        <v>#REF!</v>
      </c>
      <c r="AH22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2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2" s="199">
        <f>SUMIF('ORDER ENTRY FORM'!$A$3:$A$60,bhpc_data[[#This Row],[sku]],'ORDER ENTRY FORM'!$C$3:$C$60)</f>
        <v>0</v>
      </c>
      <c r="AK22" s="199" t="e">
        <f>SUMIF('ORDER ENTRY FORM'!$A$3:$A$60,bhpc_data[[#This Row],[sku]],'ORDER ENTRY FORM'!#REF!)</f>
        <v>#REF!</v>
      </c>
      <c r="AL22" s="199" t="e">
        <f>dgn_data[[#This Row],[order]]+dgn_data[[#This Row],[foc_order]]</f>
        <v>#REF!</v>
      </c>
    </row>
    <row r="23" spans="1:38">
      <c r="A23" s="189" t="s">
        <v>21</v>
      </c>
      <c r="B23" s="189" t="s">
        <v>135</v>
      </c>
      <c r="C23" s="189">
        <v>1</v>
      </c>
      <c r="D23" s="189" t="s">
        <v>335</v>
      </c>
      <c r="E23" s="191">
        <v>8718719850299</v>
      </c>
      <c r="F23" s="190" t="s">
        <v>345</v>
      </c>
      <c r="G23" s="189" t="s">
        <v>206</v>
      </c>
      <c r="H23" s="189" t="s">
        <v>337</v>
      </c>
      <c r="I23" s="189">
        <v>24</v>
      </c>
      <c r="J23" s="189">
        <v>72</v>
      </c>
      <c r="K23" s="189">
        <v>9</v>
      </c>
      <c r="L23" s="189">
        <v>8</v>
      </c>
      <c r="N23" s="189">
        <v>377</v>
      </c>
      <c r="O23" s="189">
        <v>300</v>
      </c>
      <c r="P23" s="189">
        <v>163</v>
      </c>
      <c r="Q23" s="189">
        <v>4.68</v>
      </c>
      <c r="R23" s="189">
        <v>5.08</v>
      </c>
      <c r="S23" s="189">
        <v>50</v>
      </c>
      <c r="T23" s="189">
        <v>0</v>
      </c>
      <c r="U23" s="189">
        <v>0</v>
      </c>
      <c r="V23" s="189">
        <v>1</v>
      </c>
      <c r="W23" s="189">
        <v>0</v>
      </c>
      <c r="X23" s="189">
        <v>0</v>
      </c>
      <c r="Y23" s="189">
        <v>0</v>
      </c>
      <c r="Z23" s="190" t="s">
        <v>342</v>
      </c>
      <c r="AB23" s="204">
        <f>ROUNDUP(dgn_data[[#This Row],[order]]/bhpc_data[[#This Row],[units_per_carton]],0)</f>
        <v>0</v>
      </c>
      <c r="AC23" s="204" t="e">
        <f>dgn_data[[#This Row],[foc_order]]/bhpc_data[[#This Row],[units_per_carton]]</f>
        <v>#REF!</v>
      </c>
      <c r="AD23" s="202" t="e">
        <f>(bhpc_data[[#This Row],[net_weight]]/bhpc_data[[#This Row],[units_per_carton]])*dgn_data[[#This Row],[tot_order]]*bhpc_data[[#This Row],[product1_weight]]</f>
        <v>#REF!</v>
      </c>
      <c r="AE23" s="209" t="e">
        <f>(bhpc_data[[#This Row],[net_weight]]/bhpc_data[[#This Row],[units_per_carton]])*dgn_data[[#This Row],[tot_order]]*bhpc_data[[#This Row],[product2_weight]]</f>
        <v>#REF!</v>
      </c>
      <c r="AF23" s="202" t="e">
        <f>(bhpc_data[[#This Row],[gross_weight]]/bhpc_data[[#This Row],[units_per_carton]])*dgn_data[[#This Row],[tot_order]]*bhpc_data[[#This Row],[product1_weight]]</f>
        <v>#REF!</v>
      </c>
      <c r="AG23" s="209" t="e">
        <f>(bhpc_data[[#This Row],[gross_weight]]/bhpc_data[[#This Row],[units_per_carton]])*dgn_data[[#This Row],[tot_order]]*bhpc_data[[#This Row],[product2_weight]]</f>
        <v>#REF!</v>
      </c>
      <c r="AH23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3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3" s="199">
        <f>SUMIF('ORDER ENTRY FORM'!$A$3:$A$60,bhpc_data[[#This Row],[sku]],'ORDER ENTRY FORM'!$C$3:$C$60)</f>
        <v>0</v>
      </c>
      <c r="AK23" s="199" t="e">
        <f>SUMIF('ORDER ENTRY FORM'!$A$3:$A$60,bhpc_data[[#This Row],[sku]],'ORDER ENTRY FORM'!#REF!)</f>
        <v>#REF!</v>
      </c>
      <c r="AL23" s="199" t="e">
        <f>dgn_data[[#This Row],[order]]+dgn_data[[#This Row],[foc_order]]</f>
        <v>#REF!</v>
      </c>
    </row>
    <row r="24" spans="1:38">
      <c r="A24" s="189" t="s">
        <v>22</v>
      </c>
      <c r="B24" s="189" t="s">
        <v>135</v>
      </c>
      <c r="C24" s="189">
        <v>1</v>
      </c>
      <c r="D24" s="189" t="s">
        <v>335</v>
      </c>
      <c r="E24" s="191">
        <v>8718719850305</v>
      </c>
      <c r="F24" s="190" t="s">
        <v>345</v>
      </c>
      <c r="G24" s="189" t="s">
        <v>207</v>
      </c>
      <c r="H24" s="189" t="s">
        <v>337</v>
      </c>
      <c r="I24" s="189">
        <v>24</v>
      </c>
      <c r="J24" s="189">
        <v>72</v>
      </c>
      <c r="K24" s="189">
        <v>9</v>
      </c>
      <c r="L24" s="189">
        <v>8</v>
      </c>
      <c r="N24" s="189">
        <v>377</v>
      </c>
      <c r="O24" s="189">
        <v>300</v>
      </c>
      <c r="P24" s="189">
        <v>163</v>
      </c>
      <c r="Q24" s="189">
        <v>4.68</v>
      </c>
      <c r="R24" s="189">
        <v>5.08</v>
      </c>
      <c r="S24" s="189">
        <v>50</v>
      </c>
      <c r="T24" s="189">
        <v>0</v>
      </c>
      <c r="U24" s="189">
        <v>0</v>
      </c>
      <c r="V24" s="189">
        <v>1</v>
      </c>
      <c r="W24" s="189">
        <v>0</v>
      </c>
      <c r="X24" s="189">
        <v>0</v>
      </c>
      <c r="Y24" s="189">
        <v>0</v>
      </c>
      <c r="Z24" s="190" t="s">
        <v>342</v>
      </c>
      <c r="AB24" s="204">
        <f>ROUNDUP(dgn_data[[#This Row],[order]]/bhpc_data[[#This Row],[units_per_carton]],0)</f>
        <v>0</v>
      </c>
      <c r="AC24" s="204" t="e">
        <f>dgn_data[[#This Row],[foc_order]]/bhpc_data[[#This Row],[units_per_carton]]</f>
        <v>#REF!</v>
      </c>
      <c r="AD24" s="202" t="e">
        <f>(bhpc_data[[#This Row],[net_weight]]/bhpc_data[[#This Row],[units_per_carton]])*dgn_data[[#This Row],[tot_order]]*bhpc_data[[#This Row],[product1_weight]]</f>
        <v>#REF!</v>
      </c>
      <c r="AE24" s="209" t="e">
        <f>(bhpc_data[[#This Row],[net_weight]]/bhpc_data[[#This Row],[units_per_carton]])*dgn_data[[#This Row],[tot_order]]*bhpc_data[[#This Row],[product2_weight]]</f>
        <v>#REF!</v>
      </c>
      <c r="AF24" s="202" t="e">
        <f>(bhpc_data[[#This Row],[gross_weight]]/bhpc_data[[#This Row],[units_per_carton]])*dgn_data[[#This Row],[tot_order]]*bhpc_data[[#This Row],[product1_weight]]</f>
        <v>#REF!</v>
      </c>
      <c r="AG24" s="209" t="e">
        <f>(bhpc_data[[#This Row],[gross_weight]]/bhpc_data[[#This Row],[units_per_carton]])*dgn_data[[#This Row],[tot_order]]*bhpc_data[[#This Row],[product2_weight]]</f>
        <v>#REF!</v>
      </c>
      <c r="AH24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4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4" s="199">
        <f>SUMIF('ORDER ENTRY FORM'!$A$3:$A$60,bhpc_data[[#This Row],[sku]],'ORDER ENTRY FORM'!$C$3:$C$60)</f>
        <v>0</v>
      </c>
      <c r="AK24" s="199" t="e">
        <f>SUMIF('ORDER ENTRY FORM'!$A$3:$A$60,bhpc_data[[#This Row],[sku]],'ORDER ENTRY FORM'!#REF!)</f>
        <v>#REF!</v>
      </c>
      <c r="AL24" s="199" t="e">
        <f>dgn_data[[#This Row],[order]]+dgn_data[[#This Row],[foc_order]]</f>
        <v>#REF!</v>
      </c>
    </row>
    <row r="25" spans="1:38">
      <c r="A25" s="189" t="s">
        <v>23</v>
      </c>
      <c r="B25" s="189" t="s">
        <v>135</v>
      </c>
      <c r="C25" s="189">
        <v>1</v>
      </c>
      <c r="D25" s="189" t="s">
        <v>335</v>
      </c>
      <c r="E25" s="191">
        <v>8718719850312</v>
      </c>
      <c r="F25" s="190" t="s">
        <v>345</v>
      </c>
      <c r="G25" s="189" t="s">
        <v>208</v>
      </c>
      <c r="H25" s="189" t="s">
        <v>337</v>
      </c>
      <c r="I25" s="189">
        <v>24</v>
      </c>
      <c r="J25" s="189">
        <v>72</v>
      </c>
      <c r="K25" s="189">
        <v>9</v>
      </c>
      <c r="L25" s="189">
        <v>8</v>
      </c>
      <c r="N25" s="189">
        <v>377</v>
      </c>
      <c r="O25" s="189">
        <v>300</v>
      </c>
      <c r="P25" s="189">
        <v>163</v>
      </c>
      <c r="Q25" s="189">
        <v>4.68</v>
      </c>
      <c r="R25" s="189">
        <v>5.08</v>
      </c>
      <c r="S25" s="189">
        <v>50</v>
      </c>
      <c r="T25" s="189">
        <v>0</v>
      </c>
      <c r="U25" s="189">
        <v>0</v>
      </c>
      <c r="V25" s="189">
        <v>1</v>
      </c>
      <c r="W25" s="189">
        <v>0</v>
      </c>
      <c r="X25" s="189">
        <v>0</v>
      </c>
      <c r="Y25" s="189">
        <v>0</v>
      </c>
      <c r="Z25" s="190" t="s">
        <v>342</v>
      </c>
      <c r="AB25" s="204">
        <f>ROUNDUP(dgn_data[[#This Row],[order]]/bhpc_data[[#This Row],[units_per_carton]],0)</f>
        <v>0</v>
      </c>
      <c r="AC25" s="204" t="e">
        <f>dgn_data[[#This Row],[foc_order]]/bhpc_data[[#This Row],[units_per_carton]]</f>
        <v>#REF!</v>
      </c>
      <c r="AD25" s="202" t="e">
        <f>(bhpc_data[[#This Row],[net_weight]]/bhpc_data[[#This Row],[units_per_carton]])*dgn_data[[#This Row],[tot_order]]*bhpc_data[[#This Row],[product1_weight]]</f>
        <v>#REF!</v>
      </c>
      <c r="AE25" s="209" t="e">
        <f>(bhpc_data[[#This Row],[net_weight]]/bhpc_data[[#This Row],[units_per_carton]])*dgn_data[[#This Row],[tot_order]]*bhpc_data[[#This Row],[product2_weight]]</f>
        <v>#REF!</v>
      </c>
      <c r="AF25" s="202" t="e">
        <f>(bhpc_data[[#This Row],[gross_weight]]/bhpc_data[[#This Row],[units_per_carton]])*dgn_data[[#This Row],[tot_order]]*bhpc_data[[#This Row],[product1_weight]]</f>
        <v>#REF!</v>
      </c>
      <c r="AG25" s="209" t="e">
        <f>(bhpc_data[[#This Row],[gross_weight]]/bhpc_data[[#This Row],[units_per_carton]])*dgn_data[[#This Row],[tot_order]]*bhpc_data[[#This Row],[product2_weight]]</f>
        <v>#REF!</v>
      </c>
      <c r="AH25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5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5" s="199">
        <f>SUMIF('ORDER ENTRY FORM'!$A$3:$A$60,bhpc_data[[#This Row],[sku]],'ORDER ENTRY FORM'!$C$3:$C$60)</f>
        <v>0</v>
      </c>
      <c r="AK25" s="199" t="e">
        <f>SUMIF('ORDER ENTRY FORM'!$A$3:$A$60,bhpc_data[[#This Row],[sku]],'ORDER ENTRY FORM'!#REF!)</f>
        <v>#REF!</v>
      </c>
      <c r="AL25" s="199" t="e">
        <f>dgn_data[[#This Row],[order]]+dgn_data[[#This Row],[foc_order]]</f>
        <v>#REF!</v>
      </c>
    </row>
    <row r="26" spans="1:38">
      <c r="A26" s="189" t="s">
        <v>44</v>
      </c>
      <c r="B26" s="189" t="s">
        <v>176</v>
      </c>
      <c r="C26" s="189">
        <v>2</v>
      </c>
      <c r="D26" s="189" t="s">
        <v>339</v>
      </c>
      <c r="E26" s="191">
        <v>6291107160993</v>
      </c>
      <c r="G26" s="189" t="s">
        <v>177</v>
      </c>
      <c r="H26" s="189" t="s">
        <v>343</v>
      </c>
      <c r="I26" s="189">
        <v>12</v>
      </c>
      <c r="J26" s="189">
        <v>48</v>
      </c>
      <c r="K26" s="189">
        <v>8</v>
      </c>
      <c r="L26" s="189">
        <v>6</v>
      </c>
      <c r="N26" s="189">
        <v>472</v>
      </c>
      <c r="O26" s="189">
        <v>344</v>
      </c>
      <c r="P26" s="189">
        <v>201</v>
      </c>
      <c r="Q26" s="189">
        <v>5.85</v>
      </c>
      <c r="R26" s="189">
        <v>6.6</v>
      </c>
      <c r="S26" s="189">
        <v>100</v>
      </c>
      <c r="T26" s="189">
        <v>175</v>
      </c>
      <c r="U26" s="189">
        <v>0</v>
      </c>
      <c r="V26" s="189">
        <v>0.55000000000000004</v>
      </c>
      <c r="W26" s="189">
        <v>0.45</v>
      </c>
      <c r="X26" s="189">
        <v>0</v>
      </c>
      <c r="Y26" s="189">
        <v>0</v>
      </c>
      <c r="Z26" s="190" t="s">
        <v>342</v>
      </c>
      <c r="AB26" s="204">
        <f>ROUNDUP(dgn_data[[#This Row],[order]]/bhpc_data[[#This Row],[units_per_carton]],0)</f>
        <v>9</v>
      </c>
      <c r="AC26" s="204" t="e">
        <f>dgn_data[[#This Row],[foc_order]]/bhpc_data[[#This Row],[units_per_carton]]</f>
        <v>#REF!</v>
      </c>
      <c r="AD26" s="202" t="e">
        <f>(bhpc_data[[#This Row],[net_weight]]/bhpc_data[[#This Row],[units_per_carton]])*dgn_data[[#This Row],[tot_order]]*bhpc_data[[#This Row],[product1_weight]]</f>
        <v>#REF!</v>
      </c>
      <c r="AE26" s="209" t="e">
        <f>(bhpc_data[[#This Row],[net_weight]]/bhpc_data[[#This Row],[units_per_carton]])*dgn_data[[#This Row],[tot_order]]*bhpc_data[[#This Row],[product2_weight]]</f>
        <v>#REF!</v>
      </c>
      <c r="AF26" s="202" t="e">
        <f>(bhpc_data[[#This Row],[gross_weight]]/bhpc_data[[#This Row],[units_per_carton]])*dgn_data[[#This Row],[tot_order]]*bhpc_data[[#This Row],[product1_weight]]</f>
        <v>#REF!</v>
      </c>
      <c r="AG26" s="209" t="e">
        <f>(bhpc_data[[#This Row],[gross_weight]]/bhpc_data[[#This Row],[units_per_carton]])*dgn_data[[#This Row],[tot_order]]*bhpc_data[[#This Row],[product2_weight]]</f>
        <v>#REF!</v>
      </c>
      <c r="AH26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6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6" s="199">
        <f>SUMIF('ORDER ENTRY FORM'!$A$3:$A$60,bhpc_data[[#This Row],[sku]],'ORDER ENTRY FORM'!$C$3:$C$60)</f>
        <v>100</v>
      </c>
      <c r="AK26" s="199" t="e">
        <f>SUMIF('ORDER ENTRY FORM'!$A$3:$A$60,bhpc_data[[#This Row],[sku]],'ORDER ENTRY FORM'!#REF!)</f>
        <v>#REF!</v>
      </c>
      <c r="AL26" s="199" t="e">
        <f>dgn_data[[#This Row],[order]]+dgn_data[[#This Row],[foc_order]]</f>
        <v>#REF!</v>
      </c>
    </row>
    <row r="27" spans="1:38">
      <c r="A27" s="189" t="s">
        <v>45</v>
      </c>
      <c r="B27" s="189" t="s">
        <v>176</v>
      </c>
      <c r="C27" s="189">
        <v>2</v>
      </c>
      <c r="D27" s="189" t="s">
        <v>339</v>
      </c>
      <c r="E27" s="191">
        <v>6291107161006</v>
      </c>
      <c r="G27" s="189" t="s">
        <v>178</v>
      </c>
      <c r="H27" s="189" t="s">
        <v>343</v>
      </c>
      <c r="I27" s="189">
        <v>12</v>
      </c>
      <c r="J27" s="189">
        <v>48</v>
      </c>
      <c r="K27" s="189">
        <v>8</v>
      </c>
      <c r="L27" s="189">
        <v>6</v>
      </c>
      <c r="N27" s="189">
        <v>472</v>
      </c>
      <c r="O27" s="189">
        <v>344</v>
      </c>
      <c r="P27" s="189">
        <v>201</v>
      </c>
      <c r="Q27" s="189">
        <v>5.85</v>
      </c>
      <c r="R27" s="189">
        <v>6.6</v>
      </c>
      <c r="S27" s="189">
        <v>100</v>
      </c>
      <c r="T27" s="189">
        <v>175</v>
      </c>
      <c r="U27" s="189">
        <v>0</v>
      </c>
      <c r="V27" s="189">
        <v>0.55000000000000004</v>
      </c>
      <c r="W27" s="189">
        <v>0.45</v>
      </c>
      <c r="X27" s="189">
        <v>0</v>
      </c>
      <c r="Y27" s="189">
        <v>0</v>
      </c>
      <c r="Z27" s="190" t="s">
        <v>342</v>
      </c>
      <c r="AB27" s="204">
        <f>ROUNDUP(dgn_data[[#This Row],[order]]/bhpc_data[[#This Row],[units_per_carton]],0)</f>
        <v>9</v>
      </c>
      <c r="AC27" s="204" t="e">
        <f>dgn_data[[#This Row],[foc_order]]/bhpc_data[[#This Row],[units_per_carton]]</f>
        <v>#REF!</v>
      </c>
      <c r="AD27" s="202" t="e">
        <f>(bhpc_data[[#This Row],[net_weight]]/bhpc_data[[#This Row],[units_per_carton]])*dgn_data[[#This Row],[tot_order]]*bhpc_data[[#This Row],[product1_weight]]</f>
        <v>#REF!</v>
      </c>
      <c r="AE27" s="209" t="e">
        <f>(bhpc_data[[#This Row],[net_weight]]/bhpc_data[[#This Row],[units_per_carton]])*dgn_data[[#This Row],[tot_order]]*bhpc_data[[#This Row],[product2_weight]]</f>
        <v>#REF!</v>
      </c>
      <c r="AF27" s="202" t="e">
        <f>(bhpc_data[[#This Row],[gross_weight]]/bhpc_data[[#This Row],[units_per_carton]])*dgn_data[[#This Row],[tot_order]]*bhpc_data[[#This Row],[product1_weight]]</f>
        <v>#REF!</v>
      </c>
      <c r="AG27" s="209" t="e">
        <f>(bhpc_data[[#This Row],[gross_weight]]/bhpc_data[[#This Row],[units_per_carton]])*dgn_data[[#This Row],[tot_order]]*bhpc_data[[#This Row],[product2_weight]]</f>
        <v>#REF!</v>
      </c>
      <c r="AH27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7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7" s="199">
        <f>SUMIF('ORDER ENTRY FORM'!$A$3:$A$60,bhpc_data[[#This Row],[sku]],'ORDER ENTRY FORM'!$C$3:$C$60)</f>
        <v>100</v>
      </c>
      <c r="AK27" s="199" t="e">
        <f>SUMIF('ORDER ENTRY FORM'!$A$3:$A$60,bhpc_data[[#This Row],[sku]],'ORDER ENTRY FORM'!#REF!)</f>
        <v>#REF!</v>
      </c>
      <c r="AL27" s="199" t="e">
        <f>dgn_data[[#This Row],[order]]+dgn_data[[#This Row],[foc_order]]</f>
        <v>#REF!</v>
      </c>
    </row>
    <row r="28" spans="1:38">
      <c r="A28" s="189" t="s">
        <v>46</v>
      </c>
      <c r="B28" s="189" t="s">
        <v>176</v>
      </c>
      <c r="C28" s="189">
        <v>2</v>
      </c>
      <c r="D28" s="189" t="s">
        <v>339</v>
      </c>
      <c r="E28" s="191">
        <v>6291107161013</v>
      </c>
      <c r="G28" s="189" t="s">
        <v>179</v>
      </c>
      <c r="H28" s="189" t="s">
        <v>343</v>
      </c>
      <c r="I28" s="189">
        <v>12</v>
      </c>
      <c r="J28" s="189">
        <v>48</v>
      </c>
      <c r="K28" s="189">
        <v>8</v>
      </c>
      <c r="L28" s="189">
        <v>6</v>
      </c>
      <c r="N28" s="189">
        <v>472</v>
      </c>
      <c r="O28" s="189">
        <v>344</v>
      </c>
      <c r="P28" s="189">
        <v>201</v>
      </c>
      <c r="Q28" s="189">
        <v>5.85</v>
      </c>
      <c r="R28" s="189">
        <v>6.6</v>
      </c>
      <c r="S28" s="189">
        <v>100</v>
      </c>
      <c r="T28" s="189">
        <v>175</v>
      </c>
      <c r="U28" s="189">
        <v>0</v>
      </c>
      <c r="V28" s="189">
        <v>0.55000000000000004</v>
      </c>
      <c r="W28" s="189">
        <v>0.45</v>
      </c>
      <c r="X28" s="189">
        <v>0</v>
      </c>
      <c r="Y28" s="189">
        <v>0</v>
      </c>
      <c r="Z28" s="190" t="s">
        <v>342</v>
      </c>
      <c r="AB28" s="204">
        <f>ROUNDUP(dgn_data[[#This Row],[order]]/bhpc_data[[#This Row],[units_per_carton]],0)</f>
        <v>9</v>
      </c>
      <c r="AC28" s="204" t="e">
        <f>dgn_data[[#This Row],[foc_order]]/bhpc_data[[#This Row],[units_per_carton]]</f>
        <v>#REF!</v>
      </c>
      <c r="AD28" s="202" t="e">
        <f>(bhpc_data[[#This Row],[net_weight]]/bhpc_data[[#This Row],[units_per_carton]])*dgn_data[[#This Row],[tot_order]]*bhpc_data[[#This Row],[product1_weight]]</f>
        <v>#REF!</v>
      </c>
      <c r="AE28" s="209" t="e">
        <f>(bhpc_data[[#This Row],[net_weight]]/bhpc_data[[#This Row],[units_per_carton]])*dgn_data[[#This Row],[tot_order]]*bhpc_data[[#This Row],[product2_weight]]</f>
        <v>#REF!</v>
      </c>
      <c r="AF28" s="202" t="e">
        <f>(bhpc_data[[#This Row],[gross_weight]]/bhpc_data[[#This Row],[units_per_carton]])*dgn_data[[#This Row],[tot_order]]*bhpc_data[[#This Row],[product1_weight]]</f>
        <v>#REF!</v>
      </c>
      <c r="AG28" s="209" t="e">
        <f>(bhpc_data[[#This Row],[gross_weight]]/bhpc_data[[#This Row],[units_per_carton]])*dgn_data[[#This Row],[tot_order]]*bhpc_data[[#This Row],[product2_weight]]</f>
        <v>#REF!</v>
      </c>
      <c r="AH28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8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8" s="199">
        <f>SUMIF('ORDER ENTRY FORM'!$A$3:$A$60,bhpc_data[[#This Row],[sku]],'ORDER ENTRY FORM'!$C$3:$C$60)</f>
        <v>100</v>
      </c>
      <c r="AK28" s="199" t="e">
        <f>SUMIF('ORDER ENTRY FORM'!$A$3:$A$60,bhpc_data[[#This Row],[sku]],'ORDER ENTRY FORM'!#REF!)</f>
        <v>#REF!</v>
      </c>
      <c r="AL28" s="199" t="e">
        <f>dgn_data[[#This Row],[order]]+dgn_data[[#This Row],[foc_order]]</f>
        <v>#REF!</v>
      </c>
    </row>
    <row r="29" spans="1:38">
      <c r="A29" s="189" t="s">
        <v>47</v>
      </c>
      <c r="B29" s="189" t="s">
        <v>176</v>
      </c>
      <c r="C29" s="189">
        <v>2</v>
      </c>
      <c r="D29" s="189" t="s">
        <v>339</v>
      </c>
      <c r="E29" s="191">
        <v>6291107161020</v>
      </c>
      <c r="G29" s="189" t="s">
        <v>180</v>
      </c>
      <c r="H29" s="189" t="s">
        <v>343</v>
      </c>
      <c r="I29" s="189">
        <v>12</v>
      </c>
      <c r="J29" s="189">
        <v>48</v>
      </c>
      <c r="K29" s="189">
        <v>8</v>
      </c>
      <c r="L29" s="189">
        <v>6</v>
      </c>
      <c r="N29" s="189">
        <v>472</v>
      </c>
      <c r="O29" s="189">
        <v>344</v>
      </c>
      <c r="P29" s="189">
        <v>201</v>
      </c>
      <c r="Q29" s="189">
        <v>5.85</v>
      </c>
      <c r="R29" s="189">
        <v>6.6</v>
      </c>
      <c r="S29" s="189">
        <v>100</v>
      </c>
      <c r="T29" s="189">
        <v>175</v>
      </c>
      <c r="U29" s="189">
        <v>0</v>
      </c>
      <c r="V29" s="189">
        <v>0.55000000000000004</v>
      </c>
      <c r="W29" s="189">
        <v>0.45</v>
      </c>
      <c r="X29" s="189">
        <v>0</v>
      </c>
      <c r="Y29" s="189">
        <v>0</v>
      </c>
      <c r="Z29" s="190" t="s">
        <v>342</v>
      </c>
      <c r="AB29" s="204">
        <f>ROUNDUP(dgn_data[[#This Row],[order]]/bhpc_data[[#This Row],[units_per_carton]],0)</f>
        <v>9</v>
      </c>
      <c r="AC29" s="204" t="e">
        <f>dgn_data[[#This Row],[foc_order]]/bhpc_data[[#This Row],[units_per_carton]]</f>
        <v>#REF!</v>
      </c>
      <c r="AD29" s="202" t="e">
        <f>(bhpc_data[[#This Row],[net_weight]]/bhpc_data[[#This Row],[units_per_carton]])*dgn_data[[#This Row],[tot_order]]*bhpc_data[[#This Row],[product1_weight]]</f>
        <v>#REF!</v>
      </c>
      <c r="AE29" s="209" t="e">
        <f>(bhpc_data[[#This Row],[net_weight]]/bhpc_data[[#This Row],[units_per_carton]])*dgn_data[[#This Row],[tot_order]]*bhpc_data[[#This Row],[product2_weight]]</f>
        <v>#REF!</v>
      </c>
      <c r="AF29" s="202" t="e">
        <f>(bhpc_data[[#This Row],[gross_weight]]/bhpc_data[[#This Row],[units_per_carton]])*dgn_data[[#This Row],[tot_order]]*bhpc_data[[#This Row],[product1_weight]]</f>
        <v>#REF!</v>
      </c>
      <c r="AG29" s="209" t="e">
        <f>(bhpc_data[[#This Row],[gross_weight]]/bhpc_data[[#This Row],[units_per_carton]])*dgn_data[[#This Row],[tot_order]]*bhpc_data[[#This Row],[product2_weight]]</f>
        <v>#REF!</v>
      </c>
      <c r="AH29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29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29" s="199">
        <f>SUMIF('ORDER ENTRY FORM'!$A$3:$A$60,bhpc_data[[#This Row],[sku]],'ORDER ENTRY FORM'!$C$3:$C$60)</f>
        <v>100</v>
      </c>
      <c r="AK29" s="199" t="e">
        <f>SUMIF('ORDER ENTRY FORM'!$A$3:$A$60,bhpc_data[[#This Row],[sku]],'ORDER ENTRY FORM'!#REF!)</f>
        <v>#REF!</v>
      </c>
      <c r="AL29" s="199" t="e">
        <f>dgn_data[[#This Row],[order]]+dgn_data[[#This Row],[foc_order]]</f>
        <v>#REF!</v>
      </c>
    </row>
    <row r="30" spans="1:38">
      <c r="A30" s="189" t="s">
        <v>56</v>
      </c>
      <c r="B30" s="189" t="s">
        <v>176</v>
      </c>
      <c r="C30" s="189">
        <v>2</v>
      </c>
      <c r="D30" s="189" t="s">
        <v>335</v>
      </c>
      <c r="E30" s="191">
        <v>6291107161037</v>
      </c>
      <c r="G30" s="189" t="s">
        <v>189</v>
      </c>
      <c r="H30" s="189" t="s">
        <v>343</v>
      </c>
      <c r="I30" s="189">
        <v>12</v>
      </c>
      <c r="J30" s="189">
        <v>48</v>
      </c>
      <c r="K30" s="189">
        <v>8</v>
      </c>
      <c r="L30" s="189">
        <v>6</v>
      </c>
      <c r="N30" s="189">
        <v>460</v>
      </c>
      <c r="O30" s="189">
        <v>340</v>
      </c>
      <c r="P30" s="189">
        <v>205</v>
      </c>
      <c r="Q30" s="189">
        <v>5.25</v>
      </c>
      <c r="R30" s="189">
        <v>6</v>
      </c>
      <c r="S30" s="189">
        <v>100</v>
      </c>
      <c r="T30" s="189">
        <v>150</v>
      </c>
      <c r="U30" s="189">
        <v>0</v>
      </c>
      <c r="V30" s="189">
        <v>0.55000000000000004</v>
      </c>
      <c r="W30" s="189">
        <v>0.45</v>
      </c>
      <c r="X30" s="189">
        <v>0</v>
      </c>
      <c r="Y30" s="189">
        <v>0</v>
      </c>
      <c r="Z30" s="190" t="s">
        <v>342</v>
      </c>
      <c r="AB30" s="204">
        <f>ROUNDUP(dgn_data[[#This Row],[order]]/bhpc_data[[#This Row],[units_per_carton]],0)</f>
        <v>0</v>
      </c>
      <c r="AC30" s="204" t="e">
        <f>dgn_data[[#This Row],[foc_order]]/bhpc_data[[#This Row],[units_per_carton]]</f>
        <v>#REF!</v>
      </c>
      <c r="AD30" s="202" t="e">
        <f>(bhpc_data[[#This Row],[net_weight]]/bhpc_data[[#This Row],[units_per_carton]])*dgn_data[[#This Row],[tot_order]]*bhpc_data[[#This Row],[product1_weight]]</f>
        <v>#REF!</v>
      </c>
      <c r="AE30" s="209" t="e">
        <f>(bhpc_data[[#This Row],[net_weight]]/bhpc_data[[#This Row],[units_per_carton]])*dgn_data[[#This Row],[tot_order]]*bhpc_data[[#This Row],[product2_weight]]</f>
        <v>#REF!</v>
      </c>
      <c r="AF30" s="202" t="e">
        <f>(bhpc_data[[#This Row],[gross_weight]]/bhpc_data[[#This Row],[units_per_carton]])*dgn_data[[#This Row],[tot_order]]*bhpc_data[[#This Row],[product1_weight]]</f>
        <v>#REF!</v>
      </c>
      <c r="AG30" s="209" t="e">
        <f>(bhpc_data[[#This Row],[gross_weight]]/bhpc_data[[#This Row],[units_per_carton]])*dgn_data[[#This Row],[tot_order]]*bhpc_data[[#This Row],[product2_weight]]</f>
        <v>#REF!</v>
      </c>
      <c r="AH30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0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0" s="199">
        <f>SUMIF('ORDER ENTRY FORM'!$A$3:$A$60,bhpc_data[[#This Row],[sku]],'ORDER ENTRY FORM'!$C$3:$C$60)</f>
        <v>0</v>
      </c>
      <c r="AK30" s="199" t="e">
        <f>SUMIF('ORDER ENTRY FORM'!$A$3:$A$60,bhpc_data[[#This Row],[sku]],'ORDER ENTRY FORM'!#REF!)</f>
        <v>#REF!</v>
      </c>
      <c r="AL30" s="199" t="e">
        <f>dgn_data[[#This Row],[order]]+dgn_data[[#This Row],[foc_order]]</f>
        <v>#REF!</v>
      </c>
    </row>
    <row r="31" spans="1:38">
      <c r="A31" s="189" t="s">
        <v>57</v>
      </c>
      <c r="B31" s="189" t="s">
        <v>176</v>
      </c>
      <c r="C31" s="189">
        <v>2</v>
      </c>
      <c r="D31" s="189" t="s">
        <v>335</v>
      </c>
      <c r="E31" s="191">
        <v>6291107161044</v>
      </c>
      <c r="G31" s="189" t="s">
        <v>190</v>
      </c>
      <c r="H31" s="189" t="s">
        <v>343</v>
      </c>
      <c r="I31" s="189">
        <v>12</v>
      </c>
      <c r="J31" s="189">
        <v>48</v>
      </c>
      <c r="K31" s="189">
        <v>8</v>
      </c>
      <c r="L31" s="189">
        <v>6</v>
      </c>
      <c r="N31" s="189">
        <v>460</v>
      </c>
      <c r="O31" s="189">
        <v>340</v>
      </c>
      <c r="P31" s="189">
        <v>205</v>
      </c>
      <c r="Q31" s="189">
        <v>5.25</v>
      </c>
      <c r="R31" s="189">
        <v>6</v>
      </c>
      <c r="S31" s="189">
        <v>100</v>
      </c>
      <c r="T31" s="189">
        <v>150</v>
      </c>
      <c r="U31" s="189">
        <v>0</v>
      </c>
      <c r="V31" s="189">
        <v>0.55000000000000004</v>
      </c>
      <c r="W31" s="189">
        <v>0.45</v>
      </c>
      <c r="X31" s="189">
        <v>0</v>
      </c>
      <c r="Y31" s="189">
        <v>0</v>
      </c>
      <c r="Z31" s="190" t="s">
        <v>342</v>
      </c>
      <c r="AB31" s="204">
        <f>ROUNDUP(dgn_data[[#This Row],[order]]/bhpc_data[[#This Row],[units_per_carton]],0)</f>
        <v>0</v>
      </c>
      <c r="AC31" s="204" t="e">
        <f>dgn_data[[#This Row],[foc_order]]/bhpc_data[[#This Row],[units_per_carton]]</f>
        <v>#REF!</v>
      </c>
      <c r="AD31" s="202" t="e">
        <f>(bhpc_data[[#This Row],[net_weight]]/bhpc_data[[#This Row],[units_per_carton]])*dgn_data[[#This Row],[tot_order]]*bhpc_data[[#This Row],[product1_weight]]</f>
        <v>#REF!</v>
      </c>
      <c r="AE31" s="209" t="e">
        <f>(bhpc_data[[#This Row],[net_weight]]/bhpc_data[[#This Row],[units_per_carton]])*dgn_data[[#This Row],[tot_order]]*bhpc_data[[#This Row],[product2_weight]]</f>
        <v>#REF!</v>
      </c>
      <c r="AF31" s="202" t="e">
        <f>(bhpc_data[[#This Row],[gross_weight]]/bhpc_data[[#This Row],[units_per_carton]])*dgn_data[[#This Row],[tot_order]]*bhpc_data[[#This Row],[product1_weight]]</f>
        <v>#REF!</v>
      </c>
      <c r="AG31" s="209" t="e">
        <f>(bhpc_data[[#This Row],[gross_weight]]/bhpc_data[[#This Row],[units_per_carton]])*dgn_data[[#This Row],[tot_order]]*bhpc_data[[#This Row],[product2_weight]]</f>
        <v>#REF!</v>
      </c>
      <c r="AH31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1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1" s="199">
        <f>SUMIF('ORDER ENTRY FORM'!$A$3:$A$60,bhpc_data[[#This Row],[sku]],'ORDER ENTRY FORM'!$C$3:$C$60)</f>
        <v>0</v>
      </c>
      <c r="AK31" s="199" t="e">
        <f>SUMIF('ORDER ENTRY FORM'!$A$3:$A$60,bhpc_data[[#This Row],[sku]],'ORDER ENTRY FORM'!#REF!)</f>
        <v>#REF!</v>
      </c>
      <c r="AL31" s="199" t="e">
        <f>dgn_data[[#This Row],[order]]+dgn_data[[#This Row],[foc_order]]</f>
        <v>#REF!</v>
      </c>
    </row>
    <row r="32" spans="1:38">
      <c r="A32" s="189" t="s">
        <v>58</v>
      </c>
      <c r="B32" s="189" t="s">
        <v>176</v>
      </c>
      <c r="C32" s="189">
        <v>2</v>
      </c>
      <c r="D32" s="189" t="s">
        <v>335</v>
      </c>
      <c r="E32" s="191">
        <v>6291107161051</v>
      </c>
      <c r="G32" s="189" t="s">
        <v>191</v>
      </c>
      <c r="H32" s="189" t="s">
        <v>343</v>
      </c>
      <c r="I32" s="189">
        <v>12</v>
      </c>
      <c r="J32" s="189">
        <v>48</v>
      </c>
      <c r="K32" s="189">
        <v>8</v>
      </c>
      <c r="L32" s="189">
        <v>6</v>
      </c>
      <c r="N32" s="189">
        <v>460</v>
      </c>
      <c r="O32" s="189">
        <v>340</v>
      </c>
      <c r="P32" s="189">
        <v>205</v>
      </c>
      <c r="Q32" s="189">
        <v>5.25</v>
      </c>
      <c r="R32" s="189">
        <v>6</v>
      </c>
      <c r="S32" s="189">
        <v>100</v>
      </c>
      <c r="T32" s="189">
        <v>150</v>
      </c>
      <c r="U32" s="189">
        <v>0</v>
      </c>
      <c r="V32" s="189">
        <v>0.55000000000000004</v>
      </c>
      <c r="W32" s="189">
        <v>0.45</v>
      </c>
      <c r="X32" s="189">
        <v>0</v>
      </c>
      <c r="Y32" s="189">
        <v>0</v>
      </c>
      <c r="Z32" s="190" t="s">
        <v>342</v>
      </c>
      <c r="AB32" s="204">
        <f>ROUNDUP(dgn_data[[#This Row],[order]]/bhpc_data[[#This Row],[units_per_carton]],0)</f>
        <v>0</v>
      </c>
      <c r="AC32" s="204" t="e">
        <f>dgn_data[[#This Row],[foc_order]]/bhpc_data[[#This Row],[units_per_carton]]</f>
        <v>#REF!</v>
      </c>
      <c r="AD32" s="202" t="e">
        <f>(bhpc_data[[#This Row],[net_weight]]/bhpc_data[[#This Row],[units_per_carton]])*dgn_data[[#This Row],[tot_order]]*bhpc_data[[#This Row],[product1_weight]]</f>
        <v>#REF!</v>
      </c>
      <c r="AE32" s="209" t="e">
        <f>(bhpc_data[[#This Row],[net_weight]]/bhpc_data[[#This Row],[units_per_carton]])*dgn_data[[#This Row],[tot_order]]*bhpc_data[[#This Row],[product2_weight]]</f>
        <v>#REF!</v>
      </c>
      <c r="AF32" s="202" t="e">
        <f>(bhpc_data[[#This Row],[gross_weight]]/bhpc_data[[#This Row],[units_per_carton]])*dgn_data[[#This Row],[tot_order]]*bhpc_data[[#This Row],[product1_weight]]</f>
        <v>#REF!</v>
      </c>
      <c r="AG32" s="209" t="e">
        <f>(bhpc_data[[#This Row],[gross_weight]]/bhpc_data[[#This Row],[units_per_carton]])*dgn_data[[#This Row],[tot_order]]*bhpc_data[[#This Row],[product2_weight]]</f>
        <v>#REF!</v>
      </c>
      <c r="AH32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2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2" s="199">
        <f>SUMIF('ORDER ENTRY FORM'!$A$3:$A$60,bhpc_data[[#This Row],[sku]],'ORDER ENTRY FORM'!$C$3:$C$60)</f>
        <v>0</v>
      </c>
      <c r="AK32" s="199" t="e">
        <f>SUMIF('ORDER ENTRY FORM'!$A$3:$A$60,bhpc_data[[#This Row],[sku]],'ORDER ENTRY FORM'!#REF!)</f>
        <v>#REF!</v>
      </c>
      <c r="AL32" s="199" t="e">
        <f>dgn_data[[#This Row],[order]]+dgn_data[[#This Row],[foc_order]]</f>
        <v>#REF!</v>
      </c>
    </row>
    <row r="33" spans="1:38">
      <c r="A33" s="189" t="s">
        <v>59</v>
      </c>
      <c r="B33" s="189" t="s">
        <v>176</v>
      </c>
      <c r="C33" s="189">
        <v>2</v>
      </c>
      <c r="D33" s="189" t="s">
        <v>335</v>
      </c>
      <c r="E33" s="191">
        <v>6291107161068</v>
      </c>
      <c r="G33" s="189" t="s">
        <v>192</v>
      </c>
      <c r="H33" s="189" t="s">
        <v>343</v>
      </c>
      <c r="I33" s="189">
        <v>12</v>
      </c>
      <c r="J33" s="189">
        <v>48</v>
      </c>
      <c r="K33" s="189">
        <v>8</v>
      </c>
      <c r="L33" s="189">
        <v>6</v>
      </c>
      <c r="N33" s="189">
        <v>460</v>
      </c>
      <c r="O33" s="189">
        <v>340</v>
      </c>
      <c r="P33" s="189">
        <v>205</v>
      </c>
      <c r="Q33" s="189">
        <v>5.25</v>
      </c>
      <c r="R33" s="189">
        <v>6</v>
      </c>
      <c r="S33" s="189">
        <v>100</v>
      </c>
      <c r="T33" s="189">
        <v>150</v>
      </c>
      <c r="U33" s="189">
        <v>0</v>
      </c>
      <c r="V33" s="189">
        <v>0.55000000000000004</v>
      </c>
      <c r="W33" s="189">
        <v>0.45</v>
      </c>
      <c r="X33" s="189">
        <v>0</v>
      </c>
      <c r="Y33" s="189">
        <v>0</v>
      </c>
      <c r="Z33" s="190" t="s">
        <v>342</v>
      </c>
      <c r="AB33" s="204">
        <f>ROUNDUP(dgn_data[[#This Row],[order]]/bhpc_data[[#This Row],[units_per_carton]],0)</f>
        <v>0</v>
      </c>
      <c r="AC33" s="204" t="e">
        <f>dgn_data[[#This Row],[foc_order]]/bhpc_data[[#This Row],[units_per_carton]]</f>
        <v>#REF!</v>
      </c>
      <c r="AD33" s="202" t="e">
        <f>(bhpc_data[[#This Row],[net_weight]]/bhpc_data[[#This Row],[units_per_carton]])*dgn_data[[#This Row],[tot_order]]*bhpc_data[[#This Row],[product1_weight]]</f>
        <v>#REF!</v>
      </c>
      <c r="AE33" s="209" t="e">
        <f>(bhpc_data[[#This Row],[net_weight]]/bhpc_data[[#This Row],[units_per_carton]])*dgn_data[[#This Row],[tot_order]]*bhpc_data[[#This Row],[product2_weight]]</f>
        <v>#REF!</v>
      </c>
      <c r="AF33" s="202" t="e">
        <f>(bhpc_data[[#This Row],[gross_weight]]/bhpc_data[[#This Row],[units_per_carton]])*dgn_data[[#This Row],[tot_order]]*bhpc_data[[#This Row],[product1_weight]]</f>
        <v>#REF!</v>
      </c>
      <c r="AG33" s="209" t="e">
        <f>(bhpc_data[[#This Row],[gross_weight]]/bhpc_data[[#This Row],[units_per_carton]])*dgn_data[[#This Row],[tot_order]]*bhpc_data[[#This Row],[product2_weight]]</f>
        <v>#REF!</v>
      </c>
      <c r="AH33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3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3" s="199">
        <f>SUMIF('ORDER ENTRY FORM'!$A$3:$A$60,bhpc_data[[#This Row],[sku]],'ORDER ENTRY FORM'!$C$3:$C$60)</f>
        <v>0</v>
      </c>
      <c r="AK33" s="199" t="e">
        <f>SUMIF('ORDER ENTRY FORM'!$A$3:$A$60,bhpc_data[[#This Row],[sku]],'ORDER ENTRY FORM'!#REF!)</f>
        <v>#REF!</v>
      </c>
      <c r="AL33" s="199" t="e">
        <f>dgn_data[[#This Row],[order]]+dgn_data[[#This Row],[foc_order]]</f>
        <v>#REF!</v>
      </c>
    </row>
    <row r="34" spans="1:38">
      <c r="A34" s="189" t="s">
        <v>146</v>
      </c>
      <c r="B34" s="189" t="s">
        <v>176</v>
      </c>
      <c r="C34" s="189">
        <v>2</v>
      </c>
      <c r="D34" s="189" t="s">
        <v>339</v>
      </c>
      <c r="E34" s="191"/>
      <c r="G34" s="189" t="s">
        <v>147</v>
      </c>
      <c r="H34" s="189" t="s">
        <v>343</v>
      </c>
      <c r="I34" s="189">
        <v>24</v>
      </c>
      <c r="J34" s="189">
        <v>18</v>
      </c>
      <c r="K34" s="189">
        <v>6</v>
      </c>
      <c r="L34" s="189">
        <v>3</v>
      </c>
      <c r="N34" s="189">
        <v>400</v>
      </c>
      <c r="O34" s="189">
        <v>400</v>
      </c>
      <c r="P34" s="189">
        <v>460</v>
      </c>
      <c r="Q34" s="189">
        <f>0.73*I34</f>
        <v>17.52</v>
      </c>
      <c r="R34" s="189">
        <v>20.5</v>
      </c>
      <c r="S34" s="189">
        <v>100</v>
      </c>
      <c r="T34" s="189">
        <v>300</v>
      </c>
      <c r="U34" s="189">
        <v>0</v>
      </c>
      <c r="V34" s="189">
        <v>0.6</v>
      </c>
      <c r="W34" s="189">
        <v>0.4</v>
      </c>
      <c r="X34" s="189">
        <v>0</v>
      </c>
      <c r="Y34" s="189">
        <v>0</v>
      </c>
      <c r="Z34" s="190" t="s">
        <v>342</v>
      </c>
      <c r="AB34" s="204">
        <f>ROUNDUP(dgn_data[[#This Row],[order]]/bhpc_data[[#This Row],[units_per_carton]],0)</f>
        <v>5</v>
      </c>
      <c r="AC34" s="204" t="e">
        <f>dgn_data[[#This Row],[foc_order]]/bhpc_data[[#This Row],[units_per_carton]]</f>
        <v>#REF!</v>
      </c>
      <c r="AD34" s="202" t="e">
        <f>(bhpc_data[[#This Row],[net_weight]]/bhpc_data[[#This Row],[units_per_carton]])*dgn_data[[#This Row],[tot_order]]*bhpc_data[[#This Row],[product1_weight]]</f>
        <v>#REF!</v>
      </c>
      <c r="AE34" s="209" t="e">
        <f>(bhpc_data[[#This Row],[net_weight]]/bhpc_data[[#This Row],[units_per_carton]])*dgn_data[[#This Row],[tot_order]]*bhpc_data[[#This Row],[product2_weight]]</f>
        <v>#REF!</v>
      </c>
      <c r="AF34" s="202" t="e">
        <f>(bhpc_data[[#This Row],[gross_weight]]/bhpc_data[[#This Row],[units_per_carton]])*dgn_data[[#This Row],[tot_order]]*bhpc_data[[#This Row],[product1_weight]]</f>
        <v>#REF!</v>
      </c>
      <c r="AG34" s="209" t="e">
        <f>(bhpc_data[[#This Row],[gross_weight]]/bhpc_data[[#This Row],[units_per_carton]])*dgn_data[[#This Row],[tot_order]]*bhpc_data[[#This Row],[product2_weight]]</f>
        <v>#REF!</v>
      </c>
      <c r="AH34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4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4" s="199">
        <f>SUMIF('ORDER ENTRY FORM'!$A$3:$A$60,bhpc_data[[#This Row],[sku]],'ORDER ENTRY FORM'!$C$3:$C$60)</f>
        <v>100</v>
      </c>
      <c r="AK34" s="199" t="e">
        <f>SUMIF('ORDER ENTRY FORM'!$A$3:$A$60,bhpc_data[[#This Row],[sku]],'ORDER ENTRY FORM'!#REF!)</f>
        <v>#REF!</v>
      </c>
      <c r="AL34" s="199" t="e">
        <f>dgn_data[[#This Row],[order]]+dgn_data[[#This Row],[foc_order]]</f>
        <v>#REF!</v>
      </c>
    </row>
    <row r="35" spans="1:38">
      <c r="A35" s="192"/>
      <c r="B35" s="192" t="s">
        <v>176</v>
      </c>
      <c r="C35" s="192">
        <v>2</v>
      </c>
      <c r="D35" s="192" t="s">
        <v>335</v>
      </c>
      <c r="E35" s="191"/>
      <c r="F35" s="193"/>
      <c r="G35" s="189" t="s">
        <v>344</v>
      </c>
      <c r="H35" s="192" t="s">
        <v>343</v>
      </c>
      <c r="I35" s="192">
        <v>24</v>
      </c>
      <c r="J35" s="192">
        <v>18</v>
      </c>
      <c r="K35" s="192">
        <v>6</v>
      </c>
      <c r="L35" s="192">
        <v>3</v>
      </c>
      <c r="M35" s="192"/>
      <c r="N35" s="192">
        <v>400</v>
      </c>
      <c r="O35" s="192">
        <v>400</v>
      </c>
      <c r="P35" s="192">
        <v>460</v>
      </c>
      <c r="Q35" s="192">
        <f>0.73*I35</f>
        <v>17.52</v>
      </c>
      <c r="R35" s="192">
        <v>20.5</v>
      </c>
      <c r="S35" s="192">
        <v>100</v>
      </c>
      <c r="T35" s="192">
        <v>250</v>
      </c>
      <c r="U35" s="192">
        <v>0</v>
      </c>
      <c r="V35" s="192">
        <v>0.6</v>
      </c>
      <c r="W35" s="192">
        <v>0.4</v>
      </c>
      <c r="X35" s="192">
        <v>0</v>
      </c>
      <c r="Y35" s="192">
        <v>0</v>
      </c>
      <c r="Z35" s="193" t="s">
        <v>342</v>
      </c>
      <c r="AB35" s="205">
        <f>ROUNDUP(dgn_data[[#This Row],[order]]/bhpc_data[[#This Row],[units_per_carton]],0)</f>
        <v>0</v>
      </c>
      <c r="AC35" s="205" t="e">
        <f>dgn_data[[#This Row],[foc_order]]/bhpc_data[[#This Row],[units_per_carton]]</f>
        <v>#REF!</v>
      </c>
      <c r="AD35" s="202" t="e">
        <f>(bhpc_data[[#This Row],[net_weight]]/bhpc_data[[#This Row],[units_per_carton]])*dgn_data[[#This Row],[tot_order]]*bhpc_data[[#This Row],[product1_weight]]</f>
        <v>#REF!</v>
      </c>
      <c r="AE35" s="209" t="e">
        <f>(bhpc_data[[#This Row],[net_weight]]/bhpc_data[[#This Row],[units_per_carton]])*dgn_data[[#This Row],[tot_order]]*bhpc_data[[#This Row],[product2_weight]]</f>
        <v>#REF!</v>
      </c>
      <c r="AF35" s="202" t="e">
        <f>(bhpc_data[[#This Row],[gross_weight]]/bhpc_data[[#This Row],[units_per_carton]])*dgn_data[[#This Row],[tot_order]]*bhpc_data[[#This Row],[product1_weight]]</f>
        <v>#REF!</v>
      </c>
      <c r="AG35" s="209" t="e">
        <f>(bhpc_data[[#This Row],[gross_weight]]/bhpc_data[[#This Row],[units_per_carton]])*dgn_data[[#This Row],[tot_order]]*bhpc_data[[#This Row],[product2_weight]]</f>
        <v>#REF!</v>
      </c>
      <c r="AH35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5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5" s="199">
        <f>SUMIF('ORDER ENTRY FORM'!$A$3:$A$60,bhpc_data[[#This Row],[sku]],'ORDER ENTRY FORM'!$C$3:$C$60)</f>
        <v>0</v>
      </c>
      <c r="AK35" s="199" t="e">
        <f>SUMIF('ORDER ENTRY FORM'!$A$3:$A$60,bhpc_data[[#This Row],[sku]],'ORDER ENTRY FORM'!#REF!)</f>
        <v>#REF!</v>
      </c>
      <c r="AL35" s="199" t="e">
        <f>dgn_data[[#This Row],[order]]+dgn_data[[#This Row],[foc_order]]</f>
        <v>#REF!</v>
      </c>
    </row>
    <row r="36" spans="1:38">
      <c r="A36" s="189" t="s">
        <v>4</v>
      </c>
      <c r="B36" s="189" t="s">
        <v>135</v>
      </c>
      <c r="C36" s="189">
        <v>1</v>
      </c>
      <c r="D36" s="189" t="s">
        <v>339</v>
      </c>
      <c r="E36" s="191">
        <v>8718719850046</v>
      </c>
      <c r="F36" s="190" t="s">
        <v>345</v>
      </c>
      <c r="G36" s="189" t="s">
        <v>201</v>
      </c>
      <c r="H36" s="189" t="s">
        <v>337</v>
      </c>
      <c r="I36" s="189">
        <v>24</v>
      </c>
      <c r="J36" s="189">
        <v>64</v>
      </c>
      <c r="K36" s="189">
        <v>8</v>
      </c>
      <c r="L36" s="189">
        <v>8</v>
      </c>
      <c r="N36" s="189">
        <v>430</v>
      </c>
      <c r="O36" s="189">
        <v>300</v>
      </c>
      <c r="P36" s="189">
        <v>174</v>
      </c>
      <c r="Q36" s="189">
        <v>7.52</v>
      </c>
      <c r="R36" s="189">
        <v>8.23</v>
      </c>
      <c r="S36" s="189">
        <v>100</v>
      </c>
      <c r="T36" s="189">
        <v>0</v>
      </c>
      <c r="U36" s="189">
        <v>0</v>
      </c>
      <c r="V36" s="189">
        <v>1</v>
      </c>
      <c r="W36" s="189">
        <v>0</v>
      </c>
      <c r="X36" s="189">
        <v>0</v>
      </c>
      <c r="Y36" s="189">
        <v>0</v>
      </c>
      <c r="Z36" s="190" t="s">
        <v>342</v>
      </c>
      <c r="AB36" s="204">
        <f>ROUNDUP(dgn_data[[#This Row],[order]]/bhpc_data[[#This Row],[units_per_carton]],0)</f>
        <v>0</v>
      </c>
      <c r="AC36" s="204" t="e">
        <f>dgn_data[[#This Row],[foc_order]]/bhpc_data[[#This Row],[units_per_carton]]</f>
        <v>#REF!</v>
      </c>
      <c r="AD36" s="202" t="e">
        <f>(bhpc_data[[#This Row],[net_weight]]/bhpc_data[[#This Row],[units_per_carton]])*dgn_data[[#This Row],[tot_order]]*bhpc_data[[#This Row],[product1_weight]]</f>
        <v>#REF!</v>
      </c>
      <c r="AE36" s="209" t="e">
        <f>(bhpc_data[[#This Row],[net_weight]]/bhpc_data[[#This Row],[units_per_carton]])*dgn_data[[#This Row],[tot_order]]*bhpc_data[[#This Row],[product2_weight]]</f>
        <v>#REF!</v>
      </c>
      <c r="AF36" s="202" t="e">
        <f>(bhpc_data[[#This Row],[gross_weight]]/bhpc_data[[#This Row],[units_per_carton]])*dgn_data[[#This Row],[tot_order]]*bhpc_data[[#This Row],[product1_weight]]</f>
        <v>#REF!</v>
      </c>
      <c r="AG36" s="209" t="e">
        <f>(bhpc_data[[#This Row],[gross_weight]]/bhpc_data[[#This Row],[units_per_carton]])*dgn_data[[#This Row],[tot_order]]*bhpc_data[[#This Row],[product2_weight]]</f>
        <v>#REF!</v>
      </c>
      <c r="AH36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6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6" s="199">
        <f>SUMIF('ORDER ENTRY FORM'!$A$3:$A$60,bhpc_data[[#This Row],[sku]],'ORDER ENTRY FORM'!$C$3:$C$60)</f>
        <v>0</v>
      </c>
      <c r="AK36" s="199" t="e">
        <f>SUMIF('ORDER ENTRY FORM'!$A$3:$A$60,bhpc_data[[#This Row],[sku]],'ORDER ENTRY FORM'!#REF!)</f>
        <v>#REF!</v>
      </c>
      <c r="AL36" s="199" t="e">
        <f>dgn_data[[#This Row],[order]]+dgn_data[[#This Row],[foc_order]]</f>
        <v>#REF!</v>
      </c>
    </row>
    <row r="37" spans="1:38">
      <c r="A37" s="189" t="s">
        <v>5</v>
      </c>
      <c r="B37" s="189" t="s">
        <v>135</v>
      </c>
      <c r="C37" s="189">
        <v>1</v>
      </c>
      <c r="D37" s="189" t="s">
        <v>339</v>
      </c>
      <c r="E37" s="191">
        <v>8718719850053</v>
      </c>
      <c r="F37" s="190" t="s">
        <v>345</v>
      </c>
      <c r="G37" s="189" t="s">
        <v>202</v>
      </c>
      <c r="H37" s="189" t="s">
        <v>337</v>
      </c>
      <c r="I37" s="189">
        <v>24</v>
      </c>
      <c r="J37" s="189">
        <v>64</v>
      </c>
      <c r="K37" s="189">
        <v>8</v>
      </c>
      <c r="L37" s="189">
        <v>8</v>
      </c>
      <c r="N37" s="189">
        <v>430</v>
      </c>
      <c r="O37" s="189">
        <v>300</v>
      </c>
      <c r="P37" s="189">
        <v>174</v>
      </c>
      <c r="Q37" s="189">
        <v>7.52</v>
      </c>
      <c r="R37" s="189">
        <v>8.23</v>
      </c>
      <c r="S37" s="189">
        <v>100</v>
      </c>
      <c r="T37" s="189">
        <v>0</v>
      </c>
      <c r="U37" s="189">
        <v>0</v>
      </c>
      <c r="V37" s="189">
        <v>1</v>
      </c>
      <c r="W37" s="189">
        <v>0</v>
      </c>
      <c r="X37" s="189">
        <v>0</v>
      </c>
      <c r="Y37" s="189">
        <v>0</v>
      </c>
      <c r="Z37" s="190" t="s">
        <v>342</v>
      </c>
      <c r="AB37" s="204">
        <f>ROUNDUP(dgn_data[[#This Row],[order]]/bhpc_data[[#This Row],[units_per_carton]],0)</f>
        <v>0</v>
      </c>
      <c r="AC37" s="204" t="e">
        <f>dgn_data[[#This Row],[foc_order]]/bhpc_data[[#This Row],[units_per_carton]]</f>
        <v>#REF!</v>
      </c>
      <c r="AD37" s="202" t="e">
        <f>(bhpc_data[[#This Row],[net_weight]]/bhpc_data[[#This Row],[units_per_carton]])*dgn_data[[#This Row],[tot_order]]*bhpc_data[[#This Row],[product1_weight]]</f>
        <v>#REF!</v>
      </c>
      <c r="AE37" s="209" t="e">
        <f>(bhpc_data[[#This Row],[net_weight]]/bhpc_data[[#This Row],[units_per_carton]])*dgn_data[[#This Row],[tot_order]]*bhpc_data[[#This Row],[product2_weight]]</f>
        <v>#REF!</v>
      </c>
      <c r="AF37" s="202" t="e">
        <f>(bhpc_data[[#This Row],[gross_weight]]/bhpc_data[[#This Row],[units_per_carton]])*dgn_data[[#This Row],[tot_order]]*bhpc_data[[#This Row],[product1_weight]]</f>
        <v>#REF!</v>
      </c>
      <c r="AG37" s="209" t="e">
        <f>(bhpc_data[[#This Row],[gross_weight]]/bhpc_data[[#This Row],[units_per_carton]])*dgn_data[[#This Row],[tot_order]]*bhpc_data[[#This Row],[product2_weight]]</f>
        <v>#REF!</v>
      </c>
      <c r="AH37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7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7" s="199">
        <f>SUMIF('ORDER ENTRY FORM'!$A$3:$A$60,bhpc_data[[#This Row],[sku]],'ORDER ENTRY FORM'!$C$3:$C$60)</f>
        <v>0</v>
      </c>
      <c r="AK37" s="199" t="e">
        <f>SUMIF('ORDER ENTRY FORM'!$A$3:$A$60,bhpc_data[[#This Row],[sku]],'ORDER ENTRY FORM'!#REF!)</f>
        <v>#REF!</v>
      </c>
      <c r="AL37" s="199" t="e">
        <f>dgn_data[[#This Row],[order]]+dgn_data[[#This Row],[foc_order]]</f>
        <v>#REF!</v>
      </c>
    </row>
    <row r="38" spans="1:38">
      <c r="A38" s="189" t="s">
        <v>6</v>
      </c>
      <c r="B38" s="189" t="s">
        <v>135</v>
      </c>
      <c r="C38" s="189">
        <v>1</v>
      </c>
      <c r="D38" s="189" t="s">
        <v>339</v>
      </c>
      <c r="E38" s="191">
        <v>8718719850060</v>
      </c>
      <c r="F38" s="190" t="s">
        <v>345</v>
      </c>
      <c r="G38" s="189" t="s">
        <v>203</v>
      </c>
      <c r="H38" s="189" t="s">
        <v>337</v>
      </c>
      <c r="I38" s="189">
        <v>24</v>
      </c>
      <c r="J38" s="189">
        <v>64</v>
      </c>
      <c r="K38" s="189">
        <v>8</v>
      </c>
      <c r="L38" s="189">
        <v>8</v>
      </c>
      <c r="N38" s="189">
        <v>430</v>
      </c>
      <c r="O38" s="189">
        <v>300</v>
      </c>
      <c r="P38" s="189">
        <v>174</v>
      </c>
      <c r="Q38" s="189">
        <v>7.52</v>
      </c>
      <c r="R38" s="189">
        <v>8.23</v>
      </c>
      <c r="S38" s="189">
        <v>100</v>
      </c>
      <c r="T38" s="189">
        <v>0</v>
      </c>
      <c r="U38" s="189">
        <v>0</v>
      </c>
      <c r="V38" s="189">
        <v>1</v>
      </c>
      <c r="W38" s="189">
        <v>0</v>
      </c>
      <c r="X38" s="189">
        <v>0</v>
      </c>
      <c r="Y38" s="189">
        <v>0</v>
      </c>
      <c r="Z38" s="190" t="s">
        <v>342</v>
      </c>
      <c r="AB38" s="204">
        <f>ROUNDUP(dgn_data[[#This Row],[order]]/bhpc_data[[#This Row],[units_per_carton]],0)</f>
        <v>0</v>
      </c>
      <c r="AC38" s="204" t="e">
        <f>dgn_data[[#This Row],[foc_order]]/bhpc_data[[#This Row],[units_per_carton]]</f>
        <v>#REF!</v>
      </c>
      <c r="AD38" s="202" t="e">
        <f>(bhpc_data[[#This Row],[net_weight]]/bhpc_data[[#This Row],[units_per_carton]])*dgn_data[[#This Row],[tot_order]]*bhpc_data[[#This Row],[product1_weight]]</f>
        <v>#REF!</v>
      </c>
      <c r="AE38" s="209" t="e">
        <f>(bhpc_data[[#This Row],[net_weight]]/bhpc_data[[#This Row],[units_per_carton]])*dgn_data[[#This Row],[tot_order]]*bhpc_data[[#This Row],[product2_weight]]</f>
        <v>#REF!</v>
      </c>
      <c r="AF38" s="202" t="e">
        <f>(bhpc_data[[#This Row],[gross_weight]]/bhpc_data[[#This Row],[units_per_carton]])*dgn_data[[#This Row],[tot_order]]*bhpc_data[[#This Row],[product1_weight]]</f>
        <v>#REF!</v>
      </c>
      <c r="AG38" s="209" t="e">
        <f>(bhpc_data[[#This Row],[gross_weight]]/bhpc_data[[#This Row],[units_per_carton]])*dgn_data[[#This Row],[tot_order]]*bhpc_data[[#This Row],[product2_weight]]</f>
        <v>#REF!</v>
      </c>
      <c r="AH38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8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8" s="199">
        <f>SUMIF('ORDER ENTRY FORM'!$A$3:$A$60,bhpc_data[[#This Row],[sku]],'ORDER ENTRY FORM'!$C$3:$C$60)</f>
        <v>0</v>
      </c>
      <c r="AK38" s="199" t="e">
        <f>SUMIF('ORDER ENTRY FORM'!$A$3:$A$60,bhpc_data[[#This Row],[sku]],'ORDER ENTRY FORM'!#REF!)</f>
        <v>#REF!</v>
      </c>
      <c r="AL38" s="199" t="e">
        <f>dgn_data[[#This Row],[order]]+dgn_data[[#This Row],[foc_order]]</f>
        <v>#REF!</v>
      </c>
    </row>
    <row r="39" spans="1:38">
      <c r="A39" s="189" t="s">
        <v>7</v>
      </c>
      <c r="B39" s="189" t="s">
        <v>135</v>
      </c>
      <c r="C39" s="189">
        <v>1</v>
      </c>
      <c r="D39" s="189" t="s">
        <v>339</v>
      </c>
      <c r="E39" s="191">
        <v>8718719850077</v>
      </c>
      <c r="F39" s="190" t="s">
        <v>345</v>
      </c>
      <c r="G39" s="189" t="s">
        <v>204</v>
      </c>
      <c r="H39" s="189" t="s">
        <v>337</v>
      </c>
      <c r="I39" s="189">
        <v>24</v>
      </c>
      <c r="J39" s="189">
        <v>64</v>
      </c>
      <c r="K39" s="189">
        <v>8</v>
      </c>
      <c r="L39" s="189">
        <v>8</v>
      </c>
      <c r="N39" s="189">
        <v>430</v>
      </c>
      <c r="O39" s="189">
        <v>300</v>
      </c>
      <c r="P39" s="189">
        <v>174</v>
      </c>
      <c r="Q39" s="189">
        <v>7.52</v>
      </c>
      <c r="R39" s="189">
        <v>8.23</v>
      </c>
      <c r="S39" s="189">
        <v>100</v>
      </c>
      <c r="T39" s="189">
        <v>0</v>
      </c>
      <c r="U39" s="189">
        <v>0</v>
      </c>
      <c r="V39" s="189">
        <v>1</v>
      </c>
      <c r="W39" s="189">
        <v>0</v>
      </c>
      <c r="X39" s="189">
        <v>0</v>
      </c>
      <c r="Y39" s="189">
        <v>0</v>
      </c>
      <c r="Z39" s="190" t="s">
        <v>342</v>
      </c>
      <c r="AB39" s="204">
        <f>ROUNDUP(dgn_data[[#This Row],[order]]/bhpc_data[[#This Row],[units_per_carton]],0)</f>
        <v>0</v>
      </c>
      <c r="AC39" s="204" t="e">
        <f>dgn_data[[#This Row],[foc_order]]/bhpc_data[[#This Row],[units_per_carton]]</f>
        <v>#REF!</v>
      </c>
      <c r="AD39" s="202" t="e">
        <f>(bhpc_data[[#This Row],[net_weight]]/bhpc_data[[#This Row],[units_per_carton]])*dgn_data[[#This Row],[tot_order]]*bhpc_data[[#This Row],[product1_weight]]</f>
        <v>#REF!</v>
      </c>
      <c r="AE39" s="209" t="e">
        <f>(bhpc_data[[#This Row],[net_weight]]/bhpc_data[[#This Row],[units_per_carton]])*dgn_data[[#This Row],[tot_order]]*bhpc_data[[#This Row],[product2_weight]]</f>
        <v>#REF!</v>
      </c>
      <c r="AF39" s="202" t="e">
        <f>(bhpc_data[[#This Row],[gross_weight]]/bhpc_data[[#This Row],[units_per_carton]])*dgn_data[[#This Row],[tot_order]]*bhpc_data[[#This Row],[product1_weight]]</f>
        <v>#REF!</v>
      </c>
      <c r="AG39" s="209" t="e">
        <f>(bhpc_data[[#This Row],[gross_weight]]/bhpc_data[[#This Row],[units_per_carton]])*dgn_data[[#This Row],[tot_order]]*bhpc_data[[#This Row],[product2_weight]]</f>
        <v>#REF!</v>
      </c>
      <c r="AH39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39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39" s="199">
        <f>SUMIF('ORDER ENTRY FORM'!$A$3:$A$60,bhpc_data[[#This Row],[sku]],'ORDER ENTRY FORM'!$C$3:$C$60)</f>
        <v>0</v>
      </c>
      <c r="AK39" s="199" t="e">
        <f>SUMIF('ORDER ENTRY FORM'!$A$3:$A$60,bhpc_data[[#This Row],[sku]],'ORDER ENTRY FORM'!#REF!)</f>
        <v>#REF!</v>
      </c>
      <c r="AL39" s="199" t="e">
        <f>dgn_data[[#This Row],[order]]+dgn_data[[#This Row],[foc_order]]</f>
        <v>#REF!</v>
      </c>
    </row>
    <row r="40" spans="1:38">
      <c r="A40" s="189" t="s">
        <v>24</v>
      </c>
      <c r="B40" s="189" t="s">
        <v>135</v>
      </c>
      <c r="C40" s="189">
        <v>1</v>
      </c>
      <c r="D40" s="189" t="s">
        <v>335</v>
      </c>
      <c r="E40" s="191">
        <v>6291107162713</v>
      </c>
      <c r="F40" s="190" t="s">
        <v>345</v>
      </c>
      <c r="G40" s="189" t="s">
        <v>209</v>
      </c>
      <c r="H40" s="189" t="s">
        <v>337</v>
      </c>
      <c r="I40" s="189">
        <v>24</v>
      </c>
      <c r="J40" s="189">
        <v>64</v>
      </c>
      <c r="K40" s="189">
        <v>8</v>
      </c>
      <c r="L40" s="189">
        <v>8</v>
      </c>
      <c r="N40" s="189">
        <v>430</v>
      </c>
      <c r="O40" s="189">
        <v>300</v>
      </c>
      <c r="P40" s="189">
        <v>195</v>
      </c>
      <c r="Q40" s="189">
        <v>6.87</v>
      </c>
      <c r="R40" s="189">
        <v>7.56</v>
      </c>
      <c r="S40" s="189">
        <v>100</v>
      </c>
      <c r="T40" s="189">
        <v>0</v>
      </c>
      <c r="U40" s="189">
        <v>0</v>
      </c>
      <c r="V40" s="189">
        <v>1</v>
      </c>
      <c r="W40" s="189">
        <v>0</v>
      </c>
      <c r="X40" s="189">
        <v>0</v>
      </c>
      <c r="Y40" s="189">
        <v>0</v>
      </c>
      <c r="Z40" s="190" t="s">
        <v>342</v>
      </c>
      <c r="AB40" s="204">
        <f>ROUNDUP(dgn_data[[#This Row],[order]]/bhpc_data[[#This Row],[units_per_carton]],0)</f>
        <v>0</v>
      </c>
      <c r="AC40" s="204" t="e">
        <f>dgn_data[[#This Row],[foc_order]]/bhpc_data[[#This Row],[units_per_carton]]</f>
        <v>#REF!</v>
      </c>
      <c r="AD40" s="202" t="e">
        <f>(bhpc_data[[#This Row],[net_weight]]/bhpc_data[[#This Row],[units_per_carton]])*dgn_data[[#This Row],[tot_order]]*bhpc_data[[#This Row],[product1_weight]]</f>
        <v>#REF!</v>
      </c>
      <c r="AE40" s="209" t="e">
        <f>(bhpc_data[[#This Row],[net_weight]]/bhpc_data[[#This Row],[units_per_carton]])*dgn_data[[#This Row],[tot_order]]*bhpc_data[[#This Row],[product2_weight]]</f>
        <v>#REF!</v>
      </c>
      <c r="AF40" s="202" t="e">
        <f>(bhpc_data[[#This Row],[gross_weight]]/bhpc_data[[#This Row],[units_per_carton]])*dgn_data[[#This Row],[tot_order]]*bhpc_data[[#This Row],[product1_weight]]</f>
        <v>#REF!</v>
      </c>
      <c r="AG40" s="209" t="e">
        <f>(bhpc_data[[#This Row],[gross_weight]]/bhpc_data[[#This Row],[units_per_carton]])*dgn_data[[#This Row],[tot_order]]*bhpc_data[[#This Row],[product2_weight]]</f>
        <v>#REF!</v>
      </c>
      <c r="AH40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0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0" s="199">
        <f>SUMIF('ORDER ENTRY FORM'!$A$3:$A$60,bhpc_data[[#This Row],[sku]],'ORDER ENTRY FORM'!$C$3:$C$60)</f>
        <v>0</v>
      </c>
      <c r="AK40" s="199" t="e">
        <f>SUMIF('ORDER ENTRY FORM'!$A$3:$A$60,bhpc_data[[#This Row],[sku]],'ORDER ENTRY FORM'!#REF!)</f>
        <v>#REF!</v>
      </c>
      <c r="AL40" s="199" t="e">
        <f>dgn_data[[#This Row],[order]]+dgn_data[[#This Row],[foc_order]]</f>
        <v>#REF!</v>
      </c>
    </row>
    <row r="41" spans="1:38">
      <c r="A41" s="189" t="s">
        <v>25</v>
      </c>
      <c r="B41" s="189" t="s">
        <v>135</v>
      </c>
      <c r="C41" s="189">
        <v>1</v>
      </c>
      <c r="D41" s="189" t="s">
        <v>335</v>
      </c>
      <c r="E41" s="191">
        <v>6291107162720</v>
      </c>
      <c r="F41" s="190" t="s">
        <v>345</v>
      </c>
      <c r="G41" s="189" t="s">
        <v>210</v>
      </c>
      <c r="H41" s="189" t="s">
        <v>337</v>
      </c>
      <c r="I41" s="189">
        <v>24</v>
      </c>
      <c r="J41" s="189">
        <v>64</v>
      </c>
      <c r="K41" s="189">
        <v>8</v>
      </c>
      <c r="L41" s="189">
        <v>8</v>
      </c>
      <c r="N41" s="189">
        <v>430</v>
      </c>
      <c r="O41" s="189">
        <v>300</v>
      </c>
      <c r="P41" s="189">
        <v>195</v>
      </c>
      <c r="Q41" s="189">
        <v>6.87</v>
      </c>
      <c r="R41" s="189">
        <v>7.56</v>
      </c>
      <c r="S41" s="189">
        <v>100</v>
      </c>
      <c r="T41" s="189">
        <v>0</v>
      </c>
      <c r="U41" s="189">
        <v>0</v>
      </c>
      <c r="V41" s="189">
        <v>1</v>
      </c>
      <c r="W41" s="189">
        <v>0</v>
      </c>
      <c r="X41" s="189">
        <v>0</v>
      </c>
      <c r="Y41" s="189">
        <v>0</v>
      </c>
      <c r="Z41" s="190" t="s">
        <v>342</v>
      </c>
      <c r="AB41" s="204">
        <f>ROUNDUP(dgn_data[[#This Row],[order]]/bhpc_data[[#This Row],[units_per_carton]],0)</f>
        <v>0</v>
      </c>
      <c r="AC41" s="204" t="e">
        <f>dgn_data[[#This Row],[foc_order]]/bhpc_data[[#This Row],[units_per_carton]]</f>
        <v>#REF!</v>
      </c>
      <c r="AD41" s="202" t="e">
        <f>(bhpc_data[[#This Row],[net_weight]]/bhpc_data[[#This Row],[units_per_carton]])*dgn_data[[#This Row],[tot_order]]*bhpc_data[[#This Row],[product1_weight]]</f>
        <v>#REF!</v>
      </c>
      <c r="AE41" s="209" t="e">
        <f>(bhpc_data[[#This Row],[net_weight]]/bhpc_data[[#This Row],[units_per_carton]])*dgn_data[[#This Row],[tot_order]]*bhpc_data[[#This Row],[product2_weight]]</f>
        <v>#REF!</v>
      </c>
      <c r="AF41" s="202" t="e">
        <f>(bhpc_data[[#This Row],[gross_weight]]/bhpc_data[[#This Row],[units_per_carton]])*dgn_data[[#This Row],[tot_order]]*bhpc_data[[#This Row],[product1_weight]]</f>
        <v>#REF!</v>
      </c>
      <c r="AG41" s="209" t="e">
        <f>(bhpc_data[[#This Row],[gross_weight]]/bhpc_data[[#This Row],[units_per_carton]])*dgn_data[[#This Row],[tot_order]]*bhpc_data[[#This Row],[product2_weight]]</f>
        <v>#REF!</v>
      </c>
      <c r="AH41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1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1" s="199">
        <f>SUMIF('ORDER ENTRY FORM'!$A$3:$A$60,bhpc_data[[#This Row],[sku]],'ORDER ENTRY FORM'!$C$3:$C$60)</f>
        <v>0</v>
      </c>
      <c r="AK41" s="199" t="e">
        <f>SUMIF('ORDER ENTRY FORM'!$A$3:$A$60,bhpc_data[[#This Row],[sku]],'ORDER ENTRY FORM'!#REF!)</f>
        <v>#REF!</v>
      </c>
      <c r="AL41" s="199" t="e">
        <f>dgn_data[[#This Row],[order]]+dgn_data[[#This Row],[foc_order]]</f>
        <v>#REF!</v>
      </c>
    </row>
    <row r="42" spans="1:38">
      <c r="A42" s="189" t="s">
        <v>26</v>
      </c>
      <c r="B42" s="189" t="s">
        <v>135</v>
      </c>
      <c r="C42" s="189">
        <v>1</v>
      </c>
      <c r="D42" s="189" t="s">
        <v>335</v>
      </c>
      <c r="E42" s="191">
        <v>6291107162737</v>
      </c>
      <c r="F42" s="190" t="s">
        <v>345</v>
      </c>
      <c r="G42" s="189" t="s">
        <v>211</v>
      </c>
      <c r="H42" s="189" t="s">
        <v>337</v>
      </c>
      <c r="I42" s="189">
        <v>24</v>
      </c>
      <c r="J42" s="189">
        <v>64</v>
      </c>
      <c r="K42" s="189">
        <v>8</v>
      </c>
      <c r="L42" s="189">
        <v>8</v>
      </c>
      <c r="N42" s="189">
        <v>430</v>
      </c>
      <c r="O42" s="189">
        <v>300</v>
      </c>
      <c r="P42" s="189">
        <v>195</v>
      </c>
      <c r="Q42" s="189">
        <v>6.87</v>
      </c>
      <c r="R42" s="189">
        <v>7.56</v>
      </c>
      <c r="S42" s="189">
        <v>100</v>
      </c>
      <c r="T42" s="189">
        <v>0</v>
      </c>
      <c r="U42" s="189">
        <v>0</v>
      </c>
      <c r="V42" s="189">
        <v>1</v>
      </c>
      <c r="W42" s="189">
        <v>0</v>
      </c>
      <c r="X42" s="189">
        <v>0</v>
      </c>
      <c r="Y42" s="189">
        <v>0</v>
      </c>
      <c r="Z42" s="190" t="s">
        <v>342</v>
      </c>
      <c r="AB42" s="204">
        <f>ROUNDUP(dgn_data[[#This Row],[order]]/bhpc_data[[#This Row],[units_per_carton]],0)</f>
        <v>0</v>
      </c>
      <c r="AC42" s="204" t="e">
        <f>dgn_data[[#This Row],[foc_order]]/bhpc_data[[#This Row],[units_per_carton]]</f>
        <v>#REF!</v>
      </c>
      <c r="AD42" s="202" t="e">
        <f>(bhpc_data[[#This Row],[net_weight]]/bhpc_data[[#This Row],[units_per_carton]])*dgn_data[[#This Row],[tot_order]]*bhpc_data[[#This Row],[product1_weight]]</f>
        <v>#REF!</v>
      </c>
      <c r="AE42" s="209" t="e">
        <f>(bhpc_data[[#This Row],[net_weight]]/bhpc_data[[#This Row],[units_per_carton]])*dgn_data[[#This Row],[tot_order]]*bhpc_data[[#This Row],[product2_weight]]</f>
        <v>#REF!</v>
      </c>
      <c r="AF42" s="202" t="e">
        <f>(bhpc_data[[#This Row],[gross_weight]]/bhpc_data[[#This Row],[units_per_carton]])*dgn_data[[#This Row],[tot_order]]*bhpc_data[[#This Row],[product1_weight]]</f>
        <v>#REF!</v>
      </c>
      <c r="AG42" s="209" t="e">
        <f>(bhpc_data[[#This Row],[gross_weight]]/bhpc_data[[#This Row],[units_per_carton]])*dgn_data[[#This Row],[tot_order]]*bhpc_data[[#This Row],[product2_weight]]</f>
        <v>#REF!</v>
      </c>
      <c r="AH42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2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2" s="199">
        <f>SUMIF('ORDER ENTRY FORM'!$A$3:$A$60,bhpc_data[[#This Row],[sku]],'ORDER ENTRY FORM'!$C$3:$C$60)</f>
        <v>0</v>
      </c>
      <c r="AK42" s="199" t="e">
        <f>SUMIF('ORDER ENTRY FORM'!$A$3:$A$60,bhpc_data[[#This Row],[sku]],'ORDER ENTRY FORM'!#REF!)</f>
        <v>#REF!</v>
      </c>
      <c r="AL42" s="199" t="e">
        <f>dgn_data[[#This Row],[order]]+dgn_data[[#This Row],[foc_order]]</f>
        <v>#REF!</v>
      </c>
    </row>
    <row r="43" spans="1:38">
      <c r="A43" s="189" t="s">
        <v>27</v>
      </c>
      <c r="B43" s="189" t="s">
        <v>135</v>
      </c>
      <c r="C43" s="189">
        <v>1</v>
      </c>
      <c r="D43" s="189" t="s">
        <v>335</v>
      </c>
      <c r="E43" s="191">
        <v>6291107162744</v>
      </c>
      <c r="F43" s="190" t="s">
        <v>345</v>
      </c>
      <c r="G43" s="189" t="s">
        <v>212</v>
      </c>
      <c r="H43" s="189" t="s">
        <v>337</v>
      </c>
      <c r="I43" s="189">
        <v>24</v>
      </c>
      <c r="J43" s="189">
        <v>64</v>
      </c>
      <c r="K43" s="189">
        <v>8</v>
      </c>
      <c r="L43" s="189">
        <v>8</v>
      </c>
      <c r="N43" s="189">
        <v>430</v>
      </c>
      <c r="O43" s="189">
        <v>300</v>
      </c>
      <c r="P43" s="189">
        <v>195</v>
      </c>
      <c r="Q43" s="189">
        <v>6.87</v>
      </c>
      <c r="R43" s="189">
        <v>7.56</v>
      </c>
      <c r="S43" s="189">
        <v>100</v>
      </c>
      <c r="T43" s="189">
        <v>0</v>
      </c>
      <c r="U43" s="189">
        <v>0</v>
      </c>
      <c r="V43" s="189">
        <v>1</v>
      </c>
      <c r="W43" s="189">
        <v>0</v>
      </c>
      <c r="X43" s="189">
        <v>0</v>
      </c>
      <c r="Y43" s="189">
        <v>0</v>
      </c>
      <c r="Z43" s="190" t="s">
        <v>342</v>
      </c>
      <c r="AB43" s="204">
        <f>ROUNDUP(dgn_data[[#This Row],[order]]/bhpc_data[[#This Row],[units_per_carton]],0)</f>
        <v>0</v>
      </c>
      <c r="AC43" s="204" t="e">
        <f>dgn_data[[#This Row],[foc_order]]/bhpc_data[[#This Row],[units_per_carton]]</f>
        <v>#REF!</v>
      </c>
      <c r="AD43" s="202" t="e">
        <f>(bhpc_data[[#This Row],[net_weight]]/bhpc_data[[#This Row],[units_per_carton]])*dgn_data[[#This Row],[tot_order]]*bhpc_data[[#This Row],[product1_weight]]</f>
        <v>#REF!</v>
      </c>
      <c r="AE43" s="209" t="e">
        <f>(bhpc_data[[#This Row],[net_weight]]/bhpc_data[[#This Row],[units_per_carton]])*dgn_data[[#This Row],[tot_order]]*bhpc_data[[#This Row],[product2_weight]]</f>
        <v>#REF!</v>
      </c>
      <c r="AF43" s="202" t="e">
        <f>(bhpc_data[[#This Row],[gross_weight]]/bhpc_data[[#This Row],[units_per_carton]])*dgn_data[[#This Row],[tot_order]]*bhpc_data[[#This Row],[product1_weight]]</f>
        <v>#REF!</v>
      </c>
      <c r="AG43" s="209" t="e">
        <f>(bhpc_data[[#This Row],[gross_weight]]/bhpc_data[[#This Row],[units_per_carton]])*dgn_data[[#This Row],[tot_order]]*bhpc_data[[#This Row],[product2_weight]]</f>
        <v>#REF!</v>
      </c>
      <c r="AH43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3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3" s="199">
        <f>SUMIF('ORDER ENTRY FORM'!$A$3:$A$60,bhpc_data[[#This Row],[sku]],'ORDER ENTRY FORM'!$C$3:$C$60)</f>
        <v>0</v>
      </c>
      <c r="AK43" s="199" t="e">
        <f>SUMIF('ORDER ENTRY FORM'!$A$3:$A$60,bhpc_data[[#This Row],[sku]],'ORDER ENTRY FORM'!#REF!)</f>
        <v>#REF!</v>
      </c>
      <c r="AL43" s="199" t="e">
        <f>dgn_data[[#This Row],[order]]+dgn_data[[#This Row],[foc_order]]</f>
        <v>#REF!</v>
      </c>
    </row>
    <row r="44" spans="1:38">
      <c r="A44" s="189" t="s">
        <v>28</v>
      </c>
      <c r="B44" s="189" t="s">
        <v>134</v>
      </c>
      <c r="C44" s="189">
        <v>1</v>
      </c>
      <c r="D44" s="189" t="s">
        <v>339</v>
      </c>
      <c r="E44" s="191">
        <v>6291107160771</v>
      </c>
      <c r="F44" s="190" t="s">
        <v>345</v>
      </c>
      <c r="G44" s="189" t="s">
        <v>213</v>
      </c>
      <c r="H44" s="189" t="s">
        <v>337</v>
      </c>
      <c r="I44" s="189">
        <v>24</v>
      </c>
      <c r="J44" s="189">
        <v>48</v>
      </c>
      <c r="K44" s="189">
        <v>8</v>
      </c>
      <c r="L44" s="189">
        <v>6</v>
      </c>
      <c r="N44" s="189">
        <v>370</v>
      </c>
      <c r="O44" s="189">
        <v>275</v>
      </c>
      <c r="P44" s="189">
        <v>170</v>
      </c>
      <c r="Q44" s="189">
        <v>9.48</v>
      </c>
      <c r="R44" s="189">
        <v>9.9</v>
      </c>
      <c r="S44" s="189">
        <v>100</v>
      </c>
      <c r="T44" s="189">
        <v>0</v>
      </c>
      <c r="U44" s="189">
        <v>0</v>
      </c>
      <c r="V44" s="189">
        <v>1</v>
      </c>
      <c r="W44" s="189">
        <v>0</v>
      </c>
      <c r="X44" s="189">
        <v>0</v>
      </c>
      <c r="Y44" s="189">
        <v>0</v>
      </c>
      <c r="Z44" s="190" t="s">
        <v>342</v>
      </c>
      <c r="AB44" s="204">
        <f>ROUNDUP(dgn_data[[#This Row],[order]]/bhpc_data[[#This Row],[units_per_carton]],0)</f>
        <v>5</v>
      </c>
      <c r="AC44" s="204" t="e">
        <f>dgn_data[[#This Row],[foc_order]]/bhpc_data[[#This Row],[units_per_carton]]</f>
        <v>#REF!</v>
      </c>
      <c r="AD44" s="202" t="e">
        <f>(bhpc_data[[#This Row],[net_weight]]/bhpc_data[[#This Row],[units_per_carton]])*dgn_data[[#This Row],[tot_order]]*bhpc_data[[#This Row],[product1_weight]]</f>
        <v>#REF!</v>
      </c>
      <c r="AE44" s="209" t="e">
        <f>(bhpc_data[[#This Row],[net_weight]]/bhpc_data[[#This Row],[units_per_carton]])*dgn_data[[#This Row],[tot_order]]*bhpc_data[[#This Row],[product2_weight]]</f>
        <v>#REF!</v>
      </c>
      <c r="AF44" s="202" t="e">
        <f>(bhpc_data[[#This Row],[gross_weight]]/bhpc_data[[#This Row],[units_per_carton]])*dgn_data[[#This Row],[tot_order]]*bhpc_data[[#This Row],[product1_weight]]</f>
        <v>#REF!</v>
      </c>
      <c r="AG44" s="209" t="e">
        <f>(bhpc_data[[#This Row],[gross_weight]]/bhpc_data[[#This Row],[units_per_carton]])*dgn_data[[#This Row],[tot_order]]*bhpc_data[[#This Row],[product2_weight]]</f>
        <v>#REF!</v>
      </c>
      <c r="AH44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4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4" s="199">
        <f>SUMIF('ORDER ENTRY FORM'!$A$3:$A$60,bhpc_data[[#This Row],[sku]],'ORDER ENTRY FORM'!$C$3:$C$60)</f>
        <v>100</v>
      </c>
      <c r="AK44" s="199" t="e">
        <f>SUMIF('ORDER ENTRY FORM'!$A$3:$A$60,bhpc_data[[#This Row],[sku]],'ORDER ENTRY FORM'!#REF!)</f>
        <v>#REF!</v>
      </c>
      <c r="AL44" s="199" t="e">
        <f>dgn_data[[#This Row],[order]]+dgn_data[[#This Row],[foc_order]]</f>
        <v>#REF!</v>
      </c>
    </row>
    <row r="45" spans="1:38">
      <c r="A45" s="189" t="s">
        <v>29</v>
      </c>
      <c r="B45" s="189" t="s">
        <v>134</v>
      </c>
      <c r="C45" s="189">
        <v>1</v>
      </c>
      <c r="D45" s="189" t="s">
        <v>339</v>
      </c>
      <c r="E45" s="191">
        <v>6291107160788</v>
      </c>
      <c r="F45" s="190" t="s">
        <v>345</v>
      </c>
      <c r="G45" s="189" t="s">
        <v>214</v>
      </c>
      <c r="H45" s="189" t="s">
        <v>337</v>
      </c>
      <c r="I45" s="189">
        <v>24</v>
      </c>
      <c r="J45" s="189">
        <v>48</v>
      </c>
      <c r="K45" s="189">
        <v>8</v>
      </c>
      <c r="L45" s="189">
        <v>6</v>
      </c>
      <c r="N45" s="189">
        <v>370</v>
      </c>
      <c r="O45" s="189">
        <v>275</v>
      </c>
      <c r="P45" s="189">
        <v>170</v>
      </c>
      <c r="Q45" s="189">
        <v>9.48</v>
      </c>
      <c r="R45" s="189">
        <v>9.9</v>
      </c>
      <c r="S45" s="189">
        <v>100</v>
      </c>
      <c r="T45" s="189">
        <v>0</v>
      </c>
      <c r="U45" s="189">
        <v>0</v>
      </c>
      <c r="V45" s="189">
        <v>1</v>
      </c>
      <c r="W45" s="189">
        <v>0</v>
      </c>
      <c r="X45" s="189">
        <v>0</v>
      </c>
      <c r="Y45" s="189">
        <v>0</v>
      </c>
      <c r="Z45" s="190" t="s">
        <v>342</v>
      </c>
      <c r="AB45" s="204">
        <f>ROUNDUP(dgn_data[[#This Row],[order]]/bhpc_data[[#This Row],[units_per_carton]],0)</f>
        <v>5</v>
      </c>
      <c r="AC45" s="204" t="e">
        <f>dgn_data[[#This Row],[foc_order]]/bhpc_data[[#This Row],[units_per_carton]]</f>
        <v>#REF!</v>
      </c>
      <c r="AD45" s="202" t="e">
        <f>(bhpc_data[[#This Row],[net_weight]]/bhpc_data[[#This Row],[units_per_carton]])*dgn_data[[#This Row],[tot_order]]*bhpc_data[[#This Row],[product1_weight]]</f>
        <v>#REF!</v>
      </c>
      <c r="AE45" s="209" t="e">
        <f>(bhpc_data[[#This Row],[net_weight]]/bhpc_data[[#This Row],[units_per_carton]])*dgn_data[[#This Row],[tot_order]]*bhpc_data[[#This Row],[product2_weight]]</f>
        <v>#REF!</v>
      </c>
      <c r="AF45" s="202" t="e">
        <f>(bhpc_data[[#This Row],[gross_weight]]/bhpc_data[[#This Row],[units_per_carton]])*dgn_data[[#This Row],[tot_order]]*bhpc_data[[#This Row],[product1_weight]]</f>
        <v>#REF!</v>
      </c>
      <c r="AG45" s="209" t="e">
        <f>(bhpc_data[[#This Row],[gross_weight]]/bhpc_data[[#This Row],[units_per_carton]])*dgn_data[[#This Row],[tot_order]]*bhpc_data[[#This Row],[product2_weight]]</f>
        <v>#REF!</v>
      </c>
      <c r="AH45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5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5" s="199">
        <f>SUMIF('ORDER ENTRY FORM'!$A$3:$A$60,bhpc_data[[#This Row],[sku]],'ORDER ENTRY FORM'!$C$3:$C$60)</f>
        <v>100</v>
      </c>
      <c r="AK45" s="199" t="e">
        <f>SUMIF('ORDER ENTRY FORM'!$A$3:$A$60,bhpc_data[[#This Row],[sku]],'ORDER ENTRY FORM'!#REF!)</f>
        <v>#REF!</v>
      </c>
      <c r="AL45" s="199" t="e">
        <f>dgn_data[[#This Row],[order]]+dgn_data[[#This Row],[foc_order]]</f>
        <v>#REF!</v>
      </c>
    </row>
    <row r="46" spans="1:38">
      <c r="A46" s="189" t="s">
        <v>30</v>
      </c>
      <c r="B46" s="189" t="s">
        <v>134</v>
      </c>
      <c r="C46" s="189">
        <v>1</v>
      </c>
      <c r="D46" s="189" t="s">
        <v>339</v>
      </c>
      <c r="E46" s="191">
        <v>6291107160795</v>
      </c>
      <c r="F46" s="190" t="s">
        <v>345</v>
      </c>
      <c r="G46" s="189" t="s">
        <v>215</v>
      </c>
      <c r="H46" s="189" t="s">
        <v>337</v>
      </c>
      <c r="I46" s="189">
        <v>24</v>
      </c>
      <c r="J46" s="189">
        <v>48</v>
      </c>
      <c r="K46" s="189">
        <v>8</v>
      </c>
      <c r="L46" s="189">
        <v>6</v>
      </c>
      <c r="N46" s="189">
        <v>370</v>
      </c>
      <c r="O46" s="189">
        <v>275</v>
      </c>
      <c r="P46" s="189">
        <v>170</v>
      </c>
      <c r="Q46" s="189">
        <v>9.48</v>
      </c>
      <c r="R46" s="189">
        <v>9.9</v>
      </c>
      <c r="S46" s="189">
        <v>100</v>
      </c>
      <c r="T46" s="189">
        <v>0</v>
      </c>
      <c r="U46" s="189">
        <v>0</v>
      </c>
      <c r="V46" s="189">
        <v>1</v>
      </c>
      <c r="W46" s="189">
        <v>0</v>
      </c>
      <c r="X46" s="189">
        <v>0</v>
      </c>
      <c r="Y46" s="189">
        <v>0</v>
      </c>
      <c r="Z46" s="190" t="s">
        <v>342</v>
      </c>
      <c r="AB46" s="204">
        <f>ROUNDUP(dgn_data[[#This Row],[order]]/bhpc_data[[#This Row],[units_per_carton]],0)</f>
        <v>5</v>
      </c>
      <c r="AC46" s="204" t="e">
        <f>dgn_data[[#This Row],[foc_order]]/bhpc_data[[#This Row],[units_per_carton]]</f>
        <v>#REF!</v>
      </c>
      <c r="AD46" s="202" t="e">
        <f>(bhpc_data[[#This Row],[net_weight]]/bhpc_data[[#This Row],[units_per_carton]])*dgn_data[[#This Row],[tot_order]]*bhpc_data[[#This Row],[product1_weight]]</f>
        <v>#REF!</v>
      </c>
      <c r="AE46" s="209" t="e">
        <f>(bhpc_data[[#This Row],[net_weight]]/bhpc_data[[#This Row],[units_per_carton]])*dgn_data[[#This Row],[tot_order]]*bhpc_data[[#This Row],[product2_weight]]</f>
        <v>#REF!</v>
      </c>
      <c r="AF46" s="202" t="e">
        <f>(bhpc_data[[#This Row],[gross_weight]]/bhpc_data[[#This Row],[units_per_carton]])*dgn_data[[#This Row],[tot_order]]*bhpc_data[[#This Row],[product1_weight]]</f>
        <v>#REF!</v>
      </c>
      <c r="AG46" s="209" t="e">
        <f>(bhpc_data[[#This Row],[gross_weight]]/bhpc_data[[#This Row],[units_per_carton]])*dgn_data[[#This Row],[tot_order]]*bhpc_data[[#This Row],[product2_weight]]</f>
        <v>#REF!</v>
      </c>
      <c r="AH46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6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6" s="199">
        <f>SUMIF('ORDER ENTRY FORM'!$A$3:$A$60,bhpc_data[[#This Row],[sku]],'ORDER ENTRY FORM'!$C$3:$C$60)</f>
        <v>100</v>
      </c>
      <c r="AK46" s="199" t="e">
        <f>SUMIF('ORDER ENTRY FORM'!$A$3:$A$60,bhpc_data[[#This Row],[sku]],'ORDER ENTRY FORM'!#REF!)</f>
        <v>#REF!</v>
      </c>
      <c r="AL46" s="199" t="e">
        <f>dgn_data[[#This Row],[order]]+dgn_data[[#This Row],[foc_order]]</f>
        <v>#REF!</v>
      </c>
    </row>
    <row r="47" spans="1:38">
      <c r="A47" s="189" t="s">
        <v>31</v>
      </c>
      <c r="B47" s="189" t="s">
        <v>134</v>
      </c>
      <c r="C47" s="189">
        <v>1</v>
      </c>
      <c r="D47" s="189" t="s">
        <v>339</v>
      </c>
      <c r="E47" s="191">
        <v>6291107160801</v>
      </c>
      <c r="F47" s="190" t="s">
        <v>345</v>
      </c>
      <c r="G47" s="189" t="s">
        <v>216</v>
      </c>
      <c r="H47" s="189" t="s">
        <v>337</v>
      </c>
      <c r="I47" s="189">
        <v>24</v>
      </c>
      <c r="J47" s="189">
        <v>48</v>
      </c>
      <c r="K47" s="189">
        <v>8</v>
      </c>
      <c r="L47" s="189">
        <v>6</v>
      </c>
      <c r="N47" s="189">
        <v>370</v>
      </c>
      <c r="O47" s="189">
        <v>275</v>
      </c>
      <c r="P47" s="189">
        <v>170</v>
      </c>
      <c r="Q47" s="189">
        <v>9.48</v>
      </c>
      <c r="R47" s="189">
        <v>9.9</v>
      </c>
      <c r="S47" s="189">
        <v>100</v>
      </c>
      <c r="T47" s="189">
        <v>0</v>
      </c>
      <c r="U47" s="189">
        <v>0</v>
      </c>
      <c r="V47" s="189">
        <v>1</v>
      </c>
      <c r="W47" s="189">
        <v>0</v>
      </c>
      <c r="X47" s="189">
        <v>0</v>
      </c>
      <c r="Y47" s="189">
        <v>0</v>
      </c>
      <c r="Z47" s="190" t="s">
        <v>342</v>
      </c>
      <c r="AB47" s="204">
        <f>ROUNDUP(dgn_data[[#This Row],[order]]/bhpc_data[[#This Row],[units_per_carton]],0)</f>
        <v>5</v>
      </c>
      <c r="AC47" s="204" t="e">
        <f>dgn_data[[#This Row],[foc_order]]/bhpc_data[[#This Row],[units_per_carton]]</f>
        <v>#REF!</v>
      </c>
      <c r="AD47" s="202" t="e">
        <f>(bhpc_data[[#This Row],[net_weight]]/bhpc_data[[#This Row],[units_per_carton]])*dgn_data[[#This Row],[tot_order]]*bhpc_data[[#This Row],[product1_weight]]</f>
        <v>#REF!</v>
      </c>
      <c r="AE47" s="209" t="e">
        <f>(bhpc_data[[#This Row],[net_weight]]/bhpc_data[[#This Row],[units_per_carton]])*dgn_data[[#This Row],[tot_order]]*bhpc_data[[#This Row],[product2_weight]]</f>
        <v>#REF!</v>
      </c>
      <c r="AF47" s="202" t="e">
        <f>(bhpc_data[[#This Row],[gross_weight]]/bhpc_data[[#This Row],[units_per_carton]])*dgn_data[[#This Row],[tot_order]]*bhpc_data[[#This Row],[product1_weight]]</f>
        <v>#REF!</v>
      </c>
      <c r="AG47" s="209" t="e">
        <f>(bhpc_data[[#This Row],[gross_weight]]/bhpc_data[[#This Row],[units_per_carton]])*dgn_data[[#This Row],[tot_order]]*bhpc_data[[#This Row],[product2_weight]]</f>
        <v>#REF!</v>
      </c>
      <c r="AH47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7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7" s="199">
        <f>SUMIF('ORDER ENTRY FORM'!$A$3:$A$60,bhpc_data[[#This Row],[sku]],'ORDER ENTRY FORM'!$C$3:$C$60)</f>
        <v>100</v>
      </c>
      <c r="AK47" s="199" t="e">
        <f>SUMIF('ORDER ENTRY FORM'!$A$3:$A$60,bhpc_data[[#This Row],[sku]],'ORDER ENTRY FORM'!#REF!)</f>
        <v>#REF!</v>
      </c>
      <c r="AL47" s="199" t="e">
        <f>dgn_data[[#This Row],[order]]+dgn_data[[#This Row],[foc_order]]</f>
        <v>#REF!</v>
      </c>
    </row>
    <row r="48" spans="1:38">
      <c r="A48" s="189" t="s">
        <v>32</v>
      </c>
      <c r="B48" s="189" t="s">
        <v>134</v>
      </c>
      <c r="C48" s="189">
        <v>1</v>
      </c>
      <c r="D48" s="189" t="s">
        <v>335</v>
      </c>
      <c r="E48" s="191">
        <v>6291107160825</v>
      </c>
      <c r="F48" s="190" t="s">
        <v>345</v>
      </c>
      <c r="G48" s="189" t="s">
        <v>217</v>
      </c>
      <c r="H48" s="189" t="s">
        <v>337</v>
      </c>
      <c r="I48" s="189">
        <v>24</v>
      </c>
      <c r="J48" s="189">
        <v>48</v>
      </c>
      <c r="K48" s="189">
        <v>8</v>
      </c>
      <c r="L48" s="189">
        <v>6</v>
      </c>
      <c r="N48" s="189">
        <v>375</v>
      </c>
      <c r="O48" s="189">
        <v>275</v>
      </c>
      <c r="P48" s="189">
        <v>170</v>
      </c>
      <c r="Q48" s="189">
        <v>9.1199999999999992</v>
      </c>
      <c r="R48" s="189">
        <v>9.5</v>
      </c>
      <c r="S48" s="189">
        <v>100</v>
      </c>
      <c r="T48" s="189">
        <v>0</v>
      </c>
      <c r="U48" s="189">
        <v>0</v>
      </c>
      <c r="V48" s="189">
        <v>1</v>
      </c>
      <c r="W48" s="189">
        <v>0</v>
      </c>
      <c r="X48" s="189">
        <v>0</v>
      </c>
      <c r="Y48" s="189">
        <v>0</v>
      </c>
      <c r="Z48" s="190" t="s">
        <v>342</v>
      </c>
      <c r="AB48" s="204">
        <f>ROUNDUP(dgn_data[[#This Row],[order]]/bhpc_data[[#This Row],[units_per_carton]],0)</f>
        <v>0</v>
      </c>
      <c r="AC48" s="204" t="e">
        <f>dgn_data[[#This Row],[foc_order]]/bhpc_data[[#This Row],[units_per_carton]]</f>
        <v>#REF!</v>
      </c>
      <c r="AD48" s="202" t="e">
        <f>(bhpc_data[[#This Row],[net_weight]]/bhpc_data[[#This Row],[units_per_carton]])*dgn_data[[#This Row],[tot_order]]*bhpc_data[[#This Row],[product1_weight]]</f>
        <v>#REF!</v>
      </c>
      <c r="AE48" s="209" t="e">
        <f>(bhpc_data[[#This Row],[net_weight]]/bhpc_data[[#This Row],[units_per_carton]])*dgn_data[[#This Row],[tot_order]]*bhpc_data[[#This Row],[product2_weight]]</f>
        <v>#REF!</v>
      </c>
      <c r="AF48" s="202" t="e">
        <f>(bhpc_data[[#This Row],[gross_weight]]/bhpc_data[[#This Row],[units_per_carton]])*dgn_data[[#This Row],[tot_order]]*bhpc_data[[#This Row],[product1_weight]]</f>
        <v>#REF!</v>
      </c>
      <c r="AG48" s="209" t="e">
        <f>(bhpc_data[[#This Row],[gross_weight]]/bhpc_data[[#This Row],[units_per_carton]])*dgn_data[[#This Row],[tot_order]]*bhpc_data[[#This Row],[product2_weight]]</f>
        <v>#REF!</v>
      </c>
      <c r="AH48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8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8" s="199">
        <f>SUMIF('ORDER ENTRY FORM'!$A$3:$A$60,bhpc_data[[#This Row],[sku]],'ORDER ENTRY FORM'!$C$3:$C$60)</f>
        <v>0</v>
      </c>
      <c r="AK48" s="199" t="e">
        <f>SUMIF('ORDER ENTRY FORM'!$A$3:$A$60,bhpc_data[[#This Row],[sku]],'ORDER ENTRY FORM'!#REF!)</f>
        <v>#REF!</v>
      </c>
      <c r="AL48" s="199" t="e">
        <f>dgn_data[[#This Row],[order]]+dgn_data[[#This Row],[foc_order]]</f>
        <v>#REF!</v>
      </c>
    </row>
    <row r="49" spans="1:38">
      <c r="A49" s="189" t="s">
        <v>33</v>
      </c>
      <c r="B49" s="189" t="s">
        <v>134</v>
      </c>
      <c r="C49" s="189">
        <v>1</v>
      </c>
      <c r="D49" s="189" t="s">
        <v>335</v>
      </c>
      <c r="E49" s="191">
        <v>6291107160818</v>
      </c>
      <c r="F49" s="190" t="s">
        <v>345</v>
      </c>
      <c r="G49" s="189" t="s">
        <v>218</v>
      </c>
      <c r="H49" s="189" t="s">
        <v>337</v>
      </c>
      <c r="I49" s="189">
        <v>24</v>
      </c>
      <c r="J49" s="189">
        <v>48</v>
      </c>
      <c r="K49" s="189">
        <v>8</v>
      </c>
      <c r="L49" s="189">
        <v>6</v>
      </c>
      <c r="N49" s="189">
        <v>375</v>
      </c>
      <c r="O49" s="189">
        <v>275</v>
      </c>
      <c r="P49" s="189">
        <v>170</v>
      </c>
      <c r="Q49" s="189">
        <v>9.1199999999999992</v>
      </c>
      <c r="R49" s="189">
        <v>9.5</v>
      </c>
      <c r="S49" s="189">
        <v>100</v>
      </c>
      <c r="T49" s="189">
        <v>0</v>
      </c>
      <c r="U49" s="189">
        <v>0</v>
      </c>
      <c r="V49" s="189">
        <v>1</v>
      </c>
      <c r="W49" s="189">
        <v>0</v>
      </c>
      <c r="X49" s="189">
        <v>0</v>
      </c>
      <c r="Y49" s="189">
        <v>0</v>
      </c>
      <c r="Z49" s="190" t="s">
        <v>342</v>
      </c>
      <c r="AB49" s="204">
        <f>ROUNDUP(dgn_data[[#This Row],[order]]/bhpc_data[[#This Row],[units_per_carton]],0)</f>
        <v>0</v>
      </c>
      <c r="AC49" s="204" t="e">
        <f>dgn_data[[#This Row],[foc_order]]/bhpc_data[[#This Row],[units_per_carton]]</f>
        <v>#REF!</v>
      </c>
      <c r="AD49" s="202" t="e">
        <f>(bhpc_data[[#This Row],[net_weight]]/bhpc_data[[#This Row],[units_per_carton]])*dgn_data[[#This Row],[tot_order]]*bhpc_data[[#This Row],[product1_weight]]</f>
        <v>#REF!</v>
      </c>
      <c r="AE49" s="209" t="e">
        <f>(bhpc_data[[#This Row],[net_weight]]/bhpc_data[[#This Row],[units_per_carton]])*dgn_data[[#This Row],[tot_order]]*bhpc_data[[#This Row],[product2_weight]]</f>
        <v>#REF!</v>
      </c>
      <c r="AF49" s="202" t="e">
        <f>(bhpc_data[[#This Row],[gross_weight]]/bhpc_data[[#This Row],[units_per_carton]])*dgn_data[[#This Row],[tot_order]]*bhpc_data[[#This Row],[product1_weight]]</f>
        <v>#REF!</v>
      </c>
      <c r="AG49" s="209" t="e">
        <f>(bhpc_data[[#This Row],[gross_weight]]/bhpc_data[[#This Row],[units_per_carton]])*dgn_data[[#This Row],[tot_order]]*bhpc_data[[#This Row],[product2_weight]]</f>
        <v>#REF!</v>
      </c>
      <c r="AH49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49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49" s="199">
        <f>SUMIF('ORDER ENTRY FORM'!$A$3:$A$60,bhpc_data[[#This Row],[sku]],'ORDER ENTRY FORM'!$C$3:$C$60)</f>
        <v>0</v>
      </c>
      <c r="AK49" s="199" t="e">
        <f>SUMIF('ORDER ENTRY FORM'!$A$3:$A$60,bhpc_data[[#This Row],[sku]],'ORDER ENTRY FORM'!#REF!)</f>
        <v>#REF!</v>
      </c>
      <c r="AL49" s="199" t="e">
        <f>dgn_data[[#This Row],[order]]+dgn_data[[#This Row],[foc_order]]</f>
        <v>#REF!</v>
      </c>
    </row>
    <row r="50" spans="1:38">
      <c r="A50" s="189" t="s">
        <v>34</v>
      </c>
      <c r="B50" s="189" t="s">
        <v>134</v>
      </c>
      <c r="C50" s="189">
        <v>1</v>
      </c>
      <c r="D50" s="189" t="s">
        <v>335</v>
      </c>
      <c r="E50" s="191">
        <v>6291107162171</v>
      </c>
      <c r="F50" s="190" t="s">
        <v>345</v>
      </c>
      <c r="G50" s="189" t="s">
        <v>219</v>
      </c>
      <c r="H50" s="189" t="s">
        <v>337</v>
      </c>
      <c r="I50" s="189">
        <v>24</v>
      </c>
      <c r="J50" s="189">
        <v>48</v>
      </c>
      <c r="K50" s="189">
        <v>8</v>
      </c>
      <c r="L50" s="189">
        <v>6</v>
      </c>
      <c r="N50" s="189">
        <v>375</v>
      </c>
      <c r="O50" s="189">
        <v>275</v>
      </c>
      <c r="P50" s="189">
        <v>170</v>
      </c>
      <c r="Q50" s="189">
        <v>9.1199999999999992</v>
      </c>
      <c r="R50" s="189">
        <v>9.5</v>
      </c>
      <c r="S50" s="189">
        <v>100</v>
      </c>
      <c r="T50" s="189">
        <v>0</v>
      </c>
      <c r="U50" s="189">
        <v>0</v>
      </c>
      <c r="V50" s="189">
        <v>1</v>
      </c>
      <c r="W50" s="189">
        <v>0</v>
      </c>
      <c r="X50" s="189">
        <v>0</v>
      </c>
      <c r="Y50" s="189">
        <v>0</v>
      </c>
      <c r="Z50" s="190" t="s">
        <v>342</v>
      </c>
      <c r="AB50" s="204">
        <f>ROUNDUP(dgn_data[[#This Row],[order]]/bhpc_data[[#This Row],[units_per_carton]],0)</f>
        <v>0</v>
      </c>
      <c r="AC50" s="204" t="e">
        <f>dgn_data[[#This Row],[foc_order]]/bhpc_data[[#This Row],[units_per_carton]]</f>
        <v>#REF!</v>
      </c>
      <c r="AD50" s="202" t="e">
        <f>(bhpc_data[[#This Row],[net_weight]]/bhpc_data[[#This Row],[units_per_carton]])*dgn_data[[#This Row],[tot_order]]*bhpc_data[[#This Row],[product1_weight]]</f>
        <v>#REF!</v>
      </c>
      <c r="AE50" s="209" t="e">
        <f>(bhpc_data[[#This Row],[net_weight]]/bhpc_data[[#This Row],[units_per_carton]])*dgn_data[[#This Row],[tot_order]]*bhpc_data[[#This Row],[product2_weight]]</f>
        <v>#REF!</v>
      </c>
      <c r="AF50" s="202" t="e">
        <f>(bhpc_data[[#This Row],[gross_weight]]/bhpc_data[[#This Row],[units_per_carton]])*dgn_data[[#This Row],[tot_order]]*bhpc_data[[#This Row],[product1_weight]]</f>
        <v>#REF!</v>
      </c>
      <c r="AG50" s="209" t="e">
        <f>(bhpc_data[[#This Row],[gross_weight]]/bhpc_data[[#This Row],[units_per_carton]])*dgn_data[[#This Row],[tot_order]]*bhpc_data[[#This Row],[product2_weight]]</f>
        <v>#REF!</v>
      </c>
      <c r="AH50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0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0" s="199">
        <f>SUMIF('ORDER ENTRY FORM'!$A$3:$A$60,bhpc_data[[#This Row],[sku]],'ORDER ENTRY FORM'!$C$3:$C$60)</f>
        <v>0</v>
      </c>
      <c r="AK50" s="199" t="e">
        <f>SUMIF('ORDER ENTRY FORM'!$A$3:$A$60,bhpc_data[[#This Row],[sku]],'ORDER ENTRY FORM'!#REF!)</f>
        <v>#REF!</v>
      </c>
      <c r="AL50" s="199" t="e">
        <f>dgn_data[[#This Row],[order]]+dgn_data[[#This Row],[foc_order]]</f>
        <v>#REF!</v>
      </c>
    </row>
    <row r="51" spans="1:38">
      <c r="A51" s="189" t="s">
        <v>35</v>
      </c>
      <c r="B51" s="189" t="s">
        <v>134</v>
      </c>
      <c r="C51" s="189">
        <v>1</v>
      </c>
      <c r="D51" s="189" t="s">
        <v>335</v>
      </c>
      <c r="E51" s="191">
        <v>6291107162188</v>
      </c>
      <c r="F51" s="190" t="s">
        <v>345</v>
      </c>
      <c r="G51" s="189" t="s">
        <v>220</v>
      </c>
      <c r="H51" s="189" t="s">
        <v>337</v>
      </c>
      <c r="I51" s="189">
        <v>24</v>
      </c>
      <c r="J51" s="189">
        <v>48</v>
      </c>
      <c r="K51" s="189">
        <v>8</v>
      </c>
      <c r="L51" s="189">
        <v>6</v>
      </c>
      <c r="N51" s="189">
        <v>375</v>
      </c>
      <c r="O51" s="189">
        <v>275</v>
      </c>
      <c r="P51" s="189">
        <v>170</v>
      </c>
      <c r="Q51" s="189">
        <v>9.1199999999999992</v>
      </c>
      <c r="R51" s="189">
        <v>9.5</v>
      </c>
      <c r="S51" s="189">
        <v>100</v>
      </c>
      <c r="T51" s="189">
        <v>0</v>
      </c>
      <c r="U51" s="189">
        <v>0</v>
      </c>
      <c r="V51" s="189">
        <v>1</v>
      </c>
      <c r="W51" s="189">
        <v>0</v>
      </c>
      <c r="X51" s="189">
        <v>0</v>
      </c>
      <c r="Y51" s="189">
        <v>0</v>
      </c>
      <c r="Z51" s="190" t="s">
        <v>342</v>
      </c>
      <c r="AB51" s="204">
        <f>ROUNDUP(dgn_data[[#This Row],[order]]/bhpc_data[[#This Row],[units_per_carton]],0)</f>
        <v>0</v>
      </c>
      <c r="AC51" s="204" t="e">
        <f>dgn_data[[#This Row],[foc_order]]/bhpc_data[[#This Row],[units_per_carton]]</f>
        <v>#REF!</v>
      </c>
      <c r="AD51" s="202" t="e">
        <f>(bhpc_data[[#This Row],[net_weight]]/bhpc_data[[#This Row],[units_per_carton]])*dgn_data[[#This Row],[tot_order]]*bhpc_data[[#This Row],[product1_weight]]</f>
        <v>#REF!</v>
      </c>
      <c r="AE51" s="209" t="e">
        <f>(bhpc_data[[#This Row],[net_weight]]/bhpc_data[[#This Row],[units_per_carton]])*dgn_data[[#This Row],[tot_order]]*bhpc_data[[#This Row],[product2_weight]]</f>
        <v>#REF!</v>
      </c>
      <c r="AF51" s="202" t="e">
        <f>(bhpc_data[[#This Row],[gross_weight]]/bhpc_data[[#This Row],[units_per_carton]])*dgn_data[[#This Row],[tot_order]]*bhpc_data[[#This Row],[product1_weight]]</f>
        <v>#REF!</v>
      </c>
      <c r="AG51" s="209" t="e">
        <f>(bhpc_data[[#This Row],[gross_weight]]/bhpc_data[[#This Row],[units_per_carton]])*dgn_data[[#This Row],[tot_order]]*bhpc_data[[#This Row],[product2_weight]]</f>
        <v>#REF!</v>
      </c>
      <c r="AH51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1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1" s="199">
        <f>SUMIF('ORDER ENTRY FORM'!$A$3:$A$60,bhpc_data[[#This Row],[sku]],'ORDER ENTRY FORM'!$C$3:$C$60)</f>
        <v>0</v>
      </c>
      <c r="AK51" s="199" t="e">
        <f>SUMIF('ORDER ENTRY FORM'!$A$3:$A$60,bhpc_data[[#This Row],[sku]],'ORDER ENTRY FORM'!#REF!)</f>
        <v>#REF!</v>
      </c>
      <c r="AL51" s="199" t="e">
        <f>dgn_data[[#This Row],[order]]+dgn_data[[#This Row],[foc_order]]</f>
        <v>#REF!</v>
      </c>
    </row>
    <row r="52" spans="1:38">
      <c r="A52" s="189" t="s">
        <v>36</v>
      </c>
      <c r="B52" s="189" t="s">
        <v>221</v>
      </c>
      <c r="C52" s="189">
        <v>1</v>
      </c>
      <c r="D52" s="189" t="s">
        <v>339</v>
      </c>
      <c r="E52" s="191"/>
      <c r="F52" s="190" t="s">
        <v>345</v>
      </c>
      <c r="G52" s="189" t="s">
        <v>222</v>
      </c>
      <c r="H52" s="189" t="s">
        <v>337</v>
      </c>
      <c r="I52" s="189">
        <v>24</v>
      </c>
      <c r="J52" s="189">
        <v>48</v>
      </c>
      <c r="K52" s="189">
        <v>8</v>
      </c>
      <c r="L52" s="189">
        <v>6</v>
      </c>
      <c r="N52" s="189">
        <v>375</v>
      </c>
      <c r="O52" s="189">
        <v>275</v>
      </c>
      <c r="P52" s="189">
        <v>170</v>
      </c>
      <c r="Q52" s="189">
        <v>9.1199999999999992</v>
      </c>
      <c r="R52" s="189">
        <v>9.5</v>
      </c>
      <c r="S52" s="189">
        <v>100</v>
      </c>
      <c r="T52" s="189">
        <v>0</v>
      </c>
      <c r="U52" s="189">
        <v>0</v>
      </c>
      <c r="V52" s="189">
        <v>1</v>
      </c>
      <c r="W52" s="189">
        <v>0</v>
      </c>
      <c r="X52" s="189">
        <v>0</v>
      </c>
      <c r="Y52" s="189">
        <v>0</v>
      </c>
      <c r="Z52" s="190" t="s">
        <v>342</v>
      </c>
      <c r="AB52" s="204">
        <f>ROUNDUP(dgn_data[[#This Row],[order]]/bhpc_data[[#This Row],[units_per_carton]],0)</f>
        <v>0</v>
      </c>
      <c r="AC52" s="204" t="e">
        <f>dgn_data[[#This Row],[foc_order]]/bhpc_data[[#This Row],[units_per_carton]]</f>
        <v>#REF!</v>
      </c>
      <c r="AD52" s="202" t="e">
        <f>(bhpc_data[[#This Row],[net_weight]]/bhpc_data[[#This Row],[units_per_carton]])*dgn_data[[#This Row],[tot_order]]*bhpc_data[[#This Row],[product1_weight]]</f>
        <v>#REF!</v>
      </c>
      <c r="AE52" s="209" t="e">
        <f>(bhpc_data[[#This Row],[net_weight]]/bhpc_data[[#This Row],[units_per_carton]])*dgn_data[[#This Row],[tot_order]]*bhpc_data[[#This Row],[product2_weight]]</f>
        <v>#REF!</v>
      </c>
      <c r="AF52" s="202" t="e">
        <f>(bhpc_data[[#This Row],[gross_weight]]/bhpc_data[[#This Row],[units_per_carton]])*dgn_data[[#This Row],[tot_order]]*bhpc_data[[#This Row],[product1_weight]]</f>
        <v>#REF!</v>
      </c>
      <c r="AG52" s="209" t="e">
        <f>(bhpc_data[[#This Row],[gross_weight]]/bhpc_data[[#This Row],[units_per_carton]])*dgn_data[[#This Row],[tot_order]]*bhpc_data[[#This Row],[product2_weight]]</f>
        <v>#REF!</v>
      </c>
      <c r="AH52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2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2" s="199">
        <f>SUMIF('ORDER ENTRY FORM'!$A$3:$A$60,bhpc_data[[#This Row],[sku]],'ORDER ENTRY FORM'!$C$3:$C$60)</f>
        <v>0</v>
      </c>
      <c r="AK52" s="199" t="e">
        <f>SUMIF('ORDER ENTRY FORM'!$A$3:$A$60,bhpc_data[[#This Row],[sku]],'ORDER ENTRY FORM'!#REF!)</f>
        <v>#REF!</v>
      </c>
      <c r="AL52" s="199" t="e">
        <f>dgn_data[[#This Row],[order]]+dgn_data[[#This Row],[foc_order]]</f>
        <v>#REF!</v>
      </c>
    </row>
    <row r="53" spans="1:38">
      <c r="A53" s="189" t="s">
        <v>37</v>
      </c>
      <c r="B53" s="189" t="s">
        <v>221</v>
      </c>
      <c r="C53" s="189">
        <v>1</v>
      </c>
      <c r="D53" s="189" t="s">
        <v>339</v>
      </c>
      <c r="E53" s="191"/>
      <c r="F53" s="190" t="s">
        <v>345</v>
      </c>
      <c r="G53" s="189" t="s">
        <v>223</v>
      </c>
      <c r="H53" s="189" t="s">
        <v>337</v>
      </c>
      <c r="I53" s="189">
        <v>24</v>
      </c>
      <c r="J53" s="189">
        <v>48</v>
      </c>
      <c r="K53" s="189">
        <v>8</v>
      </c>
      <c r="L53" s="189">
        <v>6</v>
      </c>
      <c r="N53" s="189">
        <v>375</v>
      </c>
      <c r="O53" s="189">
        <v>275</v>
      </c>
      <c r="P53" s="189">
        <v>170</v>
      </c>
      <c r="Q53" s="189">
        <v>9.1199999999999992</v>
      </c>
      <c r="R53" s="189">
        <v>9.5</v>
      </c>
      <c r="S53" s="189">
        <v>100</v>
      </c>
      <c r="T53" s="189">
        <v>0</v>
      </c>
      <c r="U53" s="189">
        <v>0</v>
      </c>
      <c r="V53" s="189">
        <v>1</v>
      </c>
      <c r="W53" s="189">
        <v>0</v>
      </c>
      <c r="X53" s="189">
        <v>0</v>
      </c>
      <c r="Y53" s="189">
        <v>0</v>
      </c>
      <c r="Z53" s="190" t="s">
        <v>342</v>
      </c>
      <c r="AB53" s="204">
        <f>ROUNDUP(dgn_data[[#This Row],[order]]/bhpc_data[[#This Row],[units_per_carton]],0)</f>
        <v>0</v>
      </c>
      <c r="AC53" s="204" t="e">
        <f>dgn_data[[#This Row],[foc_order]]/bhpc_data[[#This Row],[units_per_carton]]</f>
        <v>#REF!</v>
      </c>
      <c r="AD53" s="202" t="e">
        <f>(bhpc_data[[#This Row],[net_weight]]/bhpc_data[[#This Row],[units_per_carton]])*dgn_data[[#This Row],[tot_order]]*bhpc_data[[#This Row],[product1_weight]]</f>
        <v>#REF!</v>
      </c>
      <c r="AE53" s="209" t="e">
        <f>(bhpc_data[[#This Row],[net_weight]]/bhpc_data[[#This Row],[units_per_carton]])*dgn_data[[#This Row],[tot_order]]*bhpc_data[[#This Row],[product2_weight]]</f>
        <v>#REF!</v>
      </c>
      <c r="AF53" s="202" t="e">
        <f>(bhpc_data[[#This Row],[gross_weight]]/bhpc_data[[#This Row],[units_per_carton]])*dgn_data[[#This Row],[tot_order]]*bhpc_data[[#This Row],[product1_weight]]</f>
        <v>#REF!</v>
      </c>
      <c r="AG53" s="209" t="e">
        <f>(bhpc_data[[#This Row],[gross_weight]]/bhpc_data[[#This Row],[units_per_carton]])*dgn_data[[#This Row],[tot_order]]*bhpc_data[[#This Row],[product2_weight]]</f>
        <v>#REF!</v>
      </c>
      <c r="AH53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3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3" s="199">
        <f>SUMIF('ORDER ENTRY FORM'!$A$3:$A$60,bhpc_data[[#This Row],[sku]],'ORDER ENTRY FORM'!$C$3:$C$60)</f>
        <v>0</v>
      </c>
      <c r="AK53" s="199" t="e">
        <f>SUMIF('ORDER ENTRY FORM'!$A$3:$A$60,bhpc_data[[#This Row],[sku]],'ORDER ENTRY FORM'!#REF!)</f>
        <v>#REF!</v>
      </c>
      <c r="AL53" s="199" t="e">
        <f>dgn_data[[#This Row],[order]]+dgn_data[[#This Row],[foc_order]]</f>
        <v>#REF!</v>
      </c>
    </row>
    <row r="54" spans="1:38">
      <c r="A54" s="189" t="s">
        <v>38</v>
      </c>
      <c r="B54" s="189" t="s">
        <v>221</v>
      </c>
      <c r="C54" s="189">
        <v>1</v>
      </c>
      <c r="D54" s="189" t="s">
        <v>339</v>
      </c>
      <c r="E54" s="191"/>
      <c r="F54" s="190" t="s">
        <v>345</v>
      </c>
      <c r="G54" s="189" t="s">
        <v>224</v>
      </c>
      <c r="H54" s="189" t="s">
        <v>337</v>
      </c>
      <c r="I54" s="189">
        <v>24</v>
      </c>
      <c r="J54" s="189">
        <v>48</v>
      </c>
      <c r="K54" s="189">
        <v>8</v>
      </c>
      <c r="L54" s="189">
        <v>6</v>
      </c>
      <c r="N54" s="189">
        <v>375</v>
      </c>
      <c r="O54" s="189">
        <v>275</v>
      </c>
      <c r="P54" s="189">
        <v>170</v>
      </c>
      <c r="Q54" s="189">
        <v>9.1199999999999992</v>
      </c>
      <c r="R54" s="189">
        <v>9.5</v>
      </c>
      <c r="S54" s="189">
        <v>100</v>
      </c>
      <c r="T54" s="189">
        <v>0</v>
      </c>
      <c r="U54" s="189">
        <v>0</v>
      </c>
      <c r="V54" s="189">
        <v>1</v>
      </c>
      <c r="W54" s="189">
        <v>0</v>
      </c>
      <c r="X54" s="189">
        <v>0</v>
      </c>
      <c r="Y54" s="189">
        <v>0</v>
      </c>
      <c r="Z54" s="190" t="s">
        <v>342</v>
      </c>
      <c r="AB54" s="204">
        <f>ROUNDUP(dgn_data[[#This Row],[order]]/bhpc_data[[#This Row],[units_per_carton]],0)</f>
        <v>0</v>
      </c>
      <c r="AC54" s="204" t="e">
        <f>dgn_data[[#This Row],[foc_order]]/bhpc_data[[#This Row],[units_per_carton]]</f>
        <v>#REF!</v>
      </c>
      <c r="AD54" s="202" t="e">
        <f>(bhpc_data[[#This Row],[net_weight]]/bhpc_data[[#This Row],[units_per_carton]])*dgn_data[[#This Row],[tot_order]]*bhpc_data[[#This Row],[product1_weight]]</f>
        <v>#REF!</v>
      </c>
      <c r="AE54" s="209" t="e">
        <f>(bhpc_data[[#This Row],[net_weight]]/bhpc_data[[#This Row],[units_per_carton]])*dgn_data[[#This Row],[tot_order]]*bhpc_data[[#This Row],[product2_weight]]</f>
        <v>#REF!</v>
      </c>
      <c r="AF54" s="202" t="e">
        <f>(bhpc_data[[#This Row],[gross_weight]]/bhpc_data[[#This Row],[units_per_carton]])*dgn_data[[#This Row],[tot_order]]*bhpc_data[[#This Row],[product1_weight]]</f>
        <v>#REF!</v>
      </c>
      <c r="AG54" s="209" t="e">
        <f>(bhpc_data[[#This Row],[gross_weight]]/bhpc_data[[#This Row],[units_per_carton]])*dgn_data[[#This Row],[tot_order]]*bhpc_data[[#This Row],[product2_weight]]</f>
        <v>#REF!</v>
      </c>
      <c r="AH54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4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4" s="199">
        <f>SUMIF('ORDER ENTRY FORM'!$A$3:$A$60,bhpc_data[[#This Row],[sku]],'ORDER ENTRY FORM'!$C$3:$C$60)</f>
        <v>0</v>
      </c>
      <c r="AK54" s="199" t="e">
        <f>SUMIF('ORDER ENTRY FORM'!$A$3:$A$60,bhpc_data[[#This Row],[sku]],'ORDER ENTRY FORM'!#REF!)</f>
        <v>#REF!</v>
      </c>
      <c r="AL54" s="199" t="e">
        <f>dgn_data[[#This Row],[order]]+dgn_data[[#This Row],[foc_order]]</f>
        <v>#REF!</v>
      </c>
    </row>
    <row r="55" spans="1:38">
      <c r="A55" s="189" t="s">
        <v>39</v>
      </c>
      <c r="B55" s="189" t="s">
        <v>221</v>
      </c>
      <c r="C55" s="189">
        <v>1</v>
      </c>
      <c r="D55" s="189" t="s">
        <v>339</v>
      </c>
      <c r="E55" s="191"/>
      <c r="F55" s="190" t="s">
        <v>345</v>
      </c>
      <c r="G55" s="189" t="s">
        <v>225</v>
      </c>
      <c r="H55" s="189" t="s">
        <v>337</v>
      </c>
      <c r="I55" s="189">
        <v>24</v>
      </c>
      <c r="J55" s="189">
        <v>48</v>
      </c>
      <c r="K55" s="189">
        <v>8</v>
      </c>
      <c r="L55" s="189">
        <v>6</v>
      </c>
      <c r="N55" s="189">
        <v>375</v>
      </c>
      <c r="O55" s="189">
        <v>275</v>
      </c>
      <c r="P55" s="189">
        <v>170</v>
      </c>
      <c r="Q55" s="189">
        <v>9.1199999999999992</v>
      </c>
      <c r="R55" s="189">
        <v>9.5</v>
      </c>
      <c r="S55" s="189">
        <v>100</v>
      </c>
      <c r="T55" s="189">
        <v>0</v>
      </c>
      <c r="U55" s="189">
        <v>0</v>
      </c>
      <c r="V55" s="189">
        <v>1</v>
      </c>
      <c r="W55" s="189">
        <v>0</v>
      </c>
      <c r="X55" s="189">
        <v>0</v>
      </c>
      <c r="Y55" s="189">
        <v>0</v>
      </c>
      <c r="Z55" s="190" t="s">
        <v>342</v>
      </c>
      <c r="AB55" s="204">
        <f>ROUNDUP(dgn_data[[#This Row],[order]]/bhpc_data[[#This Row],[units_per_carton]],0)</f>
        <v>0</v>
      </c>
      <c r="AC55" s="204" t="e">
        <f>dgn_data[[#This Row],[foc_order]]/bhpc_data[[#This Row],[units_per_carton]]</f>
        <v>#REF!</v>
      </c>
      <c r="AD55" s="202" t="e">
        <f>(bhpc_data[[#This Row],[net_weight]]/bhpc_data[[#This Row],[units_per_carton]])*dgn_data[[#This Row],[tot_order]]*bhpc_data[[#This Row],[product1_weight]]</f>
        <v>#REF!</v>
      </c>
      <c r="AE55" s="209" t="e">
        <f>(bhpc_data[[#This Row],[net_weight]]/bhpc_data[[#This Row],[units_per_carton]])*dgn_data[[#This Row],[tot_order]]*bhpc_data[[#This Row],[product2_weight]]</f>
        <v>#REF!</v>
      </c>
      <c r="AF55" s="202" t="e">
        <f>(bhpc_data[[#This Row],[gross_weight]]/bhpc_data[[#This Row],[units_per_carton]])*dgn_data[[#This Row],[tot_order]]*bhpc_data[[#This Row],[product1_weight]]</f>
        <v>#REF!</v>
      </c>
      <c r="AG55" s="209" t="e">
        <f>(bhpc_data[[#This Row],[gross_weight]]/bhpc_data[[#This Row],[units_per_carton]])*dgn_data[[#This Row],[tot_order]]*bhpc_data[[#This Row],[product2_weight]]</f>
        <v>#REF!</v>
      </c>
      <c r="AH55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5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5" s="199">
        <f>SUMIF('ORDER ENTRY FORM'!$A$3:$A$60,bhpc_data[[#This Row],[sku]],'ORDER ENTRY FORM'!$C$3:$C$60)</f>
        <v>0</v>
      </c>
      <c r="AK55" s="199" t="e">
        <f>SUMIF('ORDER ENTRY FORM'!$A$3:$A$60,bhpc_data[[#This Row],[sku]],'ORDER ENTRY FORM'!#REF!)</f>
        <v>#REF!</v>
      </c>
      <c r="AL55" s="199" t="e">
        <f>dgn_data[[#This Row],[order]]+dgn_data[[#This Row],[foc_order]]</f>
        <v>#REF!</v>
      </c>
    </row>
    <row r="56" spans="1:38">
      <c r="A56" s="189" t="s">
        <v>40</v>
      </c>
      <c r="B56" s="189" t="s">
        <v>221</v>
      </c>
      <c r="C56" s="189">
        <v>1</v>
      </c>
      <c r="D56" s="189" t="s">
        <v>335</v>
      </c>
      <c r="E56" s="191"/>
      <c r="F56" s="190" t="s">
        <v>345</v>
      </c>
      <c r="G56" s="189" t="s">
        <v>226</v>
      </c>
      <c r="H56" s="189" t="s">
        <v>337</v>
      </c>
      <c r="I56" s="189">
        <v>24</v>
      </c>
      <c r="J56" s="189">
        <v>48</v>
      </c>
      <c r="K56" s="189">
        <v>8</v>
      </c>
      <c r="L56" s="189">
        <v>6</v>
      </c>
      <c r="N56" s="189">
        <v>375</v>
      </c>
      <c r="O56" s="189">
        <v>275</v>
      </c>
      <c r="P56" s="189">
        <v>170</v>
      </c>
      <c r="Q56" s="189">
        <v>9.1199999999999992</v>
      </c>
      <c r="R56" s="189">
        <v>9.5</v>
      </c>
      <c r="S56" s="189">
        <v>100</v>
      </c>
      <c r="T56" s="189">
        <v>0</v>
      </c>
      <c r="U56" s="189">
        <v>0</v>
      </c>
      <c r="V56" s="189">
        <v>1</v>
      </c>
      <c r="W56" s="189">
        <v>0</v>
      </c>
      <c r="X56" s="189">
        <v>0</v>
      </c>
      <c r="Y56" s="189">
        <v>0</v>
      </c>
      <c r="Z56" s="190" t="s">
        <v>342</v>
      </c>
      <c r="AB56" s="204">
        <f>ROUNDUP(dgn_data[[#This Row],[order]]/bhpc_data[[#This Row],[units_per_carton]],0)</f>
        <v>0</v>
      </c>
      <c r="AC56" s="204" t="e">
        <f>dgn_data[[#This Row],[foc_order]]/bhpc_data[[#This Row],[units_per_carton]]</f>
        <v>#REF!</v>
      </c>
      <c r="AD56" s="202" t="e">
        <f>(bhpc_data[[#This Row],[net_weight]]/bhpc_data[[#This Row],[units_per_carton]])*dgn_data[[#This Row],[tot_order]]*bhpc_data[[#This Row],[product1_weight]]</f>
        <v>#REF!</v>
      </c>
      <c r="AE56" s="209" t="e">
        <f>(bhpc_data[[#This Row],[net_weight]]/bhpc_data[[#This Row],[units_per_carton]])*dgn_data[[#This Row],[tot_order]]*bhpc_data[[#This Row],[product2_weight]]</f>
        <v>#REF!</v>
      </c>
      <c r="AF56" s="202" t="e">
        <f>(bhpc_data[[#This Row],[gross_weight]]/bhpc_data[[#This Row],[units_per_carton]])*dgn_data[[#This Row],[tot_order]]*bhpc_data[[#This Row],[product1_weight]]</f>
        <v>#REF!</v>
      </c>
      <c r="AG56" s="209" t="e">
        <f>(bhpc_data[[#This Row],[gross_weight]]/bhpc_data[[#This Row],[units_per_carton]])*dgn_data[[#This Row],[tot_order]]*bhpc_data[[#This Row],[product2_weight]]</f>
        <v>#REF!</v>
      </c>
      <c r="AH56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6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6" s="199">
        <f>SUMIF('ORDER ENTRY FORM'!$A$3:$A$60,bhpc_data[[#This Row],[sku]],'ORDER ENTRY FORM'!$C$3:$C$60)</f>
        <v>0</v>
      </c>
      <c r="AK56" s="199" t="e">
        <f>SUMIF('ORDER ENTRY FORM'!$A$3:$A$60,bhpc_data[[#This Row],[sku]],'ORDER ENTRY FORM'!#REF!)</f>
        <v>#REF!</v>
      </c>
      <c r="AL56" s="199" t="e">
        <f>dgn_data[[#This Row],[order]]+dgn_data[[#This Row],[foc_order]]</f>
        <v>#REF!</v>
      </c>
    </row>
    <row r="57" spans="1:38">
      <c r="A57" s="189" t="s">
        <v>41</v>
      </c>
      <c r="B57" s="189" t="s">
        <v>221</v>
      </c>
      <c r="C57" s="189">
        <v>1</v>
      </c>
      <c r="D57" s="189" t="s">
        <v>335</v>
      </c>
      <c r="E57" s="191"/>
      <c r="F57" s="190" t="s">
        <v>345</v>
      </c>
      <c r="G57" s="189" t="s">
        <v>227</v>
      </c>
      <c r="H57" s="189" t="s">
        <v>337</v>
      </c>
      <c r="I57" s="189">
        <v>24</v>
      </c>
      <c r="J57" s="189">
        <v>48</v>
      </c>
      <c r="K57" s="189">
        <v>8</v>
      </c>
      <c r="L57" s="189">
        <v>6</v>
      </c>
      <c r="N57" s="189">
        <v>375</v>
      </c>
      <c r="O57" s="189">
        <v>275</v>
      </c>
      <c r="P57" s="189">
        <v>170</v>
      </c>
      <c r="Q57" s="189">
        <v>9.1199999999999992</v>
      </c>
      <c r="R57" s="189">
        <v>9.5</v>
      </c>
      <c r="S57" s="189">
        <v>100</v>
      </c>
      <c r="T57" s="189">
        <v>0</v>
      </c>
      <c r="U57" s="189">
        <v>0</v>
      </c>
      <c r="V57" s="189">
        <v>1</v>
      </c>
      <c r="W57" s="189">
        <v>0</v>
      </c>
      <c r="X57" s="189">
        <v>0</v>
      </c>
      <c r="Y57" s="189">
        <v>0</v>
      </c>
      <c r="Z57" s="190" t="s">
        <v>342</v>
      </c>
      <c r="AB57" s="204">
        <f>ROUNDUP(dgn_data[[#This Row],[order]]/bhpc_data[[#This Row],[units_per_carton]],0)</f>
        <v>0</v>
      </c>
      <c r="AC57" s="204" t="e">
        <f>dgn_data[[#This Row],[foc_order]]/bhpc_data[[#This Row],[units_per_carton]]</f>
        <v>#REF!</v>
      </c>
      <c r="AD57" s="202" t="e">
        <f>(bhpc_data[[#This Row],[net_weight]]/bhpc_data[[#This Row],[units_per_carton]])*dgn_data[[#This Row],[tot_order]]*bhpc_data[[#This Row],[product1_weight]]</f>
        <v>#REF!</v>
      </c>
      <c r="AE57" s="209" t="e">
        <f>(bhpc_data[[#This Row],[net_weight]]/bhpc_data[[#This Row],[units_per_carton]])*dgn_data[[#This Row],[tot_order]]*bhpc_data[[#This Row],[product2_weight]]</f>
        <v>#REF!</v>
      </c>
      <c r="AF57" s="202" t="e">
        <f>(bhpc_data[[#This Row],[gross_weight]]/bhpc_data[[#This Row],[units_per_carton]])*dgn_data[[#This Row],[tot_order]]*bhpc_data[[#This Row],[product1_weight]]</f>
        <v>#REF!</v>
      </c>
      <c r="AG57" s="209" t="e">
        <f>(bhpc_data[[#This Row],[gross_weight]]/bhpc_data[[#This Row],[units_per_carton]])*dgn_data[[#This Row],[tot_order]]*bhpc_data[[#This Row],[product2_weight]]</f>
        <v>#REF!</v>
      </c>
      <c r="AH57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7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7" s="199">
        <f>SUMIF('ORDER ENTRY FORM'!$A$3:$A$60,bhpc_data[[#This Row],[sku]],'ORDER ENTRY FORM'!$C$3:$C$60)</f>
        <v>0</v>
      </c>
      <c r="AK57" s="199" t="e">
        <f>SUMIF('ORDER ENTRY FORM'!$A$3:$A$60,bhpc_data[[#This Row],[sku]],'ORDER ENTRY FORM'!#REF!)</f>
        <v>#REF!</v>
      </c>
      <c r="AL57" s="199" t="e">
        <f>dgn_data[[#This Row],[order]]+dgn_data[[#This Row],[foc_order]]</f>
        <v>#REF!</v>
      </c>
    </row>
    <row r="58" spans="1:38">
      <c r="A58" s="189" t="s">
        <v>42</v>
      </c>
      <c r="B58" s="189" t="s">
        <v>221</v>
      </c>
      <c r="C58" s="189">
        <v>1</v>
      </c>
      <c r="D58" s="189" t="s">
        <v>335</v>
      </c>
      <c r="E58" s="191"/>
      <c r="F58" s="190" t="s">
        <v>345</v>
      </c>
      <c r="G58" s="189" t="s">
        <v>228</v>
      </c>
      <c r="H58" s="189" t="s">
        <v>337</v>
      </c>
      <c r="I58" s="189">
        <v>24</v>
      </c>
      <c r="J58" s="189">
        <v>48</v>
      </c>
      <c r="K58" s="189">
        <v>8</v>
      </c>
      <c r="L58" s="189">
        <v>6</v>
      </c>
      <c r="N58" s="189">
        <v>375</v>
      </c>
      <c r="O58" s="189">
        <v>275</v>
      </c>
      <c r="P58" s="189">
        <v>170</v>
      </c>
      <c r="Q58" s="189">
        <v>9.1199999999999992</v>
      </c>
      <c r="R58" s="189">
        <v>9.5</v>
      </c>
      <c r="S58" s="189">
        <v>100</v>
      </c>
      <c r="T58" s="189">
        <v>0</v>
      </c>
      <c r="U58" s="189">
        <v>0</v>
      </c>
      <c r="V58" s="189">
        <v>1</v>
      </c>
      <c r="W58" s="189">
        <v>0</v>
      </c>
      <c r="X58" s="189">
        <v>0</v>
      </c>
      <c r="Y58" s="189">
        <v>0</v>
      </c>
      <c r="Z58" s="190" t="s">
        <v>342</v>
      </c>
      <c r="AB58" s="204">
        <f>ROUNDUP(dgn_data[[#This Row],[order]]/bhpc_data[[#This Row],[units_per_carton]],0)</f>
        <v>0</v>
      </c>
      <c r="AC58" s="204" t="e">
        <f>dgn_data[[#This Row],[foc_order]]/bhpc_data[[#This Row],[units_per_carton]]</f>
        <v>#REF!</v>
      </c>
      <c r="AD58" s="202" t="e">
        <f>(bhpc_data[[#This Row],[net_weight]]/bhpc_data[[#This Row],[units_per_carton]])*dgn_data[[#This Row],[tot_order]]*bhpc_data[[#This Row],[product1_weight]]</f>
        <v>#REF!</v>
      </c>
      <c r="AE58" s="209" t="e">
        <f>(bhpc_data[[#This Row],[net_weight]]/bhpc_data[[#This Row],[units_per_carton]])*dgn_data[[#This Row],[tot_order]]*bhpc_data[[#This Row],[product2_weight]]</f>
        <v>#REF!</v>
      </c>
      <c r="AF58" s="202" t="e">
        <f>(bhpc_data[[#This Row],[gross_weight]]/bhpc_data[[#This Row],[units_per_carton]])*dgn_data[[#This Row],[tot_order]]*bhpc_data[[#This Row],[product1_weight]]</f>
        <v>#REF!</v>
      </c>
      <c r="AG58" s="209" t="e">
        <f>(bhpc_data[[#This Row],[gross_weight]]/bhpc_data[[#This Row],[units_per_carton]])*dgn_data[[#This Row],[tot_order]]*bhpc_data[[#This Row],[product2_weight]]</f>
        <v>#REF!</v>
      </c>
      <c r="AH58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8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8" s="199">
        <f>SUMIF('ORDER ENTRY FORM'!$A$3:$A$60,bhpc_data[[#This Row],[sku]],'ORDER ENTRY FORM'!$C$3:$C$60)</f>
        <v>0</v>
      </c>
      <c r="AK58" s="199" t="e">
        <f>SUMIF('ORDER ENTRY FORM'!$A$3:$A$60,bhpc_data[[#This Row],[sku]],'ORDER ENTRY FORM'!#REF!)</f>
        <v>#REF!</v>
      </c>
      <c r="AL58" s="199" t="e">
        <f>dgn_data[[#This Row],[order]]+dgn_data[[#This Row],[foc_order]]</f>
        <v>#REF!</v>
      </c>
    </row>
    <row r="59" spans="1:38">
      <c r="A59" s="189" t="s">
        <v>43</v>
      </c>
      <c r="B59" s="189" t="s">
        <v>221</v>
      </c>
      <c r="C59" s="189">
        <v>1</v>
      </c>
      <c r="D59" s="189" t="s">
        <v>335</v>
      </c>
      <c r="E59" s="191"/>
      <c r="F59" s="190" t="s">
        <v>345</v>
      </c>
      <c r="G59" s="189" t="s">
        <v>229</v>
      </c>
      <c r="H59" s="189" t="s">
        <v>337</v>
      </c>
      <c r="I59" s="189">
        <v>24</v>
      </c>
      <c r="J59" s="189">
        <v>48</v>
      </c>
      <c r="K59" s="189">
        <v>8</v>
      </c>
      <c r="L59" s="189">
        <v>6</v>
      </c>
      <c r="N59" s="189">
        <v>375</v>
      </c>
      <c r="O59" s="189">
        <v>275</v>
      </c>
      <c r="P59" s="189">
        <v>170</v>
      </c>
      <c r="Q59" s="189">
        <v>9.1199999999999992</v>
      </c>
      <c r="R59" s="189">
        <v>9.5</v>
      </c>
      <c r="S59" s="189">
        <v>100</v>
      </c>
      <c r="T59" s="189">
        <v>0</v>
      </c>
      <c r="U59" s="189">
        <v>0</v>
      </c>
      <c r="V59" s="189">
        <v>1</v>
      </c>
      <c r="W59" s="189">
        <v>0</v>
      </c>
      <c r="X59" s="189">
        <v>0</v>
      </c>
      <c r="Y59" s="189">
        <v>0</v>
      </c>
      <c r="Z59" s="190" t="s">
        <v>342</v>
      </c>
      <c r="AB59" s="204">
        <f>ROUNDUP(dgn_data[[#This Row],[order]]/bhpc_data[[#This Row],[units_per_carton]],0)</f>
        <v>0</v>
      </c>
      <c r="AC59" s="204" t="e">
        <f>dgn_data[[#This Row],[foc_order]]/bhpc_data[[#This Row],[units_per_carton]]</f>
        <v>#REF!</v>
      </c>
      <c r="AD59" s="202" t="e">
        <f>(bhpc_data[[#This Row],[net_weight]]/bhpc_data[[#This Row],[units_per_carton]])*dgn_data[[#This Row],[tot_order]]*bhpc_data[[#This Row],[product1_weight]]</f>
        <v>#REF!</v>
      </c>
      <c r="AE59" s="209" t="e">
        <f>(bhpc_data[[#This Row],[net_weight]]/bhpc_data[[#This Row],[units_per_carton]])*dgn_data[[#This Row],[tot_order]]*bhpc_data[[#This Row],[product2_weight]]</f>
        <v>#REF!</v>
      </c>
      <c r="AF59" s="202" t="e">
        <f>(bhpc_data[[#This Row],[gross_weight]]/bhpc_data[[#This Row],[units_per_carton]])*dgn_data[[#This Row],[tot_order]]*bhpc_data[[#This Row],[product1_weight]]</f>
        <v>#REF!</v>
      </c>
      <c r="AG59" s="209" t="e">
        <f>(bhpc_data[[#This Row],[gross_weight]]/bhpc_data[[#This Row],[units_per_carton]])*dgn_data[[#This Row],[tot_order]]*bhpc_data[[#This Row],[product2_weight]]</f>
        <v>#REF!</v>
      </c>
      <c r="AH59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59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59" s="199">
        <f>SUMIF('ORDER ENTRY FORM'!$A$3:$A$60,bhpc_data[[#This Row],[sku]],'ORDER ENTRY FORM'!$C$3:$C$60)</f>
        <v>0</v>
      </c>
      <c r="AK59" s="199" t="e">
        <f>SUMIF('ORDER ENTRY FORM'!$A$3:$A$60,bhpc_data[[#This Row],[sku]],'ORDER ENTRY FORM'!#REF!)</f>
        <v>#REF!</v>
      </c>
      <c r="AL59" s="199" t="e">
        <f>dgn_data[[#This Row],[order]]+dgn_data[[#This Row],[foc_order]]</f>
        <v>#REF!</v>
      </c>
    </row>
    <row r="60" spans="1:38">
      <c r="A60" s="192" t="s">
        <v>142</v>
      </c>
      <c r="B60" s="192" t="s">
        <v>134</v>
      </c>
      <c r="C60" s="192">
        <v>1</v>
      </c>
      <c r="D60" s="192" t="s">
        <v>339</v>
      </c>
      <c r="E60" s="191">
        <v>6291107168852</v>
      </c>
      <c r="F60" s="193" t="s">
        <v>345</v>
      </c>
      <c r="G60" s="192" t="s">
        <v>144</v>
      </c>
      <c r="H60" s="189" t="s">
        <v>337</v>
      </c>
      <c r="I60" s="192">
        <v>24</v>
      </c>
      <c r="J60" s="192">
        <v>10</v>
      </c>
      <c r="K60" s="192">
        <v>10</v>
      </c>
      <c r="L60" s="189">
        <v>6</v>
      </c>
      <c r="N60" s="189">
        <v>370</v>
      </c>
      <c r="O60" s="189">
        <v>275</v>
      </c>
      <c r="P60" s="189">
        <v>170</v>
      </c>
      <c r="Q60" s="189">
        <v>9.48</v>
      </c>
      <c r="R60" s="189">
        <v>9.9</v>
      </c>
      <c r="S60" s="189">
        <v>100</v>
      </c>
      <c r="T60" s="189">
        <v>0</v>
      </c>
      <c r="U60" s="189">
        <v>0</v>
      </c>
      <c r="V60" s="189">
        <v>1</v>
      </c>
      <c r="W60" s="189">
        <v>0</v>
      </c>
      <c r="X60" s="189">
        <v>0</v>
      </c>
      <c r="Y60" s="189">
        <v>0</v>
      </c>
      <c r="Z60" s="190" t="s">
        <v>342</v>
      </c>
      <c r="AB60" s="204">
        <f>ROUNDUP(dgn_data[[#This Row],[order]]/bhpc_data[[#This Row],[units_per_carton]],0)</f>
        <v>0</v>
      </c>
      <c r="AC60" s="204" t="e">
        <f>dgn_data[[#This Row],[foc_order]]/bhpc_data[[#This Row],[units_per_carton]]</f>
        <v>#REF!</v>
      </c>
      <c r="AD60" s="202" t="e">
        <f>(bhpc_data[[#This Row],[net_weight]]/bhpc_data[[#This Row],[units_per_carton]])*dgn_data[[#This Row],[tot_order]]*bhpc_data[[#This Row],[product1_weight]]</f>
        <v>#REF!</v>
      </c>
      <c r="AE60" s="209" t="e">
        <f>(bhpc_data[[#This Row],[net_weight]]/bhpc_data[[#This Row],[units_per_carton]])*dgn_data[[#This Row],[tot_order]]*bhpc_data[[#This Row],[product2_weight]]</f>
        <v>#REF!</v>
      </c>
      <c r="AF60" s="202" t="e">
        <f>(bhpc_data[[#This Row],[gross_weight]]/bhpc_data[[#This Row],[units_per_carton]])*dgn_data[[#This Row],[tot_order]]*bhpc_data[[#This Row],[product1_weight]]</f>
        <v>#REF!</v>
      </c>
      <c r="AG60" s="209" t="e">
        <f>(bhpc_data[[#This Row],[gross_weight]]/bhpc_data[[#This Row],[units_per_carton]])*dgn_data[[#This Row],[tot_order]]*bhpc_data[[#This Row],[product2_weight]]</f>
        <v>#REF!</v>
      </c>
      <c r="AH60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0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0" s="199">
        <f>SUMIF('ORDER ENTRY FORM'!$A$3:$A$60,bhpc_data[[#This Row],[sku]],'ORDER ENTRY FORM'!$C$3:$C$60)</f>
        <v>0</v>
      </c>
      <c r="AK60" s="199" t="e">
        <f>SUMIF('ORDER ENTRY FORM'!$A$3:$A$60,bhpc_data[[#This Row],[sku]],'ORDER ENTRY FORM'!#REF!)</f>
        <v>#REF!</v>
      </c>
      <c r="AL60" s="199" t="e">
        <f>dgn_data[[#This Row],[order]]+dgn_data[[#This Row],[foc_order]]</f>
        <v>#REF!</v>
      </c>
    </row>
    <row r="61" spans="1:38">
      <c r="A61" s="192" t="s">
        <v>143</v>
      </c>
      <c r="B61" s="192" t="s">
        <v>134</v>
      </c>
      <c r="C61" s="192">
        <v>1</v>
      </c>
      <c r="D61" s="192" t="s">
        <v>335</v>
      </c>
      <c r="E61" s="191">
        <v>6291107168869</v>
      </c>
      <c r="F61" s="193" t="s">
        <v>345</v>
      </c>
      <c r="G61" s="192" t="s">
        <v>145</v>
      </c>
      <c r="H61" s="189" t="s">
        <v>337</v>
      </c>
      <c r="I61" s="192">
        <v>24</v>
      </c>
      <c r="J61" s="192">
        <v>10</v>
      </c>
      <c r="K61" s="192">
        <v>10</v>
      </c>
      <c r="L61" s="189">
        <v>6</v>
      </c>
      <c r="N61" s="189">
        <v>370</v>
      </c>
      <c r="O61" s="189">
        <v>275</v>
      </c>
      <c r="P61" s="189">
        <v>170</v>
      </c>
      <c r="Q61" s="189">
        <v>9.48</v>
      </c>
      <c r="R61" s="189">
        <v>9.9</v>
      </c>
      <c r="S61" s="189">
        <v>100</v>
      </c>
      <c r="T61" s="189">
        <v>0</v>
      </c>
      <c r="U61" s="189">
        <v>0</v>
      </c>
      <c r="V61" s="189">
        <v>1</v>
      </c>
      <c r="W61" s="189">
        <v>0</v>
      </c>
      <c r="X61" s="189">
        <v>0</v>
      </c>
      <c r="Y61" s="189">
        <v>0</v>
      </c>
      <c r="Z61" s="190" t="s">
        <v>342</v>
      </c>
      <c r="AB61" s="204">
        <f>ROUNDUP(dgn_data[[#This Row],[order]]/bhpc_data[[#This Row],[units_per_carton]],0)</f>
        <v>0</v>
      </c>
      <c r="AC61" s="204" t="e">
        <f>dgn_data[[#This Row],[foc_order]]/bhpc_data[[#This Row],[units_per_carton]]</f>
        <v>#REF!</v>
      </c>
      <c r="AD61" s="202" t="e">
        <f>(bhpc_data[[#This Row],[net_weight]]/bhpc_data[[#This Row],[units_per_carton]])*dgn_data[[#This Row],[tot_order]]*bhpc_data[[#This Row],[product1_weight]]</f>
        <v>#REF!</v>
      </c>
      <c r="AE61" s="209" t="e">
        <f>(bhpc_data[[#This Row],[net_weight]]/bhpc_data[[#This Row],[units_per_carton]])*dgn_data[[#This Row],[tot_order]]*bhpc_data[[#This Row],[product2_weight]]</f>
        <v>#REF!</v>
      </c>
      <c r="AF61" s="202" t="e">
        <f>(bhpc_data[[#This Row],[gross_weight]]/bhpc_data[[#This Row],[units_per_carton]])*dgn_data[[#This Row],[tot_order]]*bhpc_data[[#This Row],[product1_weight]]</f>
        <v>#REF!</v>
      </c>
      <c r="AG61" s="209" t="e">
        <f>(bhpc_data[[#This Row],[gross_weight]]/bhpc_data[[#This Row],[units_per_carton]])*dgn_data[[#This Row],[tot_order]]*bhpc_data[[#This Row],[product2_weight]]</f>
        <v>#REF!</v>
      </c>
      <c r="AH61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1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1" s="199">
        <f>SUMIF('ORDER ENTRY FORM'!$A$3:$A$60,bhpc_data[[#This Row],[sku]],'ORDER ENTRY FORM'!$C$3:$C$60)</f>
        <v>0</v>
      </c>
      <c r="AK61" s="199" t="e">
        <f>SUMIF('ORDER ENTRY FORM'!$A$3:$A$60,bhpc_data[[#This Row],[sku]],'ORDER ENTRY FORM'!#REF!)</f>
        <v>#REF!</v>
      </c>
      <c r="AL61" s="199" t="e">
        <f>dgn_data[[#This Row],[order]]+dgn_data[[#This Row],[foc_order]]</f>
        <v>#REF!</v>
      </c>
    </row>
    <row r="62" spans="1:38">
      <c r="A62" s="192" t="s">
        <v>230</v>
      </c>
      <c r="B62" s="192" t="s">
        <v>221</v>
      </c>
      <c r="C62" s="192">
        <v>1</v>
      </c>
      <c r="D62" s="192" t="s">
        <v>339</v>
      </c>
      <c r="E62" s="194">
        <v>6291107168838</v>
      </c>
      <c r="F62" s="193" t="s">
        <v>345</v>
      </c>
      <c r="G62" s="192" t="s">
        <v>231</v>
      </c>
      <c r="H62" s="189" t="s">
        <v>337</v>
      </c>
      <c r="I62" s="192">
        <v>24</v>
      </c>
      <c r="J62" s="192">
        <v>10</v>
      </c>
      <c r="K62" s="192">
        <v>10</v>
      </c>
      <c r="L62" s="189">
        <v>6</v>
      </c>
      <c r="N62" s="189">
        <v>370</v>
      </c>
      <c r="O62" s="189">
        <v>275</v>
      </c>
      <c r="P62" s="189">
        <v>170</v>
      </c>
      <c r="Q62" s="189">
        <v>9.48</v>
      </c>
      <c r="R62" s="189">
        <v>9.9</v>
      </c>
      <c r="S62" s="189">
        <v>100</v>
      </c>
      <c r="T62" s="189">
        <v>0</v>
      </c>
      <c r="U62" s="189">
        <v>0</v>
      </c>
      <c r="V62" s="189">
        <v>1</v>
      </c>
      <c r="W62" s="189">
        <v>0</v>
      </c>
      <c r="X62" s="189">
        <v>0</v>
      </c>
      <c r="Y62" s="189">
        <v>0</v>
      </c>
      <c r="Z62" s="190" t="s">
        <v>342</v>
      </c>
      <c r="AB62" s="204">
        <f>ROUNDUP(dgn_data[[#This Row],[order]]/bhpc_data[[#This Row],[units_per_carton]],0)</f>
        <v>0</v>
      </c>
      <c r="AC62" s="204" t="e">
        <f>dgn_data[[#This Row],[foc_order]]/bhpc_data[[#This Row],[units_per_carton]]</f>
        <v>#REF!</v>
      </c>
      <c r="AD62" s="202" t="e">
        <f>(bhpc_data[[#This Row],[net_weight]]/bhpc_data[[#This Row],[units_per_carton]])*dgn_data[[#This Row],[tot_order]]*bhpc_data[[#This Row],[product1_weight]]</f>
        <v>#REF!</v>
      </c>
      <c r="AE62" s="209" t="e">
        <f>(bhpc_data[[#This Row],[net_weight]]/bhpc_data[[#This Row],[units_per_carton]])*dgn_data[[#This Row],[tot_order]]*bhpc_data[[#This Row],[product2_weight]]</f>
        <v>#REF!</v>
      </c>
      <c r="AF62" s="202" t="e">
        <f>(bhpc_data[[#This Row],[gross_weight]]/bhpc_data[[#This Row],[units_per_carton]])*dgn_data[[#This Row],[tot_order]]*bhpc_data[[#This Row],[product1_weight]]</f>
        <v>#REF!</v>
      </c>
      <c r="AG62" s="209" t="e">
        <f>(bhpc_data[[#This Row],[gross_weight]]/bhpc_data[[#This Row],[units_per_carton]])*dgn_data[[#This Row],[tot_order]]*bhpc_data[[#This Row],[product2_weight]]</f>
        <v>#REF!</v>
      </c>
      <c r="AH62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2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2" s="199">
        <f>SUMIF('ORDER ENTRY FORM'!$A$3:$A$60,bhpc_data[[#This Row],[sku]],'ORDER ENTRY FORM'!$C$3:$C$60)</f>
        <v>0</v>
      </c>
      <c r="AK62" s="199" t="e">
        <f>SUMIF('ORDER ENTRY FORM'!$A$3:$A$60,bhpc_data[[#This Row],[sku]],'ORDER ENTRY FORM'!#REF!)</f>
        <v>#REF!</v>
      </c>
      <c r="AL62" s="199" t="e">
        <f>dgn_data[[#This Row],[order]]+dgn_data[[#This Row],[foc_order]]</f>
        <v>#REF!</v>
      </c>
    </row>
    <row r="63" spans="1:38">
      <c r="A63" s="192" t="s">
        <v>232</v>
      </c>
      <c r="B63" s="192" t="s">
        <v>221</v>
      </c>
      <c r="C63" s="192">
        <v>1</v>
      </c>
      <c r="D63" s="192" t="s">
        <v>335</v>
      </c>
      <c r="E63" s="194">
        <v>6291107168845</v>
      </c>
      <c r="F63" s="193" t="s">
        <v>345</v>
      </c>
      <c r="G63" s="192" t="s">
        <v>233</v>
      </c>
      <c r="H63" s="189" t="s">
        <v>337</v>
      </c>
      <c r="I63" s="192">
        <v>24</v>
      </c>
      <c r="J63" s="192">
        <v>10</v>
      </c>
      <c r="K63" s="192">
        <v>10</v>
      </c>
      <c r="L63" s="189">
        <v>6</v>
      </c>
      <c r="N63" s="189">
        <v>370</v>
      </c>
      <c r="O63" s="189">
        <v>275</v>
      </c>
      <c r="P63" s="189">
        <v>170</v>
      </c>
      <c r="Q63" s="189">
        <v>9.48</v>
      </c>
      <c r="R63" s="189">
        <v>9.9</v>
      </c>
      <c r="S63" s="189">
        <v>100</v>
      </c>
      <c r="T63" s="189">
        <v>0</v>
      </c>
      <c r="U63" s="189">
        <v>0</v>
      </c>
      <c r="V63" s="189">
        <v>1</v>
      </c>
      <c r="W63" s="189">
        <v>0</v>
      </c>
      <c r="X63" s="189">
        <v>0</v>
      </c>
      <c r="Y63" s="189">
        <v>0</v>
      </c>
      <c r="Z63" s="190" t="s">
        <v>342</v>
      </c>
      <c r="AB63" s="204">
        <f>ROUNDUP(dgn_data[[#This Row],[order]]/bhpc_data[[#This Row],[units_per_carton]],0)</f>
        <v>0</v>
      </c>
      <c r="AC63" s="204" t="e">
        <f>dgn_data[[#This Row],[foc_order]]/bhpc_data[[#This Row],[units_per_carton]]</f>
        <v>#REF!</v>
      </c>
      <c r="AD63" s="202" t="e">
        <f>(bhpc_data[[#This Row],[net_weight]]/bhpc_data[[#This Row],[units_per_carton]])*dgn_data[[#This Row],[tot_order]]*bhpc_data[[#This Row],[product1_weight]]</f>
        <v>#REF!</v>
      </c>
      <c r="AE63" s="209" t="e">
        <f>(bhpc_data[[#This Row],[net_weight]]/bhpc_data[[#This Row],[units_per_carton]])*dgn_data[[#This Row],[tot_order]]*bhpc_data[[#This Row],[product2_weight]]</f>
        <v>#REF!</v>
      </c>
      <c r="AF63" s="202" t="e">
        <f>(bhpc_data[[#This Row],[gross_weight]]/bhpc_data[[#This Row],[units_per_carton]])*dgn_data[[#This Row],[tot_order]]*bhpc_data[[#This Row],[product1_weight]]</f>
        <v>#REF!</v>
      </c>
      <c r="AG63" s="209" t="e">
        <f>(bhpc_data[[#This Row],[gross_weight]]/bhpc_data[[#This Row],[units_per_carton]])*dgn_data[[#This Row],[tot_order]]*bhpc_data[[#This Row],[product2_weight]]</f>
        <v>#REF!</v>
      </c>
      <c r="AH63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3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3" s="199">
        <f>SUMIF('ORDER ENTRY FORM'!$A$3:$A$60,bhpc_data[[#This Row],[sku]],'ORDER ENTRY FORM'!$C$3:$C$60)</f>
        <v>0</v>
      </c>
      <c r="AK63" s="199" t="e">
        <f>SUMIF('ORDER ENTRY FORM'!$A$3:$A$60,bhpc_data[[#This Row],[sku]],'ORDER ENTRY FORM'!#REF!)</f>
        <v>#REF!</v>
      </c>
      <c r="AL63" s="199" t="e">
        <f>dgn_data[[#This Row],[order]]+dgn_data[[#This Row],[foc_order]]</f>
        <v>#REF!</v>
      </c>
    </row>
    <row r="64" spans="1:38">
      <c r="A64" s="189" t="s">
        <v>16</v>
      </c>
      <c r="B64" s="189" t="s">
        <v>133</v>
      </c>
      <c r="C64" s="189">
        <v>1</v>
      </c>
      <c r="D64" s="189" t="s">
        <v>335</v>
      </c>
      <c r="E64" s="191">
        <v>8718719850244</v>
      </c>
      <c r="F64" s="190" t="s">
        <v>340</v>
      </c>
      <c r="G64" s="189" t="s">
        <v>172</v>
      </c>
      <c r="H64" s="189" t="s">
        <v>341</v>
      </c>
      <c r="I64" s="189">
        <v>48</v>
      </c>
      <c r="J64" s="189">
        <v>48</v>
      </c>
      <c r="K64" s="189">
        <v>6</v>
      </c>
      <c r="L64" s="189">
        <v>8</v>
      </c>
      <c r="N64" s="189">
        <v>400</v>
      </c>
      <c r="O64" s="189">
        <v>320</v>
      </c>
      <c r="P64" s="189">
        <v>205</v>
      </c>
      <c r="Q64" s="189">
        <v>6.2880000000000003</v>
      </c>
      <c r="R64" s="189">
        <v>7.0359999999999996</v>
      </c>
      <c r="S64" s="189">
        <v>150</v>
      </c>
      <c r="T64" s="189">
        <v>0</v>
      </c>
      <c r="U64" s="189">
        <v>0</v>
      </c>
      <c r="V64" s="189">
        <v>1</v>
      </c>
      <c r="W64" s="189">
        <v>0</v>
      </c>
      <c r="X64" s="189">
        <v>0</v>
      </c>
      <c r="Y64" s="189">
        <v>0</v>
      </c>
      <c r="Z64" s="190" t="s">
        <v>342</v>
      </c>
      <c r="AB64" s="204">
        <f>ROUNDUP(dgn_data[[#This Row],[order]]/bhpc_data[[#This Row],[units_per_carton]],0)</f>
        <v>0</v>
      </c>
      <c r="AC64" s="204" t="e">
        <f>dgn_data[[#This Row],[foc_order]]/bhpc_data[[#This Row],[units_per_carton]]</f>
        <v>#REF!</v>
      </c>
      <c r="AD64" s="202" t="e">
        <f>(bhpc_data[[#This Row],[net_weight]]/bhpc_data[[#This Row],[units_per_carton]])*dgn_data[[#This Row],[tot_order]]*bhpc_data[[#This Row],[product1_weight]]</f>
        <v>#REF!</v>
      </c>
      <c r="AE64" s="209" t="e">
        <f>(bhpc_data[[#This Row],[net_weight]]/bhpc_data[[#This Row],[units_per_carton]])*dgn_data[[#This Row],[tot_order]]*bhpc_data[[#This Row],[product2_weight]]</f>
        <v>#REF!</v>
      </c>
      <c r="AF64" s="202" t="e">
        <f>(bhpc_data[[#This Row],[gross_weight]]/bhpc_data[[#This Row],[units_per_carton]])*dgn_data[[#This Row],[tot_order]]*bhpc_data[[#This Row],[product1_weight]]</f>
        <v>#REF!</v>
      </c>
      <c r="AG64" s="209" t="e">
        <f>(bhpc_data[[#This Row],[gross_weight]]/bhpc_data[[#This Row],[units_per_carton]])*dgn_data[[#This Row],[tot_order]]*bhpc_data[[#This Row],[product2_weight]]</f>
        <v>#REF!</v>
      </c>
      <c r="AH64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4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4" s="199">
        <f>SUMIF('ORDER ENTRY FORM'!$A$3:$A$60,bhpc_data[[#This Row],[sku]],'ORDER ENTRY FORM'!$C$3:$C$60)</f>
        <v>0</v>
      </c>
      <c r="AK64" s="199" t="e">
        <f>SUMIF('ORDER ENTRY FORM'!$A$3:$A$60,bhpc_data[[#This Row],[sku]],'ORDER ENTRY FORM'!#REF!)</f>
        <v>#REF!</v>
      </c>
      <c r="AL64" s="199" t="e">
        <f>dgn_data[[#This Row],[order]]+dgn_data[[#This Row],[foc_order]]</f>
        <v>#REF!</v>
      </c>
    </row>
    <row r="65" spans="1:38">
      <c r="A65" s="189" t="s">
        <v>17</v>
      </c>
      <c r="B65" s="189" t="s">
        <v>133</v>
      </c>
      <c r="C65" s="189">
        <v>1</v>
      </c>
      <c r="D65" s="189" t="s">
        <v>335</v>
      </c>
      <c r="E65" s="191">
        <v>8718719850251</v>
      </c>
      <c r="F65" s="190" t="s">
        <v>340</v>
      </c>
      <c r="G65" s="189" t="s">
        <v>173</v>
      </c>
      <c r="H65" s="189" t="s">
        <v>341</v>
      </c>
      <c r="I65" s="189">
        <v>48</v>
      </c>
      <c r="J65" s="189">
        <v>48</v>
      </c>
      <c r="K65" s="189">
        <v>6</v>
      </c>
      <c r="L65" s="189">
        <v>8</v>
      </c>
      <c r="N65" s="189">
        <v>400</v>
      </c>
      <c r="O65" s="189">
        <v>320</v>
      </c>
      <c r="P65" s="189">
        <v>205</v>
      </c>
      <c r="Q65" s="189">
        <v>6.2880000000000003</v>
      </c>
      <c r="R65" s="189">
        <v>7.0359999999999996</v>
      </c>
      <c r="S65" s="189">
        <v>150</v>
      </c>
      <c r="T65" s="189">
        <v>0</v>
      </c>
      <c r="U65" s="189">
        <v>0</v>
      </c>
      <c r="V65" s="189">
        <v>1</v>
      </c>
      <c r="W65" s="189">
        <v>0</v>
      </c>
      <c r="X65" s="189">
        <v>0</v>
      </c>
      <c r="Y65" s="189">
        <v>0</v>
      </c>
      <c r="Z65" s="190" t="s">
        <v>342</v>
      </c>
      <c r="AB65" s="204">
        <f>ROUNDUP(dgn_data[[#This Row],[order]]/bhpc_data[[#This Row],[units_per_carton]],0)</f>
        <v>0</v>
      </c>
      <c r="AC65" s="204" t="e">
        <f>dgn_data[[#This Row],[foc_order]]/bhpc_data[[#This Row],[units_per_carton]]</f>
        <v>#REF!</v>
      </c>
      <c r="AD65" s="202" t="e">
        <f>(bhpc_data[[#This Row],[net_weight]]/bhpc_data[[#This Row],[units_per_carton]])*dgn_data[[#This Row],[tot_order]]*bhpc_data[[#This Row],[product1_weight]]</f>
        <v>#REF!</v>
      </c>
      <c r="AE65" s="209" t="e">
        <f>(bhpc_data[[#This Row],[net_weight]]/bhpc_data[[#This Row],[units_per_carton]])*dgn_data[[#This Row],[tot_order]]*bhpc_data[[#This Row],[product2_weight]]</f>
        <v>#REF!</v>
      </c>
      <c r="AF65" s="202" t="e">
        <f>(bhpc_data[[#This Row],[gross_weight]]/bhpc_data[[#This Row],[units_per_carton]])*dgn_data[[#This Row],[tot_order]]*bhpc_data[[#This Row],[product1_weight]]</f>
        <v>#REF!</v>
      </c>
      <c r="AG65" s="209" t="e">
        <f>(bhpc_data[[#This Row],[gross_weight]]/bhpc_data[[#This Row],[units_per_carton]])*dgn_data[[#This Row],[tot_order]]*bhpc_data[[#This Row],[product2_weight]]</f>
        <v>#REF!</v>
      </c>
      <c r="AH65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5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5" s="199">
        <f>SUMIF('ORDER ENTRY FORM'!$A$3:$A$60,bhpc_data[[#This Row],[sku]],'ORDER ENTRY FORM'!$C$3:$C$60)</f>
        <v>0</v>
      </c>
      <c r="AK65" s="199" t="e">
        <f>SUMIF('ORDER ENTRY FORM'!$A$3:$A$60,bhpc_data[[#This Row],[sku]],'ORDER ENTRY FORM'!#REF!)</f>
        <v>#REF!</v>
      </c>
      <c r="AL65" s="199" t="e">
        <f>dgn_data[[#This Row],[order]]+dgn_data[[#This Row],[foc_order]]</f>
        <v>#REF!</v>
      </c>
    </row>
    <row r="66" spans="1:38">
      <c r="A66" s="189" t="s">
        <v>18</v>
      </c>
      <c r="B66" s="189" t="s">
        <v>133</v>
      </c>
      <c r="C66" s="189">
        <v>1</v>
      </c>
      <c r="D66" s="189" t="s">
        <v>335</v>
      </c>
      <c r="E66" s="191">
        <v>8718719850268</v>
      </c>
      <c r="F66" s="190" t="s">
        <v>340</v>
      </c>
      <c r="G66" s="189" t="s">
        <v>174</v>
      </c>
      <c r="H66" s="189" t="s">
        <v>341</v>
      </c>
      <c r="I66" s="189">
        <v>48</v>
      </c>
      <c r="J66" s="189">
        <v>48</v>
      </c>
      <c r="K66" s="189">
        <v>6</v>
      </c>
      <c r="L66" s="189">
        <v>8</v>
      </c>
      <c r="N66" s="189">
        <v>400</v>
      </c>
      <c r="O66" s="189">
        <v>320</v>
      </c>
      <c r="P66" s="189">
        <v>205</v>
      </c>
      <c r="Q66" s="189">
        <v>6.2880000000000003</v>
      </c>
      <c r="R66" s="189">
        <v>7.0359999999999996</v>
      </c>
      <c r="S66" s="189">
        <v>150</v>
      </c>
      <c r="T66" s="189">
        <v>0</v>
      </c>
      <c r="U66" s="189">
        <v>0</v>
      </c>
      <c r="V66" s="189">
        <v>1</v>
      </c>
      <c r="W66" s="189">
        <v>0</v>
      </c>
      <c r="X66" s="189">
        <v>0</v>
      </c>
      <c r="Y66" s="189">
        <v>0</v>
      </c>
      <c r="Z66" s="190" t="s">
        <v>342</v>
      </c>
      <c r="AB66" s="204">
        <f>ROUNDUP(dgn_data[[#This Row],[order]]/bhpc_data[[#This Row],[units_per_carton]],0)</f>
        <v>0</v>
      </c>
      <c r="AC66" s="204" t="e">
        <f>dgn_data[[#This Row],[foc_order]]/bhpc_data[[#This Row],[units_per_carton]]</f>
        <v>#REF!</v>
      </c>
      <c r="AD66" s="202" t="e">
        <f>(bhpc_data[[#This Row],[net_weight]]/bhpc_data[[#This Row],[units_per_carton]])*dgn_data[[#This Row],[tot_order]]*bhpc_data[[#This Row],[product1_weight]]</f>
        <v>#REF!</v>
      </c>
      <c r="AE66" s="209" t="e">
        <f>(bhpc_data[[#This Row],[net_weight]]/bhpc_data[[#This Row],[units_per_carton]])*dgn_data[[#This Row],[tot_order]]*bhpc_data[[#This Row],[product2_weight]]</f>
        <v>#REF!</v>
      </c>
      <c r="AF66" s="202" t="e">
        <f>(bhpc_data[[#This Row],[gross_weight]]/bhpc_data[[#This Row],[units_per_carton]])*dgn_data[[#This Row],[tot_order]]*bhpc_data[[#This Row],[product1_weight]]</f>
        <v>#REF!</v>
      </c>
      <c r="AG66" s="209" t="e">
        <f>(bhpc_data[[#This Row],[gross_weight]]/bhpc_data[[#This Row],[units_per_carton]])*dgn_data[[#This Row],[tot_order]]*bhpc_data[[#This Row],[product2_weight]]</f>
        <v>#REF!</v>
      </c>
      <c r="AH66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6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6" s="199">
        <f>SUMIF('ORDER ENTRY FORM'!$A$3:$A$60,bhpc_data[[#This Row],[sku]],'ORDER ENTRY FORM'!$C$3:$C$60)</f>
        <v>0</v>
      </c>
      <c r="AK66" s="199" t="e">
        <f>SUMIF('ORDER ENTRY FORM'!$A$3:$A$60,bhpc_data[[#This Row],[sku]],'ORDER ENTRY FORM'!#REF!)</f>
        <v>#REF!</v>
      </c>
      <c r="AL66" s="199" t="e">
        <f>dgn_data[[#This Row],[order]]+dgn_data[[#This Row],[foc_order]]</f>
        <v>#REF!</v>
      </c>
    </row>
    <row r="67" spans="1:38">
      <c r="A67" s="189" t="s">
        <v>19</v>
      </c>
      <c r="B67" s="189" t="s">
        <v>133</v>
      </c>
      <c r="C67" s="189">
        <v>1</v>
      </c>
      <c r="D67" s="189" t="s">
        <v>335</v>
      </c>
      <c r="E67" s="191">
        <v>8718719850275</v>
      </c>
      <c r="F67" s="190" t="s">
        <v>340</v>
      </c>
      <c r="G67" s="189" t="s">
        <v>175</v>
      </c>
      <c r="H67" s="189" t="s">
        <v>341</v>
      </c>
      <c r="I67" s="189">
        <v>48</v>
      </c>
      <c r="J67" s="189">
        <v>48</v>
      </c>
      <c r="K67" s="189">
        <v>6</v>
      </c>
      <c r="L67" s="189">
        <v>8</v>
      </c>
      <c r="N67" s="189">
        <v>400</v>
      </c>
      <c r="O67" s="189">
        <v>320</v>
      </c>
      <c r="P67" s="189">
        <v>205</v>
      </c>
      <c r="Q67" s="189">
        <v>6.2880000000000003</v>
      </c>
      <c r="R67" s="189">
        <v>7.0359999999999996</v>
      </c>
      <c r="S67" s="189">
        <v>150</v>
      </c>
      <c r="T67" s="189">
        <v>0</v>
      </c>
      <c r="U67" s="189">
        <v>0</v>
      </c>
      <c r="V67" s="189">
        <v>1</v>
      </c>
      <c r="W67" s="189">
        <v>0</v>
      </c>
      <c r="X67" s="189">
        <v>0</v>
      </c>
      <c r="Y67" s="189">
        <v>0</v>
      </c>
      <c r="Z67" s="190" t="s">
        <v>342</v>
      </c>
      <c r="AB67" s="204">
        <f>ROUNDUP(dgn_data[[#This Row],[order]]/bhpc_data[[#This Row],[units_per_carton]],0)</f>
        <v>0</v>
      </c>
      <c r="AC67" s="204" t="e">
        <f>dgn_data[[#This Row],[foc_order]]/bhpc_data[[#This Row],[units_per_carton]]</f>
        <v>#REF!</v>
      </c>
      <c r="AD67" s="202" t="e">
        <f>(bhpc_data[[#This Row],[net_weight]]/bhpc_data[[#This Row],[units_per_carton]])*dgn_data[[#This Row],[tot_order]]*bhpc_data[[#This Row],[product1_weight]]</f>
        <v>#REF!</v>
      </c>
      <c r="AE67" s="209" t="e">
        <f>(bhpc_data[[#This Row],[net_weight]]/bhpc_data[[#This Row],[units_per_carton]])*dgn_data[[#This Row],[tot_order]]*bhpc_data[[#This Row],[product2_weight]]</f>
        <v>#REF!</v>
      </c>
      <c r="AF67" s="202" t="e">
        <f>(bhpc_data[[#This Row],[gross_weight]]/bhpc_data[[#This Row],[units_per_carton]])*dgn_data[[#This Row],[tot_order]]*bhpc_data[[#This Row],[product1_weight]]</f>
        <v>#REF!</v>
      </c>
      <c r="AG67" s="209" t="e">
        <f>(bhpc_data[[#This Row],[gross_weight]]/bhpc_data[[#This Row],[units_per_carton]])*dgn_data[[#This Row],[tot_order]]*bhpc_data[[#This Row],[product2_weight]]</f>
        <v>#REF!</v>
      </c>
      <c r="AH67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7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7" s="199">
        <f>SUMIF('ORDER ENTRY FORM'!$A$3:$A$60,bhpc_data[[#This Row],[sku]],'ORDER ENTRY FORM'!$C$3:$C$60)</f>
        <v>0</v>
      </c>
      <c r="AK67" s="199" t="e">
        <f>SUMIF('ORDER ENTRY FORM'!$A$3:$A$60,bhpc_data[[#This Row],[sku]],'ORDER ENTRY FORM'!#REF!)</f>
        <v>#REF!</v>
      </c>
      <c r="AL67" s="199" t="e">
        <f>dgn_data[[#This Row],[order]]+dgn_data[[#This Row],[foc_order]]</f>
        <v>#REF!</v>
      </c>
    </row>
    <row r="68" spans="1:38">
      <c r="A68" s="189" t="s">
        <v>0</v>
      </c>
      <c r="B68" s="189" t="s">
        <v>133</v>
      </c>
      <c r="C68" s="189">
        <v>1</v>
      </c>
      <c r="D68" s="189" t="s">
        <v>339</v>
      </c>
      <c r="E68" s="191">
        <v>8718719850008</v>
      </c>
      <c r="F68" s="190" t="s">
        <v>340</v>
      </c>
      <c r="G68" s="189" t="s">
        <v>168</v>
      </c>
      <c r="H68" s="189" t="s">
        <v>341</v>
      </c>
      <c r="I68" s="189">
        <v>48</v>
      </c>
      <c r="J68" s="189">
        <v>36</v>
      </c>
      <c r="K68" s="189">
        <v>4</v>
      </c>
      <c r="L68" s="189">
        <v>9</v>
      </c>
      <c r="N68" s="189">
        <v>485</v>
      </c>
      <c r="O68" s="189">
        <v>360</v>
      </c>
      <c r="P68" s="189">
        <v>195</v>
      </c>
      <c r="Q68" s="189">
        <v>7.48</v>
      </c>
      <c r="R68" s="189">
        <v>7.7</v>
      </c>
      <c r="S68" s="189">
        <v>175</v>
      </c>
      <c r="T68" s="189">
        <v>0</v>
      </c>
      <c r="U68" s="189">
        <v>0</v>
      </c>
      <c r="V68" s="189">
        <v>1</v>
      </c>
      <c r="W68" s="189">
        <v>0</v>
      </c>
      <c r="X68" s="189">
        <v>0</v>
      </c>
      <c r="Y68" s="189">
        <v>0</v>
      </c>
      <c r="Z68" s="190" t="s">
        <v>342</v>
      </c>
      <c r="AB68" s="204">
        <f>ROUNDUP(dgn_data[[#This Row],[order]]/bhpc_data[[#This Row],[units_per_carton]],0)</f>
        <v>0</v>
      </c>
      <c r="AC68" s="204" t="e">
        <f>dgn_data[[#This Row],[foc_order]]/bhpc_data[[#This Row],[units_per_carton]]</f>
        <v>#REF!</v>
      </c>
      <c r="AD68" s="202" t="e">
        <f>(bhpc_data[[#This Row],[net_weight]]/bhpc_data[[#This Row],[units_per_carton]])*dgn_data[[#This Row],[tot_order]]*bhpc_data[[#This Row],[product1_weight]]</f>
        <v>#REF!</v>
      </c>
      <c r="AE68" s="209" t="e">
        <f>(bhpc_data[[#This Row],[net_weight]]/bhpc_data[[#This Row],[units_per_carton]])*dgn_data[[#This Row],[tot_order]]*bhpc_data[[#This Row],[product2_weight]]</f>
        <v>#REF!</v>
      </c>
      <c r="AF68" s="202" t="e">
        <f>(bhpc_data[[#This Row],[gross_weight]]/bhpc_data[[#This Row],[units_per_carton]])*dgn_data[[#This Row],[tot_order]]*bhpc_data[[#This Row],[product1_weight]]</f>
        <v>#REF!</v>
      </c>
      <c r="AG68" s="209" t="e">
        <f>(bhpc_data[[#This Row],[gross_weight]]/bhpc_data[[#This Row],[units_per_carton]])*dgn_data[[#This Row],[tot_order]]*bhpc_data[[#This Row],[product2_weight]]</f>
        <v>#REF!</v>
      </c>
      <c r="AH68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8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8" s="199">
        <f>SUMIF('ORDER ENTRY FORM'!$A$3:$A$60,bhpc_data[[#This Row],[sku]],'ORDER ENTRY FORM'!$C$3:$C$60)</f>
        <v>0</v>
      </c>
      <c r="AK68" s="199" t="e">
        <f>SUMIF('ORDER ENTRY FORM'!$A$3:$A$60,bhpc_data[[#This Row],[sku]],'ORDER ENTRY FORM'!#REF!)</f>
        <v>#REF!</v>
      </c>
      <c r="AL68" s="199" t="e">
        <f>dgn_data[[#This Row],[order]]+dgn_data[[#This Row],[foc_order]]</f>
        <v>#REF!</v>
      </c>
    </row>
    <row r="69" spans="1:38">
      <c r="A69" s="189" t="s">
        <v>1</v>
      </c>
      <c r="B69" s="189" t="s">
        <v>133</v>
      </c>
      <c r="C69" s="189">
        <v>1</v>
      </c>
      <c r="D69" s="189" t="s">
        <v>339</v>
      </c>
      <c r="E69" s="191">
        <v>8718719850015</v>
      </c>
      <c r="F69" s="190" t="s">
        <v>340</v>
      </c>
      <c r="G69" s="189" t="s">
        <v>169</v>
      </c>
      <c r="H69" s="189" t="s">
        <v>341</v>
      </c>
      <c r="I69" s="189">
        <v>48</v>
      </c>
      <c r="J69" s="189">
        <v>36</v>
      </c>
      <c r="K69" s="189">
        <v>4</v>
      </c>
      <c r="L69" s="189">
        <v>9</v>
      </c>
      <c r="N69" s="189">
        <v>485</v>
      </c>
      <c r="O69" s="189">
        <v>360</v>
      </c>
      <c r="P69" s="189">
        <v>195</v>
      </c>
      <c r="Q69" s="189">
        <v>7.48</v>
      </c>
      <c r="R69" s="189">
        <v>7.7</v>
      </c>
      <c r="S69" s="189">
        <v>175</v>
      </c>
      <c r="T69" s="189">
        <v>0</v>
      </c>
      <c r="U69" s="189">
        <v>0</v>
      </c>
      <c r="V69" s="189">
        <v>1</v>
      </c>
      <c r="W69" s="189">
        <v>0</v>
      </c>
      <c r="X69" s="189">
        <v>0</v>
      </c>
      <c r="Y69" s="189">
        <v>0</v>
      </c>
      <c r="Z69" s="190" t="s">
        <v>342</v>
      </c>
      <c r="AB69" s="204">
        <f>ROUNDUP(dgn_data[[#This Row],[order]]/bhpc_data[[#This Row],[units_per_carton]],0)</f>
        <v>0</v>
      </c>
      <c r="AC69" s="204" t="e">
        <f>dgn_data[[#This Row],[foc_order]]/bhpc_data[[#This Row],[units_per_carton]]</f>
        <v>#REF!</v>
      </c>
      <c r="AD69" s="202" t="e">
        <f>(bhpc_data[[#This Row],[net_weight]]/bhpc_data[[#This Row],[units_per_carton]])*dgn_data[[#This Row],[tot_order]]*bhpc_data[[#This Row],[product1_weight]]</f>
        <v>#REF!</v>
      </c>
      <c r="AE69" s="209" t="e">
        <f>(bhpc_data[[#This Row],[net_weight]]/bhpc_data[[#This Row],[units_per_carton]])*dgn_data[[#This Row],[tot_order]]*bhpc_data[[#This Row],[product2_weight]]</f>
        <v>#REF!</v>
      </c>
      <c r="AF69" s="202" t="e">
        <f>(bhpc_data[[#This Row],[gross_weight]]/bhpc_data[[#This Row],[units_per_carton]])*dgn_data[[#This Row],[tot_order]]*bhpc_data[[#This Row],[product1_weight]]</f>
        <v>#REF!</v>
      </c>
      <c r="AG69" s="209" t="e">
        <f>(bhpc_data[[#This Row],[gross_weight]]/bhpc_data[[#This Row],[units_per_carton]])*dgn_data[[#This Row],[tot_order]]*bhpc_data[[#This Row],[product2_weight]]</f>
        <v>#REF!</v>
      </c>
      <c r="AH69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69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69" s="199">
        <f>SUMIF('ORDER ENTRY FORM'!$A$3:$A$60,bhpc_data[[#This Row],[sku]],'ORDER ENTRY FORM'!$C$3:$C$60)</f>
        <v>0</v>
      </c>
      <c r="AK69" s="199" t="e">
        <f>SUMIF('ORDER ENTRY FORM'!$A$3:$A$60,bhpc_data[[#This Row],[sku]],'ORDER ENTRY FORM'!#REF!)</f>
        <v>#REF!</v>
      </c>
      <c r="AL69" s="199" t="e">
        <f>dgn_data[[#This Row],[order]]+dgn_data[[#This Row],[foc_order]]</f>
        <v>#REF!</v>
      </c>
    </row>
    <row r="70" spans="1:38">
      <c r="A70" s="189" t="s">
        <v>2</v>
      </c>
      <c r="B70" s="189" t="s">
        <v>133</v>
      </c>
      <c r="C70" s="189">
        <v>1</v>
      </c>
      <c r="D70" s="189" t="s">
        <v>339</v>
      </c>
      <c r="E70" s="191">
        <v>8718719850022</v>
      </c>
      <c r="F70" s="190" t="s">
        <v>340</v>
      </c>
      <c r="G70" s="189" t="s">
        <v>170</v>
      </c>
      <c r="H70" s="189" t="s">
        <v>341</v>
      </c>
      <c r="I70" s="189">
        <v>48</v>
      </c>
      <c r="J70" s="189">
        <v>36</v>
      </c>
      <c r="K70" s="189">
        <v>4</v>
      </c>
      <c r="L70" s="189">
        <v>9</v>
      </c>
      <c r="N70" s="189">
        <v>485</v>
      </c>
      <c r="O70" s="189">
        <v>360</v>
      </c>
      <c r="P70" s="189">
        <v>195</v>
      </c>
      <c r="Q70" s="189">
        <v>7.48</v>
      </c>
      <c r="R70" s="189">
        <v>7.7</v>
      </c>
      <c r="S70" s="189">
        <v>175</v>
      </c>
      <c r="T70" s="189">
        <v>0</v>
      </c>
      <c r="U70" s="189">
        <v>0</v>
      </c>
      <c r="V70" s="189">
        <v>1</v>
      </c>
      <c r="W70" s="189">
        <v>0</v>
      </c>
      <c r="X70" s="189">
        <v>0</v>
      </c>
      <c r="Y70" s="189">
        <v>0</v>
      </c>
      <c r="Z70" s="190" t="s">
        <v>342</v>
      </c>
      <c r="AB70" s="204">
        <f>ROUNDUP(dgn_data[[#This Row],[order]]/bhpc_data[[#This Row],[units_per_carton]],0)</f>
        <v>0</v>
      </c>
      <c r="AC70" s="204" t="e">
        <f>dgn_data[[#This Row],[foc_order]]/bhpc_data[[#This Row],[units_per_carton]]</f>
        <v>#REF!</v>
      </c>
      <c r="AD70" s="202" t="e">
        <f>(bhpc_data[[#This Row],[net_weight]]/bhpc_data[[#This Row],[units_per_carton]])*dgn_data[[#This Row],[tot_order]]*bhpc_data[[#This Row],[product1_weight]]</f>
        <v>#REF!</v>
      </c>
      <c r="AE70" s="209" t="e">
        <f>(bhpc_data[[#This Row],[net_weight]]/bhpc_data[[#This Row],[units_per_carton]])*dgn_data[[#This Row],[tot_order]]*bhpc_data[[#This Row],[product2_weight]]</f>
        <v>#REF!</v>
      </c>
      <c r="AF70" s="202" t="e">
        <f>(bhpc_data[[#This Row],[gross_weight]]/bhpc_data[[#This Row],[units_per_carton]])*dgn_data[[#This Row],[tot_order]]*bhpc_data[[#This Row],[product1_weight]]</f>
        <v>#REF!</v>
      </c>
      <c r="AG70" s="209" t="e">
        <f>(bhpc_data[[#This Row],[gross_weight]]/bhpc_data[[#This Row],[units_per_carton]])*dgn_data[[#This Row],[tot_order]]*bhpc_data[[#This Row],[product2_weight]]</f>
        <v>#REF!</v>
      </c>
      <c r="AH70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0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0" s="199">
        <f>SUMIF('ORDER ENTRY FORM'!$A$3:$A$60,bhpc_data[[#This Row],[sku]],'ORDER ENTRY FORM'!$C$3:$C$60)</f>
        <v>0</v>
      </c>
      <c r="AK70" s="199" t="e">
        <f>SUMIF('ORDER ENTRY FORM'!$A$3:$A$60,bhpc_data[[#This Row],[sku]],'ORDER ENTRY FORM'!#REF!)</f>
        <v>#REF!</v>
      </c>
      <c r="AL70" s="199" t="e">
        <f>dgn_data[[#This Row],[order]]+dgn_data[[#This Row],[foc_order]]</f>
        <v>#REF!</v>
      </c>
    </row>
    <row r="71" spans="1:38">
      <c r="A71" s="189" t="s">
        <v>3</v>
      </c>
      <c r="B71" s="189" t="s">
        <v>133</v>
      </c>
      <c r="C71" s="189">
        <v>1</v>
      </c>
      <c r="D71" s="189" t="s">
        <v>339</v>
      </c>
      <c r="E71" s="191">
        <v>8718719850039</v>
      </c>
      <c r="F71" s="190" t="s">
        <v>340</v>
      </c>
      <c r="G71" s="189" t="s">
        <v>171</v>
      </c>
      <c r="H71" s="189" t="s">
        <v>341</v>
      </c>
      <c r="I71" s="189">
        <v>48</v>
      </c>
      <c r="J71" s="189">
        <v>36</v>
      </c>
      <c r="K71" s="189">
        <v>4</v>
      </c>
      <c r="L71" s="189">
        <v>9</v>
      </c>
      <c r="N71" s="189">
        <v>485</v>
      </c>
      <c r="O71" s="189">
        <v>360</v>
      </c>
      <c r="P71" s="189">
        <v>195</v>
      </c>
      <c r="Q71" s="189">
        <v>7.48</v>
      </c>
      <c r="R71" s="189">
        <v>7.7</v>
      </c>
      <c r="S71" s="189">
        <v>175</v>
      </c>
      <c r="T71" s="189">
        <v>0</v>
      </c>
      <c r="U71" s="189">
        <v>0</v>
      </c>
      <c r="V71" s="189">
        <v>1</v>
      </c>
      <c r="W71" s="189">
        <v>0</v>
      </c>
      <c r="X71" s="189">
        <v>0</v>
      </c>
      <c r="Y71" s="189">
        <v>0</v>
      </c>
      <c r="Z71" s="190" t="s">
        <v>342</v>
      </c>
      <c r="AB71" s="204">
        <f>ROUNDUP(dgn_data[[#This Row],[order]]/bhpc_data[[#This Row],[units_per_carton]],0)</f>
        <v>0</v>
      </c>
      <c r="AC71" s="204" t="e">
        <f>dgn_data[[#This Row],[foc_order]]/bhpc_data[[#This Row],[units_per_carton]]</f>
        <v>#REF!</v>
      </c>
      <c r="AD71" s="202" t="e">
        <f>(bhpc_data[[#This Row],[net_weight]]/bhpc_data[[#This Row],[units_per_carton]])*dgn_data[[#This Row],[tot_order]]*bhpc_data[[#This Row],[product1_weight]]</f>
        <v>#REF!</v>
      </c>
      <c r="AE71" s="209" t="e">
        <f>(bhpc_data[[#This Row],[net_weight]]/bhpc_data[[#This Row],[units_per_carton]])*dgn_data[[#This Row],[tot_order]]*bhpc_data[[#This Row],[product2_weight]]</f>
        <v>#REF!</v>
      </c>
      <c r="AF71" s="202" t="e">
        <f>(bhpc_data[[#This Row],[gross_weight]]/bhpc_data[[#This Row],[units_per_carton]])*dgn_data[[#This Row],[tot_order]]*bhpc_data[[#This Row],[product1_weight]]</f>
        <v>#REF!</v>
      </c>
      <c r="AG71" s="209" t="e">
        <f>(bhpc_data[[#This Row],[gross_weight]]/bhpc_data[[#This Row],[units_per_carton]])*dgn_data[[#This Row],[tot_order]]*bhpc_data[[#This Row],[product2_weight]]</f>
        <v>#REF!</v>
      </c>
      <c r="AH71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1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1" s="199">
        <f>SUMIF('ORDER ENTRY FORM'!$A$3:$A$60,bhpc_data[[#This Row],[sku]],'ORDER ENTRY FORM'!$C$3:$C$60)</f>
        <v>0</v>
      </c>
      <c r="AK71" s="199" t="e">
        <f>SUMIF('ORDER ENTRY FORM'!$A$3:$A$60,bhpc_data[[#This Row],[sku]],'ORDER ENTRY FORM'!#REF!)</f>
        <v>#REF!</v>
      </c>
      <c r="AL71" s="199" t="e">
        <f>dgn_data[[#This Row],[order]]+dgn_data[[#This Row],[foc_order]]</f>
        <v>#REF!</v>
      </c>
    </row>
    <row r="72" spans="1:38">
      <c r="A72" s="189" t="s">
        <v>159</v>
      </c>
      <c r="B72" s="189" t="s">
        <v>160</v>
      </c>
      <c r="C72" s="189">
        <v>1</v>
      </c>
      <c r="D72" s="189" t="s">
        <v>335</v>
      </c>
      <c r="E72" s="191">
        <v>6291107164236</v>
      </c>
      <c r="F72" s="190" t="s">
        <v>336</v>
      </c>
      <c r="G72" s="189" t="s">
        <v>161</v>
      </c>
      <c r="H72" s="189" t="s">
        <v>337</v>
      </c>
      <c r="I72" s="189">
        <v>24</v>
      </c>
      <c r="J72" s="189">
        <v>64</v>
      </c>
      <c r="K72" s="189">
        <v>8</v>
      </c>
      <c r="L72" s="189">
        <v>8</v>
      </c>
      <c r="N72" s="189">
        <v>330</v>
      </c>
      <c r="O72" s="189">
        <v>210</v>
      </c>
      <c r="P72" s="189">
        <v>230</v>
      </c>
      <c r="Q72" s="189">
        <v>6.35</v>
      </c>
      <c r="R72" s="189">
        <v>7</v>
      </c>
      <c r="S72" s="189">
        <v>200</v>
      </c>
      <c r="T72" s="189">
        <v>0</v>
      </c>
      <c r="U72" s="189">
        <v>0</v>
      </c>
      <c r="V72" s="189">
        <v>1</v>
      </c>
      <c r="W72" s="189">
        <v>0</v>
      </c>
      <c r="X72" s="189">
        <v>0</v>
      </c>
      <c r="Y72" s="189">
        <v>0</v>
      </c>
      <c r="Z72" s="190" t="s">
        <v>338</v>
      </c>
      <c r="AB72" s="204">
        <f>ROUNDUP(dgn_data[[#This Row],[order]]/bhpc_data[[#This Row],[units_per_carton]],0)</f>
        <v>0</v>
      </c>
      <c r="AC72" s="204" t="e">
        <f>dgn_data[[#This Row],[foc_order]]/bhpc_data[[#This Row],[units_per_carton]]</f>
        <v>#REF!</v>
      </c>
      <c r="AD72" s="202" t="e">
        <f>(bhpc_data[[#This Row],[net_weight]]/bhpc_data[[#This Row],[units_per_carton]])*dgn_data[[#This Row],[tot_order]]*bhpc_data[[#This Row],[product1_weight]]</f>
        <v>#REF!</v>
      </c>
      <c r="AE72" s="209" t="e">
        <f>(bhpc_data[[#This Row],[net_weight]]/bhpc_data[[#This Row],[units_per_carton]])*dgn_data[[#This Row],[tot_order]]*bhpc_data[[#This Row],[product2_weight]]</f>
        <v>#REF!</v>
      </c>
      <c r="AF72" s="202" t="e">
        <f>(bhpc_data[[#This Row],[gross_weight]]/bhpc_data[[#This Row],[units_per_carton]])*dgn_data[[#This Row],[tot_order]]*bhpc_data[[#This Row],[product1_weight]]</f>
        <v>#REF!</v>
      </c>
      <c r="AG72" s="209" t="e">
        <f>(bhpc_data[[#This Row],[gross_weight]]/bhpc_data[[#This Row],[units_per_carton]])*dgn_data[[#This Row],[tot_order]]*bhpc_data[[#This Row],[product2_weight]]</f>
        <v>#REF!</v>
      </c>
      <c r="AH72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2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2" s="199">
        <f>SUMIF('ORDER ENTRY FORM'!$A$3:$A$60,bhpc_data[[#This Row],[sku]],'ORDER ENTRY FORM'!$C$3:$C$60)</f>
        <v>0</v>
      </c>
      <c r="AK72" s="199" t="e">
        <f>SUMIF('ORDER ENTRY FORM'!$A$3:$A$60,bhpc_data[[#This Row],[sku]],'ORDER ENTRY FORM'!#REF!)</f>
        <v>#REF!</v>
      </c>
      <c r="AL72" s="199" t="e">
        <f>dgn_data[[#This Row],[order]]+dgn_data[[#This Row],[foc_order]]</f>
        <v>#REF!</v>
      </c>
    </row>
    <row r="73" spans="1:38">
      <c r="A73" s="189" t="s">
        <v>162</v>
      </c>
      <c r="B73" s="189" t="s">
        <v>160</v>
      </c>
      <c r="C73" s="189">
        <v>1</v>
      </c>
      <c r="D73" s="189" t="s">
        <v>335</v>
      </c>
      <c r="E73" s="191">
        <v>6291107164243</v>
      </c>
      <c r="F73" s="190" t="s">
        <v>336</v>
      </c>
      <c r="G73" s="189" t="s">
        <v>163</v>
      </c>
      <c r="H73" s="189" t="s">
        <v>337</v>
      </c>
      <c r="I73" s="189">
        <v>24</v>
      </c>
      <c r="J73" s="189">
        <v>64</v>
      </c>
      <c r="K73" s="189">
        <v>8</v>
      </c>
      <c r="L73" s="189">
        <v>8</v>
      </c>
      <c r="N73" s="189">
        <v>330</v>
      </c>
      <c r="O73" s="189">
        <v>210</v>
      </c>
      <c r="P73" s="189">
        <v>230</v>
      </c>
      <c r="Q73" s="189">
        <v>6.35</v>
      </c>
      <c r="R73" s="189">
        <v>7</v>
      </c>
      <c r="S73" s="189">
        <v>200</v>
      </c>
      <c r="T73" s="189">
        <v>0</v>
      </c>
      <c r="U73" s="189">
        <v>0</v>
      </c>
      <c r="V73" s="189">
        <v>1</v>
      </c>
      <c r="W73" s="189">
        <v>0</v>
      </c>
      <c r="X73" s="189">
        <v>0</v>
      </c>
      <c r="Y73" s="189">
        <v>0</v>
      </c>
      <c r="Z73" s="190" t="s">
        <v>338</v>
      </c>
      <c r="AB73" s="204">
        <f>ROUNDUP(dgn_data[[#This Row],[order]]/bhpc_data[[#This Row],[units_per_carton]],0)</f>
        <v>0</v>
      </c>
      <c r="AC73" s="204" t="e">
        <f>dgn_data[[#This Row],[foc_order]]/bhpc_data[[#This Row],[units_per_carton]]</f>
        <v>#REF!</v>
      </c>
      <c r="AD73" s="202" t="e">
        <f>(bhpc_data[[#This Row],[net_weight]]/bhpc_data[[#This Row],[units_per_carton]])*dgn_data[[#This Row],[tot_order]]*bhpc_data[[#This Row],[product1_weight]]</f>
        <v>#REF!</v>
      </c>
      <c r="AE73" s="209" t="e">
        <f>(bhpc_data[[#This Row],[net_weight]]/bhpc_data[[#This Row],[units_per_carton]])*dgn_data[[#This Row],[tot_order]]*bhpc_data[[#This Row],[product2_weight]]</f>
        <v>#REF!</v>
      </c>
      <c r="AF73" s="202" t="e">
        <f>(bhpc_data[[#This Row],[gross_weight]]/bhpc_data[[#This Row],[units_per_carton]])*dgn_data[[#This Row],[tot_order]]*bhpc_data[[#This Row],[product1_weight]]</f>
        <v>#REF!</v>
      </c>
      <c r="AG73" s="209" t="e">
        <f>(bhpc_data[[#This Row],[gross_weight]]/bhpc_data[[#This Row],[units_per_carton]])*dgn_data[[#This Row],[tot_order]]*bhpc_data[[#This Row],[product2_weight]]</f>
        <v>#REF!</v>
      </c>
      <c r="AH73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3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3" s="199">
        <f>SUMIF('ORDER ENTRY FORM'!$A$3:$A$60,bhpc_data[[#This Row],[sku]],'ORDER ENTRY FORM'!$C$3:$C$60)</f>
        <v>0</v>
      </c>
      <c r="AK73" s="199" t="e">
        <f>SUMIF('ORDER ENTRY FORM'!$A$3:$A$60,bhpc_data[[#This Row],[sku]],'ORDER ENTRY FORM'!#REF!)</f>
        <v>#REF!</v>
      </c>
      <c r="AL73" s="199" t="e">
        <f>dgn_data[[#This Row],[order]]+dgn_data[[#This Row],[foc_order]]</f>
        <v>#REF!</v>
      </c>
    </row>
    <row r="74" spans="1:38">
      <c r="A74" s="189" t="s">
        <v>164</v>
      </c>
      <c r="B74" s="189" t="s">
        <v>160</v>
      </c>
      <c r="C74" s="189">
        <v>1</v>
      </c>
      <c r="D74" s="189" t="s">
        <v>335</v>
      </c>
      <c r="E74" s="191">
        <v>6291107164250</v>
      </c>
      <c r="F74" s="190" t="s">
        <v>336</v>
      </c>
      <c r="G74" s="189" t="s">
        <v>165</v>
      </c>
      <c r="H74" s="189" t="s">
        <v>337</v>
      </c>
      <c r="I74" s="189">
        <v>24</v>
      </c>
      <c r="J74" s="189">
        <v>64</v>
      </c>
      <c r="K74" s="189">
        <v>8</v>
      </c>
      <c r="L74" s="189">
        <v>8</v>
      </c>
      <c r="N74" s="189">
        <v>330</v>
      </c>
      <c r="O74" s="189">
        <v>210</v>
      </c>
      <c r="P74" s="189">
        <v>230</v>
      </c>
      <c r="Q74" s="189">
        <v>6.35</v>
      </c>
      <c r="R74" s="189">
        <v>7</v>
      </c>
      <c r="S74" s="189">
        <v>200</v>
      </c>
      <c r="T74" s="189">
        <v>0</v>
      </c>
      <c r="U74" s="189">
        <v>0</v>
      </c>
      <c r="V74" s="189">
        <v>1</v>
      </c>
      <c r="W74" s="189">
        <v>0</v>
      </c>
      <c r="X74" s="189">
        <v>0</v>
      </c>
      <c r="Y74" s="189">
        <v>0</v>
      </c>
      <c r="Z74" s="190" t="s">
        <v>338</v>
      </c>
      <c r="AB74" s="204">
        <f>ROUNDUP(dgn_data[[#This Row],[order]]/bhpc_data[[#This Row],[units_per_carton]],0)</f>
        <v>0</v>
      </c>
      <c r="AC74" s="204" t="e">
        <f>dgn_data[[#This Row],[foc_order]]/bhpc_data[[#This Row],[units_per_carton]]</f>
        <v>#REF!</v>
      </c>
      <c r="AD74" s="202" t="e">
        <f>(bhpc_data[[#This Row],[net_weight]]/bhpc_data[[#This Row],[units_per_carton]])*dgn_data[[#This Row],[tot_order]]*bhpc_data[[#This Row],[product1_weight]]</f>
        <v>#REF!</v>
      </c>
      <c r="AE74" s="209" t="e">
        <f>(bhpc_data[[#This Row],[net_weight]]/bhpc_data[[#This Row],[units_per_carton]])*dgn_data[[#This Row],[tot_order]]*bhpc_data[[#This Row],[product2_weight]]</f>
        <v>#REF!</v>
      </c>
      <c r="AF74" s="202" t="e">
        <f>(bhpc_data[[#This Row],[gross_weight]]/bhpc_data[[#This Row],[units_per_carton]])*dgn_data[[#This Row],[tot_order]]*bhpc_data[[#This Row],[product1_weight]]</f>
        <v>#REF!</v>
      </c>
      <c r="AG74" s="209" t="e">
        <f>(bhpc_data[[#This Row],[gross_weight]]/bhpc_data[[#This Row],[units_per_carton]])*dgn_data[[#This Row],[tot_order]]*bhpc_data[[#This Row],[product2_weight]]</f>
        <v>#REF!</v>
      </c>
      <c r="AH74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4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4" s="199">
        <f>SUMIF('ORDER ENTRY FORM'!$A$3:$A$60,bhpc_data[[#This Row],[sku]],'ORDER ENTRY FORM'!$C$3:$C$60)</f>
        <v>0</v>
      </c>
      <c r="AK74" s="199" t="e">
        <f>SUMIF('ORDER ENTRY FORM'!$A$3:$A$60,bhpc_data[[#This Row],[sku]],'ORDER ENTRY FORM'!#REF!)</f>
        <v>#REF!</v>
      </c>
      <c r="AL74" s="199" t="e">
        <f>dgn_data[[#This Row],[order]]+dgn_data[[#This Row],[foc_order]]</f>
        <v>#REF!</v>
      </c>
    </row>
    <row r="75" spans="1:38">
      <c r="A75" s="189" t="s">
        <v>166</v>
      </c>
      <c r="B75" s="189" t="s">
        <v>160</v>
      </c>
      <c r="C75" s="189">
        <v>1</v>
      </c>
      <c r="D75" s="189" t="s">
        <v>335</v>
      </c>
      <c r="E75" s="191">
        <v>6291107164267</v>
      </c>
      <c r="F75" s="190" t="s">
        <v>336</v>
      </c>
      <c r="G75" s="189" t="s">
        <v>167</v>
      </c>
      <c r="H75" s="189" t="s">
        <v>337</v>
      </c>
      <c r="I75" s="189">
        <v>24</v>
      </c>
      <c r="J75" s="189">
        <v>64</v>
      </c>
      <c r="K75" s="189">
        <v>8</v>
      </c>
      <c r="L75" s="189">
        <v>8</v>
      </c>
      <c r="N75" s="189">
        <v>330</v>
      </c>
      <c r="O75" s="189">
        <v>210</v>
      </c>
      <c r="P75" s="189">
        <v>230</v>
      </c>
      <c r="Q75" s="189">
        <v>6.35</v>
      </c>
      <c r="R75" s="189">
        <v>7</v>
      </c>
      <c r="S75" s="189">
        <v>200</v>
      </c>
      <c r="T75" s="189">
        <v>0</v>
      </c>
      <c r="U75" s="189">
        <v>0</v>
      </c>
      <c r="V75" s="189">
        <v>1</v>
      </c>
      <c r="W75" s="189">
        <v>0</v>
      </c>
      <c r="X75" s="189">
        <v>0</v>
      </c>
      <c r="Y75" s="189">
        <v>0</v>
      </c>
      <c r="Z75" s="190" t="s">
        <v>338</v>
      </c>
      <c r="AB75" s="204">
        <f>ROUNDUP(dgn_data[[#This Row],[order]]/bhpc_data[[#This Row],[units_per_carton]],0)</f>
        <v>0</v>
      </c>
      <c r="AC75" s="204" t="e">
        <f>dgn_data[[#This Row],[foc_order]]/bhpc_data[[#This Row],[units_per_carton]]</f>
        <v>#REF!</v>
      </c>
      <c r="AD75" s="202" t="e">
        <f>(bhpc_data[[#This Row],[net_weight]]/bhpc_data[[#This Row],[units_per_carton]])*dgn_data[[#This Row],[tot_order]]*bhpc_data[[#This Row],[product1_weight]]</f>
        <v>#REF!</v>
      </c>
      <c r="AE75" s="209" t="e">
        <f>(bhpc_data[[#This Row],[net_weight]]/bhpc_data[[#This Row],[units_per_carton]])*dgn_data[[#This Row],[tot_order]]*bhpc_data[[#This Row],[product2_weight]]</f>
        <v>#REF!</v>
      </c>
      <c r="AF75" s="202" t="e">
        <f>(bhpc_data[[#This Row],[gross_weight]]/bhpc_data[[#This Row],[units_per_carton]])*dgn_data[[#This Row],[tot_order]]*bhpc_data[[#This Row],[product1_weight]]</f>
        <v>#REF!</v>
      </c>
      <c r="AG75" s="209" t="e">
        <f>(bhpc_data[[#This Row],[gross_weight]]/bhpc_data[[#This Row],[units_per_carton]])*dgn_data[[#This Row],[tot_order]]*bhpc_data[[#This Row],[product2_weight]]</f>
        <v>#REF!</v>
      </c>
      <c r="AH75" s="202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5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5" s="199">
        <f>SUMIF('ORDER ENTRY FORM'!$A$3:$A$60,bhpc_data[[#This Row],[sku]],'ORDER ENTRY FORM'!$C$3:$C$60)</f>
        <v>0</v>
      </c>
      <c r="AK75" s="199" t="e">
        <f>SUMIF('ORDER ENTRY FORM'!$A$3:$A$60,bhpc_data[[#This Row],[sku]],'ORDER ENTRY FORM'!#REF!)</f>
        <v>#REF!</v>
      </c>
      <c r="AL75" s="199" t="e">
        <f>dgn_data[[#This Row],[order]]+dgn_data[[#This Row],[foc_order]]</f>
        <v>#REF!</v>
      </c>
    </row>
    <row r="76" spans="1:38">
      <c r="A76" s="192"/>
      <c r="B76" s="192" t="s">
        <v>133</v>
      </c>
      <c r="C76" s="192">
        <v>1</v>
      </c>
      <c r="D76" s="192" t="s">
        <v>335</v>
      </c>
      <c r="E76" s="194"/>
      <c r="F76" s="193"/>
      <c r="G76" s="192" t="s">
        <v>379</v>
      </c>
      <c r="H76" s="192" t="s">
        <v>341</v>
      </c>
      <c r="I76" s="192">
        <v>24</v>
      </c>
      <c r="J76" s="192"/>
      <c r="K76" s="192"/>
      <c r="L76" s="192"/>
      <c r="M76" s="192"/>
      <c r="N76" s="192"/>
      <c r="O76" s="192"/>
      <c r="P76" s="192"/>
      <c r="Q76" s="192"/>
      <c r="R76" s="192"/>
      <c r="S76" s="192">
        <v>250</v>
      </c>
      <c r="T76" s="192">
        <v>0</v>
      </c>
      <c r="U76" s="192">
        <v>0</v>
      </c>
      <c r="V76" s="192">
        <v>1</v>
      </c>
      <c r="W76" s="192">
        <v>0</v>
      </c>
      <c r="X76" s="192">
        <v>0</v>
      </c>
      <c r="Y76" s="192">
        <v>0</v>
      </c>
      <c r="Z76" s="193" t="s">
        <v>342</v>
      </c>
      <c r="AB76" s="211">
        <f>ROUNDUP(dgn_data[[#This Row],[order]]/bhpc_data[[#This Row],[units_per_carton]],0)</f>
        <v>0</v>
      </c>
      <c r="AC76" s="211" t="e">
        <f>dgn_data[[#This Row],[foc_order]]/bhpc_data[[#This Row],[units_per_carton]]</f>
        <v>#REF!</v>
      </c>
      <c r="AD76" s="209" t="e">
        <f>(bhpc_data[[#This Row],[net_weight]]/bhpc_data[[#This Row],[units_per_carton]])*dgn_data[[#This Row],[tot_order]]*bhpc_data[[#This Row],[product1_weight]]</f>
        <v>#REF!</v>
      </c>
      <c r="AE76" s="209" t="e">
        <f>(bhpc_data[[#This Row],[net_weight]]/bhpc_data[[#This Row],[units_per_carton]])*dgn_data[[#This Row],[tot_order]]*bhpc_data[[#This Row],[product2_weight]]</f>
        <v>#REF!</v>
      </c>
      <c r="AF76" s="209" t="e">
        <f>(bhpc_data[[#This Row],[gross_weight]]/bhpc_data[[#This Row],[units_per_carton]])*dgn_data[[#This Row],[tot_order]]*bhpc_data[[#This Row],[product1_weight]]</f>
        <v>#REF!</v>
      </c>
      <c r="AG76" s="209" t="e">
        <f>(bhpc_data[[#This Row],[gross_weight]]/bhpc_data[[#This Row],[units_per_carton]])*dgn_data[[#This Row],[tot_order]]*bhpc_data[[#This Row],[product2_weight]]</f>
        <v>#REF!</v>
      </c>
      <c r="AH76" s="209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6" s="209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6" s="199">
        <f>SUMIF('ORDER ENTRY FORM'!$A$3:$A$60,bhpc_data[[#This Row],[sku]],'ORDER ENTRY FORM'!$C$3:$C$60)</f>
        <v>0</v>
      </c>
      <c r="AK76" s="199" t="e">
        <f>SUMIF('ORDER ENTRY FORM'!$A$3:$A$60,bhpc_data[[#This Row],[sku]],'ORDER ENTRY FORM'!#REF!)</f>
        <v>#REF!</v>
      </c>
      <c r="AL76" s="199" t="e">
        <f>dgn_data[[#This Row],[order]]+dgn_data[[#This Row],[foc_order]]</f>
        <v>#REF!</v>
      </c>
    </row>
    <row r="77" spans="1:38">
      <c r="A77" s="192"/>
      <c r="B77" s="192" t="s">
        <v>133</v>
      </c>
      <c r="C77" s="192">
        <v>1</v>
      </c>
      <c r="D77" s="192" t="s">
        <v>339</v>
      </c>
      <c r="E77" s="194"/>
      <c r="F77" s="193"/>
      <c r="G77" s="192" t="s">
        <v>378</v>
      </c>
      <c r="H77" s="192" t="s">
        <v>341</v>
      </c>
      <c r="I77" s="192">
        <v>24</v>
      </c>
      <c r="J77" s="192"/>
      <c r="K77" s="192"/>
      <c r="L77" s="192"/>
      <c r="M77" s="192"/>
      <c r="N77" s="192"/>
      <c r="O77" s="192"/>
      <c r="P77" s="192"/>
      <c r="Q77" s="192"/>
      <c r="R77" s="192"/>
      <c r="S77" s="192">
        <v>300</v>
      </c>
      <c r="T77" s="192">
        <v>0</v>
      </c>
      <c r="U77" s="192">
        <v>0</v>
      </c>
      <c r="V77" s="192">
        <v>1</v>
      </c>
      <c r="W77" s="192">
        <v>0</v>
      </c>
      <c r="X77" s="192">
        <v>0</v>
      </c>
      <c r="Y77" s="192">
        <v>0</v>
      </c>
      <c r="Z77" s="193" t="s">
        <v>342</v>
      </c>
      <c r="AB77" s="212">
        <f>ROUNDUP(dgn_data[[#This Row],[order]]/bhpc_data[[#This Row],[units_per_carton]],0)</f>
        <v>0</v>
      </c>
      <c r="AC77" s="212" t="e">
        <f>dgn_data[[#This Row],[foc_order]]/bhpc_data[[#This Row],[units_per_carton]]</f>
        <v>#REF!</v>
      </c>
      <c r="AD77" s="213" t="e">
        <f>(bhpc_data[[#This Row],[net_weight]]/bhpc_data[[#This Row],[units_per_carton]])*dgn_data[[#This Row],[tot_order]]*bhpc_data[[#This Row],[product1_weight]]</f>
        <v>#REF!</v>
      </c>
      <c r="AE77" s="213" t="e">
        <f>(bhpc_data[[#This Row],[net_weight]]/bhpc_data[[#This Row],[units_per_carton]])*dgn_data[[#This Row],[tot_order]]*bhpc_data[[#This Row],[product2_weight]]</f>
        <v>#REF!</v>
      </c>
      <c r="AF77" s="213" t="e">
        <f>(bhpc_data[[#This Row],[gross_weight]]/bhpc_data[[#This Row],[units_per_carton]])*dgn_data[[#This Row],[tot_order]]*bhpc_data[[#This Row],[product1_weight]]</f>
        <v>#REF!</v>
      </c>
      <c r="AG77" s="213" t="e">
        <f>(bhpc_data[[#This Row],[gross_weight]]/bhpc_data[[#This Row],[units_per_carton]])*dgn_data[[#This Row],[tot_order]]*bhpc_data[[#This Row],[product2_weight]]</f>
        <v>#REF!</v>
      </c>
      <c r="AH77" s="213" t="e">
        <f>(bhpc_data[[#This Row],[lenght]]*bhpc_data[[#This Row],[width]]*bhpc_data[[#This Row],[height]])/1000000000*dgn_data[[#This Row],[tot_order]]/bhpc_data[[#This Row],[units_per_carton]]*bhpc_data[[#This Row],[product1_weight]]</f>
        <v>#REF!</v>
      </c>
      <c r="AI77" s="213" t="e">
        <f>(bhpc_data[[#This Row],[lenght]]*bhpc_data[[#This Row],[width]]*bhpc_data[[#This Row],[height]])/1000000000*dgn_data[[#This Row],[tot_order]]/bhpc_data[[#This Row],[units_per_carton]]*bhpc_data[[#This Row],[product2_weight]]</f>
        <v>#REF!</v>
      </c>
      <c r="AJ77" s="214">
        <f>SUMIF('ORDER ENTRY FORM'!$A$3:$A$60,bhpc_data[[#This Row],[sku]],'ORDER ENTRY FORM'!$C$3:$C$60)</f>
        <v>0</v>
      </c>
      <c r="AK77" s="214" t="e">
        <f>SUMIF('ORDER ENTRY FORM'!$A$3:$A$60,bhpc_data[[#This Row],[sku]],'ORDER ENTRY FORM'!#REF!)</f>
        <v>#REF!</v>
      </c>
      <c r="AL77" s="214" t="e">
        <f>dgn_data[[#This Row],[order]]+dgn_data[[#This Row],[foc_order]]</f>
        <v>#REF!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4"/>
  <dimension ref="A3:R40"/>
  <sheetViews>
    <sheetView workbookViewId="0">
      <selection activeCell="H55" sqref="H55"/>
    </sheetView>
  </sheetViews>
  <sheetFormatPr defaultRowHeight="14.5"/>
  <cols>
    <col min="2" max="2" width="13.1796875" customWidth="1"/>
    <col min="3" max="10" width="14.453125" customWidth="1"/>
    <col min="11" max="14" width="14.81640625" customWidth="1"/>
    <col min="15" max="15" width="10.26953125" style="22" bestFit="1" customWidth="1"/>
  </cols>
  <sheetData>
    <row r="3" spans="1:18">
      <c r="B3" s="25" t="s">
        <v>256</v>
      </c>
      <c r="C3" s="20" t="s">
        <v>242</v>
      </c>
      <c r="D3" s="20" t="s">
        <v>243</v>
      </c>
      <c r="E3" s="20" t="s">
        <v>244</v>
      </c>
      <c r="F3" s="20" t="s">
        <v>254</v>
      </c>
      <c r="G3" s="20" t="s">
        <v>240</v>
      </c>
      <c r="H3" s="20"/>
      <c r="I3" s="20"/>
      <c r="J3" s="20"/>
      <c r="K3" s="20" t="s">
        <v>245</v>
      </c>
      <c r="L3" s="20" t="s">
        <v>254</v>
      </c>
      <c r="M3" s="20"/>
      <c r="N3" s="20"/>
    </row>
    <row r="4" spans="1:18">
      <c r="B4" s="25"/>
      <c r="C4" s="383" t="s">
        <v>239</v>
      </c>
      <c r="D4" s="384"/>
      <c r="E4" s="384"/>
      <c r="F4" s="385"/>
      <c r="G4" s="383" t="s">
        <v>240</v>
      </c>
      <c r="H4" s="384"/>
      <c r="I4" s="384"/>
      <c r="J4" s="385"/>
      <c r="K4" s="383" t="s">
        <v>241</v>
      </c>
      <c r="L4" s="384"/>
      <c r="M4" s="384"/>
      <c r="N4" s="385"/>
    </row>
    <row r="5" spans="1:18" s="10" customFormat="1">
      <c r="B5" s="25"/>
      <c r="C5" s="17" t="s">
        <v>259</v>
      </c>
      <c r="D5" s="18" t="s">
        <v>260</v>
      </c>
      <c r="E5" s="18" t="s">
        <v>261</v>
      </c>
      <c r="F5" s="19"/>
      <c r="G5" s="17" t="s">
        <v>259</v>
      </c>
      <c r="H5" s="18" t="s">
        <v>260</v>
      </c>
      <c r="I5" s="18" t="s">
        <v>261</v>
      </c>
      <c r="J5" s="19"/>
      <c r="K5" s="17" t="s">
        <v>259</v>
      </c>
      <c r="L5" s="18" t="s">
        <v>260</v>
      </c>
      <c r="M5" s="18" t="s">
        <v>261</v>
      </c>
      <c r="N5" s="19"/>
      <c r="O5" s="22"/>
    </row>
    <row r="6" spans="1:18">
      <c r="B6" s="25" t="s">
        <v>237</v>
      </c>
      <c r="C6" s="198">
        <f>ROUNDUP(SUMIFS(dgn_data[normal_boxes],bhpc_data[category],C3)+SUMIFS(dgn_data[normal_boxes],bhpc_data[category],D3)+SUMIFS(dgn_data[normal_boxes],bhpc_data[category],E3)+SUMIFS(dgn_data[normal_boxes],bhpc_data[category],F3),0)</f>
        <v>61</v>
      </c>
      <c r="D6" s="197" t="e">
        <f>ROUNDUP(SUMIFS(dgn_data[testers_boxes],bhpc_data[category],C3)+SUMIFS(dgn_data[testers_boxes],bhpc_data[category],D3)+SUMIFS(dgn_data[testers_boxes],bhpc_data[category],E3)+SUMIFS(dgn_data[testers_boxes],bhpc_data[category],F3),0)</f>
        <v>#REF!</v>
      </c>
      <c r="E6" s="291" t="e">
        <f>C6+D6</f>
        <v>#REF!</v>
      </c>
      <c r="F6" s="21"/>
      <c r="G6" s="198">
        <f>ROUNDUP(SUMIFS(dgn_data[normal_boxes],bhpc_data[category],G3),0)</f>
        <v>0</v>
      </c>
      <c r="H6" s="197" t="e">
        <f>ROUNDUP(SUMIFS(dgn_data[testers_boxes],bhpc_data[category],G3),0)</f>
        <v>#REF!</v>
      </c>
      <c r="I6" s="291" t="e">
        <f>G6+H6</f>
        <v>#REF!</v>
      </c>
      <c r="J6" s="21"/>
      <c r="K6" s="198">
        <f>ROUNDUP(SUMIFS(dgn_data[normal_boxes],bhpc_data[category],K3)+SUMIFS(dgn_data[normal_boxes],bhpc_data[category],L3),0)</f>
        <v>41</v>
      </c>
      <c r="L6" s="197" t="e">
        <f>ROUNDUP(SUMIFS(dgn_data[testers_boxes],bhpc_data[category],K3)+SUMIFS(dgn_data[testers_boxes],bhpc_data[category],L3),0)</f>
        <v>#REF!</v>
      </c>
      <c r="M6" s="291" t="e">
        <f>K6+L6</f>
        <v>#REF!</v>
      </c>
      <c r="N6" s="21"/>
    </row>
    <row r="7" spans="1:18" s="3" customFormat="1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23"/>
    </row>
    <row r="8" spans="1:18">
      <c r="B8" s="2"/>
      <c r="C8" s="386" t="s">
        <v>239</v>
      </c>
      <c r="D8" s="387"/>
      <c r="E8" s="387"/>
      <c r="F8" s="388"/>
      <c r="G8" s="386" t="s">
        <v>240</v>
      </c>
      <c r="H8" s="387"/>
      <c r="I8" s="387"/>
      <c r="J8" s="388"/>
      <c r="K8" s="386" t="s">
        <v>241</v>
      </c>
      <c r="L8" s="387"/>
      <c r="M8" s="387"/>
      <c r="N8" s="388"/>
      <c r="Q8" s="207"/>
    </row>
    <row r="9" spans="1:18">
      <c r="A9" t="str">
        <f>IFERROR(INDEX(bhpc_data[size12], MATCH(0, COUNTIF($AM$2:AM2, bhpc_data[size12]&amp;"") + IF(bhpc_data[size12]="",1,0), 0)), "")</f>
        <v/>
      </c>
      <c r="B9" s="284" t="s">
        <v>246</v>
      </c>
      <c r="C9" s="4" t="s">
        <v>238</v>
      </c>
      <c r="D9" s="5" t="s">
        <v>234</v>
      </c>
      <c r="E9" s="5" t="s">
        <v>235</v>
      </c>
      <c r="F9" s="6" t="s">
        <v>236</v>
      </c>
      <c r="G9" s="4" t="s">
        <v>238</v>
      </c>
      <c r="H9" s="5" t="s">
        <v>234</v>
      </c>
      <c r="I9" s="5" t="s">
        <v>235</v>
      </c>
      <c r="J9" s="6" t="s">
        <v>236</v>
      </c>
      <c r="K9" s="4" t="s">
        <v>238</v>
      </c>
      <c r="L9" s="5" t="s">
        <v>234</v>
      </c>
      <c r="M9" s="5" t="s">
        <v>235</v>
      </c>
      <c r="N9" s="6" t="s">
        <v>236</v>
      </c>
      <c r="O9" s="24" t="s">
        <v>255</v>
      </c>
      <c r="Q9" s="206"/>
      <c r="R9" s="206"/>
    </row>
    <row r="10" spans="1:18">
      <c r="B10" s="284">
        <f t="array" ref="B10">IFERROR(INDEX(bhpc_data[size12], MATCH(0, COUNTIF($B$9:B9, bhpc_data[size12]&amp;"") + IF(bhpc_data[size12]="",1,0), 0)), "")</f>
        <v>50</v>
      </c>
      <c r="C10" s="285" t="e">
        <f>SUMIFS(dgn_data[tot_order],bhpc_data[size12],$B10,bhpc_data[category],$D$3)+SUMIFS(dgn_data[tot_order],bhpc_data[size12],$B10,bhpc_data[category],$E$3)+SUMIFS(dgn_data[tot_order],bhpc_data[size12],$B10,bhpc_data[category],$C$3)+SUMIFS(dgn_data[tot_order],bhpc_data[size12],$B10,bhpc_data[category],$F$3)</f>
        <v>#REF!</v>
      </c>
      <c r="D10" s="286" t="e">
        <f>SUMIFS(dgn_data[unit_net_weight],bhpc_data[size12],$B10,bhpc_data[category],$D$3)+SUMIFS(dgn_data[unit_net_weight],bhpc_data[size12],$B10,bhpc_data[category],$E$3)+SUMIFS(dgn_data[unit_net_weight],bhpc_data[size12],$B10,bhpc_data[category],$C$3)+SUMIFS(dgn_data[unit_net_weight],bhpc_data[size12],$B10,bhpc_data[category],$F$3)</f>
        <v>#REF!</v>
      </c>
      <c r="E10" s="286" t="e">
        <f>SUMIFS(dgn_data[unit_gross_weight],bhpc_data[size12],$B10,bhpc_data[category],$D$3)+SUMIFS(dgn_data[unit_gross_weight],bhpc_data[size12],$B10,bhpc_data[category],$E$3)+SUMIFS(dgn_data[unit_gross_weight],bhpc_data[size12],$B10,bhpc_data[category],$C$3)+SUMIFS(dgn_data[unit_gross_weight],bhpc_data[size12],$B10,bhpc_data[category],$F$3)</f>
        <v>#REF!</v>
      </c>
      <c r="F10" s="287" t="e">
        <f>SUMIFS(dgn_data[cbm],bhpc_data[size12],$B10,bhpc_data[category],$D$3)+SUMIFS(dgn_data[cbm],bhpc_data[size12],$B10,bhpc_data[category],$E$3)+SUMIFS(dgn_data[cbm],bhpc_data[size12],$B10,bhpc_data[category],$C$3)+SUMIFS(dgn_data[cbm],bhpc_data[size12],$B10,bhpc_data[category],$F$3)</f>
        <v>#REF!</v>
      </c>
      <c r="G10" s="215">
        <f>SUMIFS(dgn_data[tot_order],bhpc_data[size12],$B10,bhpc_data[category],$G$3)</f>
        <v>0</v>
      </c>
      <c r="H10" s="216">
        <f>SUMIFS(dgn_data[unit_net_weight],bhpc_data[size12],$B10,bhpc_data[category],$G$3)</f>
        <v>0</v>
      </c>
      <c r="I10" s="216">
        <f>SUMIFS(dgn_data[unit_gross_weight],bhpc_data[size12],$B10,bhpc_data[category],$G$3)</f>
        <v>0</v>
      </c>
      <c r="J10" s="217">
        <f>SUMIFS(dgn_data[cbm],bhpc_data[size12],$B10,bhpc_data[category],$G$3)</f>
        <v>0</v>
      </c>
      <c r="K10" s="216">
        <f>SUMIFS(dgn_data[tot_order],bhpc_data[size12],$B10,bhpc_data[category],$K$3)+SUMIFS(dgn_data[tot_order],bhpc_data[size22],$B10,bhpc_data[category],$L$3)</f>
        <v>0</v>
      </c>
      <c r="L10" s="216">
        <f>SUMIFS(dgn_data[unit_net_weight],bhpc_data[size12],$B10,bhpc_data[category],$K$3)+SUMIFS(dgn_data[unit_net_weight2],bhpc_data[size22],$B10,bhpc_data[category],$L$3)</f>
        <v>0</v>
      </c>
      <c r="M10" s="216">
        <f>SUMIFS(dgn_data[unit_gross_weight],bhpc_data[size12],$B10,bhpc_data[category],$K$3)+SUMIFS(dgn_data[unit_gross_weight2],bhpc_data[size22],$B10,bhpc_data[category],$L$3)</f>
        <v>0</v>
      </c>
      <c r="N10" s="217">
        <f>SUMIFS(dgn_data[cbm],bhpc_data[size12],$B10,bhpc_data[category],$K$3)+SUMIFS(dgn_data[cbm2],bhpc_data[size22],$B10,bhpc_data[category],$L$3)</f>
        <v>0</v>
      </c>
      <c r="O10" s="210" t="e">
        <f>C10+G10+K10</f>
        <v>#REF!</v>
      </c>
      <c r="P10" s="10"/>
    </row>
    <row r="11" spans="1:18">
      <c r="B11" s="284">
        <f t="array" ref="B11">IFERROR(INDEX(bhpc_data[size12], MATCH(0, COUNTIF($B$9:B10, bhpc_data[size12]&amp;"") + IF(bhpc_data[size12]="",1,0), 0)), "")</f>
        <v>100</v>
      </c>
      <c r="C11" s="288" t="e">
        <f>SUMIFS(dgn_data[tot_order],bhpc_data[size12],$B11,bhpc_data[category],$D$3)+SUMIFS(dgn_data[tot_order],bhpc_data[size12],$B11,bhpc_data[category],$E$3)+SUMIFS(dgn_data[tot_order],bhpc_data[size12],$B11,bhpc_data[category],$C$3)+SUMIFS(dgn_data[tot_order],bhpc_data[size12],$B11,bhpc_data[category],$F$3)</f>
        <v>#REF!</v>
      </c>
      <c r="D11" s="289" t="e">
        <f>SUMIFS(dgn_data[unit_net_weight],bhpc_data[size12],$B11,bhpc_data[category],$D$3)+SUMIFS(dgn_data[unit_net_weight],bhpc_data[size12],$B11,bhpc_data[category],$E$3)+SUMIFS(dgn_data[unit_net_weight],bhpc_data[size12],$B11,bhpc_data[category],$C$3)+SUMIFS(dgn_data[unit_net_weight],bhpc_data[size12],$B11,bhpc_data[category],$F$3)</f>
        <v>#REF!</v>
      </c>
      <c r="E11" s="289" t="e">
        <f>SUMIFS(dgn_data[unit_gross_weight],bhpc_data[size12],$B11,bhpc_data[category],$D$3)+SUMIFS(dgn_data[unit_gross_weight],bhpc_data[size12],$B11,bhpc_data[category],$E$3)+SUMIFS(dgn_data[unit_gross_weight],bhpc_data[size12],$B11,bhpc_data[category],$C$3)+SUMIFS(dgn_data[unit_gross_weight],bhpc_data[size12],$B11,bhpc_data[category],$F$3)</f>
        <v>#REF!</v>
      </c>
      <c r="F11" s="290" t="e">
        <f>SUMIFS(dgn_data[cbm],bhpc_data[size12],$B11,bhpc_data[category],$D$3)+SUMIFS(dgn_data[cbm],bhpc_data[size12],$B11,bhpc_data[category],$E$3)+SUMIFS(dgn_data[cbm],bhpc_data[size12],$B11,bhpc_data[category],$C$3)+SUMIFS(dgn_data[cbm],bhpc_data[size12],$B11,bhpc_data[category],$F$3)</f>
        <v>#REF!</v>
      </c>
      <c r="G11" s="15">
        <f>SUMIFS(dgn_data[tot_order],bhpc_data[size12],$B11,bhpc_data[category],$G$3)</f>
        <v>0</v>
      </c>
      <c r="H11" s="11">
        <f>SUMIFS(dgn_data[unit_net_weight],bhpc_data[size12],$B11,bhpc_data[category],$G$3)</f>
        <v>0</v>
      </c>
      <c r="I11" s="11">
        <f>SUMIFS(dgn_data[unit_gross_weight],bhpc_data[size12],$B11,bhpc_data[category],$G$3)</f>
        <v>0</v>
      </c>
      <c r="J11" s="13">
        <f>SUMIFS(dgn_data[cbm],bhpc_data[size12],$B11,bhpc_data[category],$G$3)</f>
        <v>0</v>
      </c>
      <c r="K11" s="11">
        <f>SUMIFS(dgn_data[tot_order],bhpc_data[size12],$B11,bhpc_data[category],$K$3)+SUMIFS(dgn_data[tot_order],bhpc_data[size22],$B11,bhpc_data[category],$L$3)</f>
        <v>0</v>
      </c>
      <c r="L11" s="11">
        <f>SUMIFS(dgn_data[unit_net_weight],bhpc_data[size12],$B11,bhpc_data[category],$K$3)+SUMIFS(dgn_data[unit_net_weight2],bhpc_data[size22],$B11,bhpc_data[category],$L$3)</f>
        <v>0</v>
      </c>
      <c r="M11" s="11">
        <f>SUMIFS(dgn_data[unit_gross_weight],bhpc_data[size12],$B11,bhpc_data[category],$K$3)+SUMIFS(dgn_data[unit_gross_weight2],bhpc_data[size22],$B11,bhpc_data[category],$L$3)</f>
        <v>0</v>
      </c>
      <c r="N11" s="13">
        <f>SUMIFS(dgn_data[cbm],bhpc_data[size12],$B11,bhpc_data[category],$K$3)+SUMIFS(dgn_data[cbm2],bhpc_data[size22],$B11,bhpc_data[category],$L$3)</f>
        <v>0</v>
      </c>
      <c r="O11" s="210" t="e">
        <f t="shared" ref="O11:O25" si="0">C11+G11+K11</f>
        <v>#REF!</v>
      </c>
    </row>
    <row r="12" spans="1:18">
      <c r="B12" s="284">
        <f t="array" ref="B12">IFERROR(INDEX(bhpc_data[size12], MATCH(0, COUNTIF($B$9:B11, bhpc_data[size12]&amp;"") + IF(bhpc_data[size12]="",1,0), 0)), "")</f>
        <v>150</v>
      </c>
      <c r="C12" s="15">
        <f>SUMIFS(dgn_data[tot_order],bhpc_data[size12],$B12,bhpc_data[category],$D$3)+SUMIFS(dgn_data[tot_order],bhpc_data[size12],$B12,bhpc_data[category],$E$3)+SUMIFS(dgn_data[tot_order],bhpc_data[size12],$B12,bhpc_data[category],$C$3)+SUMIFS(dgn_data[tot_order],bhpc_data[size12],$B12,bhpc_data[category],$F$3)</f>
        <v>0</v>
      </c>
      <c r="D12" s="11">
        <f>SUMIFS(dgn_data[unit_net_weight],bhpc_data[size12],$B12,bhpc_data[category],$D$3)+SUMIFS(dgn_data[unit_net_weight],bhpc_data[size12],$B12,bhpc_data[category],$E$3)+SUMIFS(dgn_data[unit_net_weight],bhpc_data[size12],$B12,bhpc_data[category],$C$3)+SUMIFS(dgn_data[unit_net_weight],bhpc_data[size12],$B12,bhpc_data[category],$F$3)</f>
        <v>0</v>
      </c>
      <c r="E12" s="11">
        <f>SUMIFS(dgn_data[unit_gross_weight],bhpc_data[size12],$B12,bhpc_data[category],$D$3)+SUMIFS(dgn_data[unit_gross_weight],bhpc_data[size12],$B12,bhpc_data[category],$E$3)+SUMIFS(dgn_data[unit_gross_weight],bhpc_data[size12],$B12,bhpc_data[category],$C$3)+SUMIFS(dgn_data[unit_gross_weight],bhpc_data[size12],$B12,bhpc_data[category],$F$3)</f>
        <v>0</v>
      </c>
      <c r="F12" s="13">
        <f>SUMIFS(dgn_data[cbm],bhpc_data[size12],$B12,bhpc_data[category],$D$3)+SUMIFS(dgn_data[cbm],bhpc_data[size12],$B12,bhpc_data[category],$E$3)+SUMIFS(dgn_data[cbm],bhpc_data[size12],$B12,bhpc_data[category],$C$3)+SUMIFS(dgn_data[cbm],bhpc_data[size12],$B12,bhpc_data[category],$F$3)</f>
        <v>0</v>
      </c>
      <c r="G12" s="15">
        <f>SUMIFS(dgn_data[tot_order],bhpc_data[size12],$B12,bhpc_data[category],$G$3)</f>
        <v>0</v>
      </c>
      <c r="H12" s="11">
        <f>SUMIFS(dgn_data[unit_net_weight],bhpc_data[size12],$B12,bhpc_data[category],$G$3)</f>
        <v>0</v>
      </c>
      <c r="I12" s="11">
        <f>SUMIFS(dgn_data[unit_gross_weight],bhpc_data[size12],$B12,bhpc_data[category],$G$3)</f>
        <v>0</v>
      </c>
      <c r="J12" s="13">
        <f>SUMIFS(dgn_data[cbm],bhpc_data[size12],$B12,bhpc_data[category],$G$3)</f>
        <v>0</v>
      </c>
      <c r="K12" s="289" t="e">
        <f>SUMIFS(dgn_data[tot_order],bhpc_data[size12],$B12,bhpc_data[category],$K$3)+SUMIFS(dgn_data[tot_order],bhpc_data[size22],$B12,bhpc_data[category],$L$3)</f>
        <v>#REF!</v>
      </c>
      <c r="L12" s="289" t="e">
        <f>SUMIFS(dgn_data[unit_net_weight],bhpc_data[size12],$B12,bhpc_data[category],$K$3)+SUMIFS(dgn_data[unit_net_weight2],bhpc_data[size22],$B12,bhpc_data[category],$L$3)</f>
        <v>#REF!</v>
      </c>
      <c r="M12" s="289" t="e">
        <f>SUMIFS(dgn_data[unit_gross_weight],bhpc_data[size12],$B12,bhpc_data[category],$K$3)+SUMIFS(dgn_data[unit_gross_weight2],bhpc_data[size22],$B12,bhpc_data[category],$L$3)</f>
        <v>#REF!</v>
      </c>
      <c r="N12" s="290" t="e">
        <f>SUMIFS(dgn_data[cbm],bhpc_data[size12],$B12,bhpc_data[category],$K$3)+SUMIFS(dgn_data[cbm2],bhpc_data[size22],$B12,bhpc_data[category],$L$3)</f>
        <v>#REF!</v>
      </c>
      <c r="O12" s="210" t="e">
        <f t="shared" si="0"/>
        <v>#REF!</v>
      </c>
    </row>
    <row r="13" spans="1:18">
      <c r="B13" s="284">
        <f t="array" ref="B13">IFERROR(INDEX(bhpc_data[size12], MATCH(0, COUNTIF($B$9:B12, bhpc_data[size12]&amp;"") + IF(bhpc_data[size12]="",1,0), 0)), "")</f>
        <v>175</v>
      </c>
      <c r="C13" s="15">
        <f>SUMIFS(dgn_data[tot_order],bhpc_data[size12],$B13,bhpc_data[category],$D$3)+SUMIFS(dgn_data[tot_order],bhpc_data[size12],$B13,bhpc_data[category],$E$3)+SUMIFS(dgn_data[tot_order],bhpc_data[size12],$B13,bhpc_data[category],$C$3)+SUMIFS(dgn_data[tot_order],bhpc_data[size12],$B13,bhpc_data[category],$F$3)</f>
        <v>0</v>
      </c>
      <c r="D13" s="11">
        <f>SUMIFS(dgn_data[unit_net_weight],bhpc_data[size12],$B13,bhpc_data[category],$D$3)+SUMIFS(dgn_data[unit_net_weight],bhpc_data[size12],$B13,bhpc_data[category],$E$3)+SUMIFS(dgn_data[unit_net_weight],bhpc_data[size12],$B13,bhpc_data[category],$C$3)+SUMIFS(dgn_data[unit_net_weight],bhpc_data[size12],$B13,bhpc_data[category],$F$3)</f>
        <v>0</v>
      </c>
      <c r="E13" s="11">
        <f>SUMIFS(dgn_data[unit_gross_weight],bhpc_data[size12],$B13,bhpc_data[category],$D$3)+SUMIFS(dgn_data[unit_gross_weight],bhpc_data[size12],$B13,bhpc_data[category],$E$3)+SUMIFS(dgn_data[unit_gross_weight],bhpc_data[size12],$B13,bhpc_data[category],$C$3)+SUMIFS(dgn_data[unit_gross_weight],bhpc_data[size12],$B13,bhpc_data[category],$F$3)</f>
        <v>0</v>
      </c>
      <c r="F13" s="13">
        <f>SUMIFS(dgn_data[cbm],bhpc_data[size12],$B13,bhpc_data[category],$D$3)+SUMIFS(dgn_data[cbm],bhpc_data[size12],$B13,bhpc_data[category],$E$3)+SUMIFS(dgn_data[cbm],bhpc_data[size12],$B13,bhpc_data[category],$C$3)+SUMIFS(dgn_data[cbm],bhpc_data[size12],$B13,bhpc_data[category],$F$3)</f>
        <v>0</v>
      </c>
      <c r="G13" s="15">
        <f>SUMIFS(dgn_data[tot_order],bhpc_data[size12],$B13,bhpc_data[category],$G$3)</f>
        <v>0</v>
      </c>
      <c r="H13" s="11">
        <f>SUMIFS(dgn_data[unit_net_weight],bhpc_data[size12],$B13,bhpc_data[category],$G$3)</f>
        <v>0</v>
      </c>
      <c r="I13" s="11">
        <f>SUMIFS(dgn_data[unit_gross_weight],bhpc_data[size12],$B13,bhpc_data[category],$G$3)</f>
        <v>0</v>
      </c>
      <c r="J13" s="13">
        <f>SUMIFS(dgn_data[cbm],bhpc_data[size12],$B13,bhpc_data[category],$G$3)</f>
        <v>0</v>
      </c>
      <c r="K13" s="289" t="e">
        <f>SUMIFS(dgn_data[tot_order],bhpc_data[size12],$B13,bhpc_data[category],$K$3)+SUMIFS(dgn_data[tot_order],bhpc_data[size22],$B13,bhpc_data[category],$L$3)</f>
        <v>#REF!</v>
      </c>
      <c r="L13" s="289" t="e">
        <f>SUMIFS(dgn_data[unit_net_weight],bhpc_data[size12],$B13,bhpc_data[category],$K$3)+SUMIFS(dgn_data[unit_net_weight2],bhpc_data[size22],$B13,bhpc_data[category],$L$3)</f>
        <v>#REF!</v>
      </c>
      <c r="M13" s="289" t="e">
        <f>SUMIFS(dgn_data[unit_gross_weight],bhpc_data[size12],$B13,bhpc_data[category],$K$3)+SUMIFS(dgn_data[unit_gross_weight2],bhpc_data[size22],$B13,bhpc_data[category],$L$3)</f>
        <v>#REF!</v>
      </c>
      <c r="N13" s="290" t="e">
        <f>SUMIFS(dgn_data[cbm],bhpc_data[size12],$B13,bhpc_data[category],$K$3)+SUMIFS(dgn_data[cbm2],bhpc_data[size22],$B13,bhpc_data[category],$L$3)</f>
        <v>#REF!</v>
      </c>
      <c r="O13" s="210" t="e">
        <f t="shared" si="0"/>
        <v>#REF!</v>
      </c>
    </row>
    <row r="14" spans="1:18">
      <c r="B14" s="284">
        <f t="array" ref="B14">IFERROR(INDEX(bhpc_data[size12], MATCH(0, COUNTIF($B$9:B13, bhpc_data[size12]&amp;"") + IF(bhpc_data[size12]="",1,0), 0)), "")</f>
        <v>200</v>
      </c>
      <c r="C14" s="15">
        <f>SUMIFS(dgn_data[tot_order],bhpc_data[size12],$B14,bhpc_data[category],$D$3)+SUMIFS(dgn_data[tot_order],bhpc_data[size12],$B14,bhpc_data[category],$E$3)+SUMIFS(dgn_data[tot_order],bhpc_data[size12],$B14,bhpc_data[category],$C$3)+SUMIFS(dgn_data[tot_order],bhpc_data[size12],$B14,bhpc_data[category],$F$3)</f>
        <v>0</v>
      </c>
      <c r="D14" s="11">
        <f>SUMIFS(dgn_data[unit_net_weight],bhpc_data[size12],$B14,bhpc_data[category],$D$3)+SUMIFS(dgn_data[unit_net_weight],bhpc_data[size12],$B14,bhpc_data[category],$E$3)+SUMIFS(dgn_data[unit_net_weight],bhpc_data[size12],$B14,bhpc_data[category],$C$3)+SUMIFS(dgn_data[unit_net_weight],bhpc_data[size12],$B14,bhpc_data[category],$F$3)</f>
        <v>0</v>
      </c>
      <c r="E14" s="11">
        <f>SUMIFS(dgn_data[unit_gross_weight],bhpc_data[size12],$B14,bhpc_data[category],$D$3)+SUMIFS(dgn_data[unit_gross_weight],bhpc_data[size12],$B14,bhpc_data[category],$E$3)+SUMIFS(dgn_data[unit_gross_weight],bhpc_data[size12],$B14,bhpc_data[category],$C$3)+SUMIFS(dgn_data[unit_gross_weight],bhpc_data[size12],$B14,bhpc_data[category],$F$3)</f>
        <v>0</v>
      </c>
      <c r="F14" s="13">
        <f>SUMIFS(dgn_data[cbm],bhpc_data[size12],$B14,bhpc_data[category],$D$3)+SUMIFS(dgn_data[cbm],bhpc_data[size12],$B14,bhpc_data[category],$E$3)+SUMIFS(dgn_data[cbm],bhpc_data[size12],$B14,bhpc_data[category],$C$3)+SUMIFS(dgn_data[cbm],bhpc_data[size12],$B14,bhpc_data[category],$F$3)</f>
        <v>0</v>
      </c>
      <c r="G14" s="288" t="e">
        <f>SUMIFS(dgn_data[tot_order],bhpc_data[size12],$B14,bhpc_data[category],$G$3)</f>
        <v>#REF!</v>
      </c>
      <c r="H14" s="289" t="e">
        <f>SUMIFS(dgn_data[unit_net_weight],bhpc_data[size12],$B14,bhpc_data[category],$G$3)</f>
        <v>#REF!</v>
      </c>
      <c r="I14" s="289" t="e">
        <f>SUMIFS(dgn_data[unit_gross_weight],bhpc_data[size12],$B14,bhpc_data[category],$G$3)</f>
        <v>#REF!</v>
      </c>
      <c r="J14" s="290" t="e">
        <f>SUMIFS(dgn_data[cbm],bhpc_data[size12],$B14,bhpc_data[category],$G$3)</f>
        <v>#REF!</v>
      </c>
      <c r="K14" s="11">
        <f>SUMIFS(dgn_data[tot_order],bhpc_data[size12],$B14,bhpc_data[category],$K$3)+SUMIFS(dgn_data[tot_order],bhpc_data[size22],$B14,bhpc_data[category],$L$3)</f>
        <v>0</v>
      </c>
      <c r="L14" s="11">
        <f>SUMIFS(dgn_data[unit_net_weight],bhpc_data[size12],$B14,bhpc_data[category],$K$3)+SUMIFS(dgn_data[unit_net_weight2],bhpc_data[size22],$B14,bhpc_data[category],$L$3)</f>
        <v>0</v>
      </c>
      <c r="M14" s="11">
        <f>SUMIFS(dgn_data[unit_gross_weight],bhpc_data[size12],$B14,bhpc_data[category],$K$3)+SUMIFS(dgn_data[unit_gross_weight2],bhpc_data[size22],$B14,bhpc_data[category],$L$3)</f>
        <v>0</v>
      </c>
      <c r="N14" s="13">
        <f>SUMIFS(dgn_data[cbm],bhpc_data[size12],$B14,bhpc_data[category],$K$3)+SUMIFS(dgn_data[cbm2],bhpc_data[size22],$B14,bhpc_data[category],$L$3)</f>
        <v>0</v>
      </c>
      <c r="O14" s="210" t="e">
        <f t="shared" si="0"/>
        <v>#REF!</v>
      </c>
    </row>
    <row r="15" spans="1:18">
      <c r="B15" s="284">
        <f t="array" ref="B15">IFERROR(INDEX(bhpc_data[size12], MATCH(0, COUNTIF($B$9:B14, bhpc_data[size12]&amp;"") + IF(bhpc_data[size12]="",1,0), 0)), "")</f>
        <v>250</v>
      </c>
      <c r="C15" s="15">
        <f>SUMIFS(dgn_data[tot_order],bhpc_data[size12],$B15,bhpc_data[category],$D$3)+SUMIFS(dgn_data[tot_order],bhpc_data[size12],$B15,bhpc_data[category],$E$3)+SUMIFS(dgn_data[tot_order],bhpc_data[size12],$B15,bhpc_data[category],$C$3)+SUMIFS(dgn_data[tot_order],bhpc_data[size12],$B15,bhpc_data[category],$F$3)</f>
        <v>0</v>
      </c>
      <c r="D15" s="11">
        <f>SUMIFS(dgn_data[unit_net_weight],bhpc_data[size12],$B15,bhpc_data[category],$D$3)+SUMIFS(dgn_data[unit_net_weight],bhpc_data[size12],$B15,bhpc_data[category],$E$3)+SUMIFS(dgn_data[unit_net_weight],bhpc_data[size12],$B15,bhpc_data[category],$C$3)+SUMIFS(dgn_data[unit_net_weight],bhpc_data[size12],$B15,bhpc_data[category],$F$3)</f>
        <v>0</v>
      </c>
      <c r="E15" s="11">
        <f>SUMIFS(dgn_data[unit_gross_weight],bhpc_data[size12],$B15,bhpc_data[category],$D$3)+SUMIFS(dgn_data[unit_gross_weight],bhpc_data[size12],$B15,bhpc_data[category],$E$3)+SUMIFS(dgn_data[unit_gross_weight],bhpc_data[size12],$B15,bhpc_data[category],$C$3)+SUMIFS(dgn_data[unit_gross_weight],bhpc_data[size12],$B15,bhpc_data[category],$F$3)</f>
        <v>0</v>
      </c>
      <c r="F15" s="13">
        <f>SUMIFS(dgn_data[cbm],bhpc_data[size12],$B15,bhpc_data[category],$D$3)+SUMIFS(dgn_data[cbm],bhpc_data[size12],$B15,bhpc_data[category],$E$3)+SUMIFS(dgn_data[cbm],bhpc_data[size12],$B15,bhpc_data[category],$C$3)+SUMIFS(dgn_data[cbm],bhpc_data[size12],$B15,bhpc_data[category],$F$3)</f>
        <v>0</v>
      </c>
      <c r="G15" s="15">
        <f>SUMIFS(dgn_data[tot_order],bhpc_data[size12],$B15,bhpc_data[category],$G$3)</f>
        <v>0</v>
      </c>
      <c r="H15" s="11">
        <f>SUMIFS(dgn_data[unit_net_weight],bhpc_data[size12],$B15,bhpc_data[category],$G$3)</f>
        <v>0</v>
      </c>
      <c r="I15" s="11">
        <f>SUMIFS(dgn_data[unit_gross_weight],bhpc_data[size12],$B15,bhpc_data[category],$G$3)</f>
        <v>0</v>
      </c>
      <c r="J15" s="13">
        <f>SUMIFS(dgn_data[cbm],bhpc_data[size12],$B15,bhpc_data[category],$G$3)</f>
        <v>0</v>
      </c>
      <c r="K15" s="289" t="e">
        <f>SUMIFS(dgn_data[tot_order],bhpc_data[size12],$B15,bhpc_data[category],$K$3)+SUMIFS(dgn_data[tot_order],bhpc_data[size22],$B15,bhpc_data[category],$L$3)</f>
        <v>#REF!</v>
      </c>
      <c r="L15" s="289" t="e">
        <f>SUMIFS(dgn_data[unit_net_weight],bhpc_data[size12],$B15,bhpc_data[category],$K$3)+SUMIFS(dgn_data[unit_net_weight2],bhpc_data[size22],$B15,bhpc_data[category],$L$3)</f>
        <v>#REF!</v>
      </c>
      <c r="M15" s="289" t="e">
        <f>SUMIFS(dgn_data[unit_gross_weight],bhpc_data[size12],$B15,bhpc_data[category],$K$3)+SUMIFS(dgn_data[unit_gross_weight2],bhpc_data[size22],$B15,bhpc_data[category],$L$3)</f>
        <v>#REF!</v>
      </c>
      <c r="N15" s="290" t="e">
        <f>SUMIFS(dgn_data[cbm],bhpc_data[size12],$B15,bhpc_data[category],$K$3)+SUMIFS(dgn_data[cbm2],bhpc_data[size22],$B15,bhpc_data[category],$L$3)</f>
        <v>#REF!</v>
      </c>
      <c r="O15" s="210" t="e">
        <f t="shared" si="0"/>
        <v>#REF!</v>
      </c>
    </row>
    <row r="16" spans="1:18">
      <c r="B16" s="284">
        <f t="array" ref="B16">IFERROR(INDEX(bhpc_data[size12], MATCH(0, COUNTIF($B$9:B15, bhpc_data[size12]&amp;"") + IF(bhpc_data[size12]="",1,0), 0)), "")</f>
        <v>300</v>
      </c>
      <c r="C16" s="15">
        <f>SUMIFS(dgn_data[tot_order],bhpc_data[size12],$B16,bhpc_data[category],$D$3)+SUMIFS(dgn_data[tot_order],bhpc_data[size12],$B16,bhpc_data[category],$E$3)+SUMIFS(dgn_data[tot_order],bhpc_data[size12],$B16,bhpc_data[category],$C$3)+SUMIFS(dgn_data[tot_order],bhpc_data[size12],$B16,bhpc_data[category],$F$3)</f>
        <v>0</v>
      </c>
      <c r="D16" s="11">
        <f>SUMIFS(dgn_data[unit_net_weight],bhpc_data[size12],$B16,bhpc_data[category],$D$3)+SUMIFS(dgn_data[unit_net_weight],bhpc_data[size12],$B16,bhpc_data[category],$E$3)+SUMIFS(dgn_data[unit_net_weight],bhpc_data[size12],$B16,bhpc_data[category],$C$3)+SUMIFS(dgn_data[unit_net_weight],bhpc_data[size12],$B16,bhpc_data[category],$F$3)</f>
        <v>0</v>
      </c>
      <c r="E16" s="11">
        <f>SUMIFS(dgn_data[unit_gross_weight],bhpc_data[size12],$B16,bhpc_data[category],$D$3)+SUMIFS(dgn_data[unit_gross_weight],bhpc_data[size12],$B16,bhpc_data[category],$E$3)+SUMIFS(dgn_data[unit_gross_weight],bhpc_data[size12],$B16,bhpc_data[category],$C$3)+SUMIFS(dgn_data[unit_gross_weight],bhpc_data[size12],$B16,bhpc_data[category],$F$3)</f>
        <v>0</v>
      </c>
      <c r="F16" s="13">
        <f>SUMIFS(dgn_data[cbm],bhpc_data[size12],$B16,bhpc_data[category],$D$3)+SUMIFS(dgn_data[cbm],bhpc_data[size12],$B16,bhpc_data[category],$E$3)+SUMIFS(dgn_data[cbm],bhpc_data[size12],$B16,bhpc_data[category],$C$3)+SUMIFS(dgn_data[cbm],bhpc_data[size12],$B16,bhpc_data[category],$F$3)</f>
        <v>0</v>
      </c>
      <c r="G16" s="15">
        <f>SUMIFS(dgn_data[tot_order],bhpc_data[size12],$B16,bhpc_data[category],$G$3)</f>
        <v>0</v>
      </c>
      <c r="H16" s="11">
        <f>SUMIFS(dgn_data[unit_net_weight],bhpc_data[size12],$B16,bhpc_data[category],$G$3)</f>
        <v>0</v>
      </c>
      <c r="I16" s="11">
        <f>SUMIFS(dgn_data[unit_gross_weight],bhpc_data[size12],$B16,bhpc_data[category],$G$3)</f>
        <v>0</v>
      </c>
      <c r="J16" s="13">
        <f>SUMIFS(dgn_data[cbm],bhpc_data[size12],$B16,bhpc_data[category],$G$3)</f>
        <v>0</v>
      </c>
      <c r="K16" s="289" t="e">
        <f>SUMIFS(dgn_data[tot_order],bhpc_data[size12],$B16,bhpc_data[category],$K$3)+SUMIFS(dgn_data[tot_order],bhpc_data[size22],$B16,bhpc_data[category],$L$3)</f>
        <v>#REF!</v>
      </c>
      <c r="L16" s="289" t="e">
        <f>SUMIFS(dgn_data[unit_net_weight],bhpc_data[size12],$B16,bhpc_data[category],$K$3)+SUMIFS(dgn_data[unit_net_weight2],bhpc_data[size22],$B16,bhpc_data[category],$L$3)</f>
        <v>#REF!</v>
      </c>
      <c r="M16" s="289" t="e">
        <f>SUMIFS(dgn_data[unit_gross_weight],bhpc_data[size12],$B16,bhpc_data[category],$K$3)+SUMIFS(dgn_data[unit_gross_weight2],bhpc_data[size22],$B16,bhpc_data[category],$L$3)</f>
        <v>#REF!</v>
      </c>
      <c r="N16" s="290" t="e">
        <f>SUMIFS(dgn_data[cbm],bhpc_data[size12],$B16,bhpc_data[category],$K$3)+SUMIFS(dgn_data[cbm2],bhpc_data[size22],$B16,bhpc_data[category],$L$3)</f>
        <v>#REF!</v>
      </c>
      <c r="O16" s="210" t="e">
        <f t="shared" si="0"/>
        <v>#REF!</v>
      </c>
    </row>
    <row r="17" spans="1:15">
      <c r="B17" s="284" t="str">
        <f t="array" ref="B17">IFERROR(INDEX(bhpc_data[size12], MATCH(0, COUNTIF($B$9:B16, bhpc_data[size12]&amp;"") + IF(bhpc_data[size12]="",1,0), 0)), "")</f>
        <v/>
      </c>
      <c r="C17" s="15">
        <f>SUMIFS(dgn_data[tot_order],bhpc_data[size12],$B17,bhpc_data[category],$D$3)+SUMIFS(dgn_data[tot_order],bhpc_data[size12],$B17,bhpc_data[category],$E$3)+SUMIFS(dgn_data[tot_order],bhpc_data[size12],$B17,bhpc_data[category],$C$3)+SUMIFS(dgn_data[tot_order],bhpc_data[size12],$B17,bhpc_data[category],$F$3)</f>
        <v>0</v>
      </c>
      <c r="D17" s="11">
        <f>SUMIFS(dgn_data[unit_net_weight],bhpc_data[size12],$B17,bhpc_data[category],$D$3)+SUMIFS(dgn_data[unit_net_weight],bhpc_data[size12],$B17,bhpc_data[category],$E$3)+SUMIFS(dgn_data[unit_net_weight],bhpc_data[size12],$B17,bhpc_data[category],$C$3)+SUMIFS(dgn_data[unit_net_weight],bhpc_data[size12],$B17,bhpc_data[category],$F$3)</f>
        <v>0</v>
      </c>
      <c r="E17" s="11">
        <f>SUMIFS(dgn_data[unit_gross_weight],bhpc_data[size12],$B17,bhpc_data[category],$D$3)+SUMIFS(dgn_data[unit_gross_weight],bhpc_data[size12],$B17,bhpc_data[category],$E$3)+SUMIFS(dgn_data[unit_gross_weight],bhpc_data[size12],$B17,bhpc_data[category],$C$3)+SUMIFS(dgn_data[unit_gross_weight],bhpc_data[size12],$B17,bhpc_data[category],$F$3)</f>
        <v>0</v>
      </c>
      <c r="F17" s="13">
        <f>SUMIFS(dgn_data[cbm],bhpc_data[size12],$B17,bhpc_data[category],$D$3)+SUMIFS(dgn_data[cbm],bhpc_data[size12],$B17,bhpc_data[category],$E$3)+SUMIFS(dgn_data[cbm],bhpc_data[size12],$B17,bhpc_data[category],$C$3)+SUMIFS(dgn_data[cbm],bhpc_data[size12],$B17,bhpc_data[category],$F$3)</f>
        <v>0</v>
      </c>
      <c r="G17" s="15">
        <f>SUMIFS(dgn_data[tot_order],bhpc_data[size12],$B17,bhpc_data[category],$G$3)</f>
        <v>0</v>
      </c>
      <c r="H17" s="11">
        <f>SUMIFS(dgn_data[unit_net_weight],bhpc_data[size12],$B17,bhpc_data[category],$G$3)</f>
        <v>0</v>
      </c>
      <c r="I17" s="11">
        <f>SUMIFS(dgn_data[unit_gross_weight],bhpc_data[size12],$B17,bhpc_data[category],$G$3)</f>
        <v>0</v>
      </c>
      <c r="J17" s="13">
        <f>SUMIFS(dgn_data[cbm],bhpc_data[size12],$B17,bhpc_data[category],$G$3)</f>
        <v>0</v>
      </c>
      <c r="K17" s="11">
        <f>SUMIFS(dgn_data[tot_order],bhpc_data[size12],$B17,bhpc_data[category],$K$3)+SUMIFS(dgn_data[tot_order],bhpc_data[size22],$B17,bhpc_data[category],$L$3)</f>
        <v>0</v>
      </c>
      <c r="L17" s="11">
        <f>SUMIFS(dgn_data[unit_net_weight],bhpc_data[size12],$B17,bhpc_data[category],$K$3)+SUMIFS(dgn_data[unit_net_weight2],bhpc_data[size22],$B17,bhpc_data[category],$L$3)</f>
        <v>0</v>
      </c>
      <c r="M17" s="11">
        <f>SUMIFS(dgn_data[unit_gross_weight],bhpc_data[size12],$B17,bhpc_data[category],$K$3)+SUMIFS(dgn_data[unit_gross_weight2],bhpc_data[size22],$B17,bhpc_data[category],$L$3)</f>
        <v>0</v>
      </c>
      <c r="N17" s="13">
        <f>SUMIFS(dgn_data[cbm],bhpc_data[size12],$B17,bhpc_data[category],$K$3)+SUMIFS(dgn_data[cbm2],bhpc_data[size22],$B17,bhpc_data[category],$L$3)</f>
        <v>0</v>
      </c>
      <c r="O17" s="210">
        <f t="shared" si="0"/>
        <v>0</v>
      </c>
    </row>
    <row r="18" spans="1:15">
      <c r="B18" s="284" t="str">
        <f t="array" ref="B18">IFERROR(INDEX(bhpc_data[size12], MATCH(0, COUNTIF($B$9:B17, bhpc_data[size12]&amp;"") + IF(bhpc_data[size12]="",1,0), 0)), "")</f>
        <v/>
      </c>
      <c r="C18" s="15">
        <f>SUMIFS(dgn_data[tot_order],bhpc_data[size12],$B18,bhpc_data[category],$D$3)+SUMIFS(dgn_data[tot_order],bhpc_data[size12],$B18,bhpc_data[category],$E$3)+SUMIFS(dgn_data[tot_order],bhpc_data[size12],$B18,bhpc_data[category],$C$3)+SUMIFS(dgn_data[tot_order],bhpc_data[size12],$B18,bhpc_data[category],$F$3)</f>
        <v>0</v>
      </c>
      <c r="D18" s="11">
        <f>SUMIFS(dgn_data[unit_net_weight],bhpc_data[size12],$B18,bhpc_data[category],$D$3)+SUMIFS(dgn_data[unit_net_weight],bhpc_data[size12],$B18,bhpc_data[category],$E$3)+SUMIFS(dgn_data[unit_net_weight],bhpc_data[size12],$B18,bhpc_data[category],$C$3)+SUMIFS(dgn_data[unit_net_weight],bhpc_data[size12],$B18,bhpc_data[category],$F$3)</f>
        <v>0</v>
      </c>
      <c r="E18" s="11">
        <f>SUMIFS(dgn_data[unit_gross_weight],bhpc_data[size12],$B18,bhpc_data[category],$D$3)+SUMIFS(dgn_data[unit_gross_weight],bhpc_data[size12],$B18,bhpc_data[category],$E$3)+SUMIFS(dgn_data[unit_gross_weight],bhpc_data[size12],$B18,bhpc_data[category],$C$3)+SUMIFS(dgn_data[unit_gross_weight],bhpc_data[size12],$B18,bhpc_data[category],$F$3)</f>
        <v>0</v>
      </c>
      <c r="F18" s="13">
        <f>SUMIFS(dgn_data[cbm],bhpc_data[size12],$B18,bhpc_data[category],$D$3)+SUMIFS(dgn_data[cbm],bhpc_data[size12],$B18,bhpc_data[category],$E$3)+SUMIFS(dgn_data[cbm],bhpc_data[size12],$B18,bhpc_data[category],$C$3)+SUMIFS(dgn_data[cbm],bhpc_data[size12],$B18,bhpc_data[category],$F$3)</f>
        <v>0</v>
      </c>
      <c r="G18" s="15">
        <f>SUMIFS(dgn_data[tot_order],bhpc_data[size12],$B18,bhpc_data[category],$G$3)</f>
        <v>0</v>
      </c>
      <c r="H18" s="11">
        <f>SUMIFS(dgn_data[unit_net_weight],bhpc_data[size12],$B18,bhpc_data[category],$G$3)</f>
        <v>0</v>
      </c>
      <c r="I18" s="11">
        <f>SUMIFS(dgn_data[unit_gross_weight],bhpc_data[size12],$B18,bhpc_data[category],$G$3)</f>
        <v>0</v>
      </c>
      <c r="J18" s="13">
        <f>SUMIFS(dgn_data[cbm],bhpc_data[size12],$B18,bhpc_data[category],$G$3)</f>
        <v>0</v>
      </c>
      <c r="K18" s="11">
        <f>SUMIFS(dgn_data[tot_order],bhpc_data[size12],$B18,bhpc_data[category],$K$3)+SUMIFS(dgn_data[tot_order],bhpc_data[size22],$B18,bhpc_data[category],$L$3)</f>
        <v>0</v>
      </c>
      <c r="L18" s="11">
        <f>SUMIFS(dgn_data[unit_net_weight],bhpc_data[size12],$B18,bhpc_data[category],$K$3)+SUMIFS(dgn_data[unit_net_weight2],bhpc_data[size22],$B18,bhpc_data[category],$L$3)</f>
        <v>0</v>
      </c>
      <c r="M18" s="11">
        <f>SUMIFS(dgn_data[unit_gross_weight],bhpc_data[size12],$B18,bhpc_data[category],$K$3)+SUMIFS(dgn_data[unit_gross_weight2],bhpc_data[size22],$B18,bhpc_data[category],$L$3)</f>
        <v>0</v>
      </c>
      <c r="N18" s="13">
        <f>SUMIFS(dgn_data[cbm],bhpc_data[size12],$B18,bhpc_data[category],$K$3)+SUMIFS(dgn_data[cbm2],bhpc_data[size22],$B18,bhpc_data[category],$L$3)</f>
        <v>0</v>
      </c>
      <c r="O18" s="210">
        <f t="shared" si="0"/>
        <v>0</v>
      </c>
    </row>
    <row r="19" spans="1:15">
      <c r="A19" s="10"/>
      <c r="B19" s="284" t="str">
        <f t="array" ref="B19">IFERROR(INDEX(bhpc_data[size12], MATCH(0, COUNTIF($B$9:B18, bhpc_data[size12]&amp;"") + IF(bhpc_data[size12]="",1,0), 0)), "")</f>
        <v/>
      </c>
      <c r="C19" s="15">
        <f>SUMIFS(dgn_data[tot_order],bhpc_data[size12],$B19,bhpc_data[category],$D$3)+SUMIFS(dgn_data[tot_order],bhpc_data[size12],$B19,bhpc_data[category],$E$3)+SUMIFS(dgn_data[tot_order],bhpc_data[size12],$B19,bhpc_data[category],$C$3)+SUMIFS(dgn_data[tot_order],bhpc_data[size12],$B19,bhpc_data[category],$F$3)</f>
        <v>0</v>
      </c>
      <c r="D19" s="11">
        <f>SUMIFS(dgn_data[unit_net_weight],bhpc_data[size12],$B19,bhpc_data[category],$D$3)+SUMIFS(dgn_data[unit_net_weight],bhpc_data[size12],$B19,bhpc_data[category],$E$3)+SUMIFS(dgn_data[unit_net_weight],bhpc_data[size12],$B19,bhpc_data[category],$C$3)+SUMIFS(dgn_data[unit_net_weight],bhpc_data[size12],$B19,bhpc_data[category],$F$3)</f>
        <v>0</v>
      </c>
      <c r="E19" s="11">
        <f>SUMIFS(dgn_data[unit_gross_weight],bhpc_data[size12],$B19,bhpc_data[category],$D$3)+SUMIFS(dgn_data[unit_gross_weight],bhpc_data[size12],$B19,bhpc_data[category],$E$3)+SUMIFS(dgn_data[unit_gross_weight],bhpc_data[size12],$B19,bhpc_data[category],$C$3)+SUMIFS(dgn_data[unit_gross_weight],bhpc_data[size12],$B19,bhpc_data[category],$F$3)</f>
        <v>0</v>
      </c>
      <c r="F19" s="13">
        <f>SUMIFS(dgn_data[cbm],bhpc_data[size12],$B19,bhpc_data[category],$D$3)+SUMIFS(dgn_data[cbm],bhpc_data[size12],$B19,bhpc_data[category],$E$3)+SUMIFS(dgn_data[cbm],bhpc_data[size12],$B19,bhpc_data[category],$C$3)+SUMIFS(dgn_data[cbm],bhpc_data[size12],$B19,bhpc_data[category],$F$3)</f>
        <v>0</v>
      </c>
      <c r="G19" s="15">
        <f>SUMIFS(dgn_data[tot_order],bhpc_data[size12],$B19,bhpc_data[category],$G$3)</f>
        <v>0</v>
      </c>
      <c r="H19" s="11">
        <f>SUMIFS(dgn_data[unit_net_weight],bhpc_data[size12],$B19,bhpc_data[category],$G$3)</f>
        <v>0</v>
      </c>
      <c r="I19" s="11">
        <f>SUMIFS(dgn_data[unit_gross_weight],bhpc_data[size12],$B19,bhpc_data[category],$G$3)</f>
        <v>0</v>
      </c>
      <c r="J19" s="13">
        <f>SUMIFS(dgn_data[cbm],bhpc_data[size12],$B19,bhpc_data[category],$G$3)</f>
        <v>0</v>
      </c>
      <c r="K19" s="11">
        <f>SUMIFS(dgn_data[tot_order],bhpc_data[size12],$B19,bhpc_data[category],$K$3)+SUMIFS(dgn_data[tot_order],bhpc_data[size22],$B19,bhpc_data[category],$L$3)</f>
        <v>0</v>
      </c>
      <c r="L19" s="11">
        <f>SUMIFS(dgn_data[unit_net_weight],bhpc_data[size12],$B19,bhpc_data[category],$K$3)+SUMIFS(dgn_data[unit_net_weight2],bhpc_data[size22],$B19,bhpc_data[category],$L$3)</f>
        <v>0</v>
      </c>
      <c r="M19" s="11">
        <f>SUMIFS(dgn_data[unit_gross_weight],bhpc_data[size12],$B19,bhpc_data[category],$K$3)+SUMIFS(dgn_data[unit_gross_weight2],bhpc_data[size22],$B19,bhpc_data[category],$L$3)</f>
        <v>0</v>
      </c>
      <c r="N19" s="13">
        <f>SUMIFS(dgn_data[cbm],bhpc_data[size12],$B19,bhpc_data[category],$K$3)+SUMIFS(dgn_data[cbm2],bhpc_data[size22],$B19,bhpc_data[category],$L$3)</f>
        <v>0</v>
      </c>
      <c r="O19" s="210">
        <f t="shared" si="0"/>
        <v>0</v>
      </c>
    </row>
    <row r="20" spans="1:15">
      <c r="A20" s="10"/>
      <c r="B20" s="284" t="str">
        <f t="array" ref="B20">IFERROR(INDEX(bhpc_data[size12], MATCH(0, COUNTIF($B$9:B19, bhpc_data[size12]&amp;"") + IF(bhpc_data[size12]="",1,0), 0)), "")</f>
        <v/>
      </c>
      <c r="C20" s="15">
        <f>SUMIFS(dgn_data[tot_order],bhpc_data[size12],$B20,bhpc_data[category],$D$3)+SUMIFS(dgn_data[tot_order],bhpc_data[size12],$B20,bhpc_data[category],$E$3)+SUMIFS(dgn_data[tot_order],bhpc_data[size12],$B20,bhpc_data[category],$C$3)+SUMIFS(dgn_data[tot_order],bhpc_data[size12],$B20,bhpc_data[category],$F$3)</f>
        <v>0</v>
      </c>
      <c r="D20" s="11">
        <f>SUMIFS(dgn_data[unit_net_weight],bhpc_data[size12],$B20,bhpc_data[category],$D$3)+SUMIFS(dgn_data[unit_net_weight],bhpc_data[size12],$B20,bhpc_data[category],$E$3)+SUMIFS(dgn_data[unit_net_weight],bhpc_data[size12],$B20,bhpc_data[category],$C$3)+SUMIFS(dgn_data[unit_net_weight],bhpc_data[size12],$B20,bhpc_data[category],$F$3)</f>
        <v>0</v>
      </c>
      <c r="E20" s="11">
        <f>SUMIFS(dgn_data[unit_gross_weight],bhpc_data[size12],$B20,bhpc_data[category],$D$3)+SUMIFS(dgn_data[unit_gross_weight],bhpc_data[size12],$B20,bhpc_data[category],$E$3)+SUMIFS(dgn_data[unit_gross_weight],bhpc_data[size12],$B20,bhpc_data[category],$C$3)+SUMIFS(dgn_data[unit_gross_weight],bhpc_data[size12],$B20,bhpc_data[category],$F$3)</f>
        <v>0</v>
      </c>
      <c r="F20" s="13">
        <f>SUMIFS(dgn_data[cbm],bhpc_data[size12],$B20,bhpc_data[category],$D$3)+SUMIFS(dgn_data[cbm],bhpc_data[size12],$B20,bhpc_data[category],$E$3)+SUMIFS(dgn_data[cbm],bhpc_data[size12],$B20,bhpc_data[category],$C$3)+SUMIFS(dgn_data[cbm],bhpc_data[size12],$B20,bhpc_data[category],$F$3)</f>
        <v>0</v>
      </c>
      <c r="G20" s="15">
        <f>SUMIFS(dgn_data[tot_order],bhpc_data[size12],$B20,bhpc_data[category],$G$3)</f>
        <v>0</v>
      </c>
      <c r="H20" s="11">
        <f>SUMIFS(dgn_data[unit_net_weight],bhpc_data[size12],$B20,bhpc_data[category],$G$3)</f>
        <v>0</v>
      </c>
      <c r="I20" s="11">
        <f>SUMIFS(dgn_data[unit_gross_weight],bhpc_data[size12],$B20,bhpc_data[category],$G$3)</f>
        <v>0</v>
      </c>
      <c r="J20" s="13">
        <f>SUMIFS(dgn_data[cbm],bhpc_data[size12],$B20,bhpc_data[category],$G$3)</f>
        <v>0</v>
      </c>
      <c r="K20" s="11">
        <f>SUMIFS(dgn_data[tot_order],bhpc_data[size12],$B20,bhpc_data[category],$K$3)+SUMIFS(dgn_data[tot_order],bhpc_data[size22],$B20,bhpc_data[category],$L$3)</f>
        <v>0</v>
      </c>
      <c r="L20" s="11">
        <f>SUMIFS(dgn_data[unit_net_weight],bhpc_data[size12],$B20,bhpc_data[category],$K$3)+SUMIFS(dgn_data[unit_net_weight2],bhpc_data[size22],$B20,bhpc_data[category],$L$3)</f>
        <v>0</v>
      </c>
      <c r="M20" s="11">
        <f>SUMIFS(dgn_data[unit_gross_weight],bhpc_data[size12],$B20,bhpc_data[category],$K$3)+SUMIFS(dgn_data[unit_gross_weight2],bhpc_data[size22],$B20,bhpc_data[category],$L$3)</f>
        <v>0</v>
      </c>
      <c r="N20" s="13">
        <f>SUMIFS(dgn_data[cbm],bhpc_data[size12],$B20,bhpc_data[category],$K$3)+SUMIFS(dgn_data[cbm2],bhpc_data[size22],$B20,bhpc_data[category],$L$3)</f>
        <v>0</v>
      </c>
      <c r="O20" s="210">
        <f t="shared" si="0"/>
        <v>0</v>
      </c>
    </row>
    <row r="21" spans="1:15">
      <c r="A21" s="10"/>
      <c r="B21" s="284" t="str">
        <f t="array" ref="B21">IFERROR(INDEX(bhpc_data[size12], MATCH(0, COUNTIF($B$9:B20, bhpc_data[size12]&amp;"") + IF(bhpc_data[size12]="",1,0), 0)), "")</f>
        <v/>
      </c>
      <c r="C21" s="15">
        <f>SUMIFS(dgn_data[tot_order],bhpc_data[size12],$B21,bhpc_data[category],$D$3)+SUMIFS(dgn_data[tot_order],bhpc_data[size12],$B21,bhpc_data[category],$E$3)+SUMIFS(dgn_data[tot_order],bhpc_data[size12],$B21,bhpc_data[category],$C$3)+SUMIFS(dgn_data[tot_order],bhpc_data[size12],$B21,bhpc_data[category],$F$3)</f>
        <v>0</v>
      </c>
      <c r="D21" s="11">
        <f>SUMIFS(dgn_data[unit_net_weight],bhpc_data[size12],$B21,bhpc_data[category],$D$3)+SUMIFS(dgn_data[unit_net_weight],bhpc_data[size12],$B21,bhpc_data[category],$E$3)+SUMIFS(dgn_data[unit_net_weight],bhpc_data[size12],$B21,bhpc_data[category],$C$3)+SUMIFS(dgn_data[unit_net_weight],bhpc_data[size12],$B21,bhpc_data[category],$F$3)</f>
        <v>0</v>
      </c>
      <c r="E21" s="11">
        <f>SUMIFS(dgn_data[unit_gross_weight],bhpc_data[size12],$B21,bhpc_data[category],$D$3)+SUMIFS(dgn_data[unit_gross_weight],bhpc_data[size12],$B21,bhpc_data[category],$E$3)+SUMIFS(dgn_data[unit_gross_weight],bhpc_data[size12],$B21,bhpc_data[category],$C$3)+SUMIFS(dgn_data[unit_gross_weight],bhpc_data[size12],$B21,bhpc_data[category],$F$3)</f>
        <v>0</v>
      </c>
      <c r="F21" s="13">
        <f>SUMIFS(dgn_data[cbm],bhpc_data[size12],$B21,bhpc_data[category],$D$3)+SUMIFS(dgn_data[cbm],bhpc_data[size12],$B21,bhpc_data[category],$E$3)+SUMIFS(dgn_data[cbm],bhpc_data[size12],$B21,bhpc_data[category],$C$3)+SUMIFS(dgn_data[cbm],bhpc_data[size12],$B21,bhpc_data[category],$F$3)</f>
        <v>0</v>
      </c>
      <c r="G21" s="15">
        <f>SUMIFS(dgn_data[tot_order],bhpc_data[size12],$B21,bhpc_data[category],$G$3)</f>
        <v>0</v>
      </c>
      <c r="H21" s="11">
        <f>SUMIFS(dgn_data[unit_net_weight],bhpc_data[size12],$B21,bhpc_data[category],$G$3)</f>
        <v>0</v>
      </c>
      <c r="I21" s="11">
        <f>SUMIFS(dgn_data[unit_gross_weight],bhpc_data[size12],$B21,bhpc_data[category],$G$3)</f>
        <v>0</v>
      </c>
      <c r="J21" s="13">
        <f>SUMIFS(dgn_data[cbm],bhpc_data[size12],$B21,bhpc_data[category],$G$3)</f>
        <v>0</v>
      </c>
      <c r="K21" s="11">
        <f>SUMIFS(dgn_data[tot_order],bhpc_data[size12],$B21,bhpc_data[category],$K$3)+SUMIFS(dgn_data[tot_order],bhpc_data[size22],$B21,bhpc_data[category],$L$3)</f>
        <v>0</v>
      </c>
      <c r="L21" s="11">
        <f>SUMIFS(dgn_data[unit_net_weight],bhpc_data[size12],$B21,bhpc_data[category],$K$3)+SUMIFS(dgn_data[unit_net_weight2],bhpc_data[size22],$B21,bhpc_data[category],$L$3)</f>
        <v>0</v>
      </c>
      <c r="M21" s="11">
        <f>SUMIFS(dgn_data[unit_gross_weight],bhpc_data[size12],$B21,bhpc_data[category],$K$3)+SUMIFS(dgn_data[unit_gross_weight2],bhpc_data[size22],$B21,bhpc_data[category],$L$3)</f>
        <v>0</v>
      </c>
      <c r="N21" s="13">
        <f>SUMIFS(dgn_data[cbm],bhpc_data[size12],$B21,bhpc_data[category],$K$3)+SUMIFS(dgn_data[cbm2],bhpc_data[size22],$B21,bhpc_data[category],$L$3)</f>
        <v>0</v>
      </c>
      <c r="O21" s="210">
        <f t="shared" si="0"/>
        <v>0</v>
      </c>
    </row>
    <row r="22" spans="1:15">
      <c r="A22" s="10"/>
      <c r="B22" s="284" t="str">
        <f t="array" ref="B22">IFERROR(INDEX(bhpc_data[size12], MATCH(0, COUNTIF($B$9:B21, bhpc_data[size12]&amp;"") + IF(bhpc_data[size12]="",1,0), 0)), "")</f>
        <v/>
      </c>
      <c r="C22" s="15">
        <f>SUMIFS(dgn_data[tot_order],bhpc_data[size12],$B22,bhpc_data[category],$D$3)+SUMIFS(dgn_data[tot_order],bhpc_data[size12],$B22,bhpc_data[category],$E$3)+SUMIFS(dgn_data[tot_order],bhpc_data[size12],$B22,bhpc_data[category],$C$3)+SUMIFS(dgn_data[tot_order],bhpc_data[size12],$B22,bhpc_data[category],$F$3)</f>
        <v>0</v>
      </c>
      <c r="D22" s="11">
        <f>SUMIFS(dgn_data[unit_net_weight],bhpc_data[size12],$B22,bhpc_data[category],$D$3)+SUMIFS(dgn_data[unit_net_weight],bhpc_data[size12],$B22,bhpc_data[category],$E$3)+SUMIFS(dgn_data[unit_net_weight],bhpc_data[size12],$B22,bhpc_data[category],$C$3)+SUMIFS(dgn_data[unit_net_weight],bhpc_data[size12],$B22,bhpc_data[category],$F$3)</f>
        <v>0</v>
      </c>
      <c r="E22" s="11">
        <f>SUMIFS(dgn_data[unit_gross_weight],bhpc_data[size12],$B22,bhpc_data[category],$D$3)+SUMIFS(dgn_data[unit_gross_weight],bhpc_data[size12],$B22,bhpc_data[category],$E$3)+SUMIFS(dgn_data[unit_gross_weight],bhpc_data[size12],$B22,bhpc_data[category],$C$3)+SUMIFS(dgn_data[unit_gross_weight],bhpc_data[size12],$B22,bhpc_data[category],$F$3)</f>
        <v>0</v>
      </c>
      <c r="F22" s="13">
        <f>SUMIFS(dgn_data[cbm],bhpc_data[size12],$B22,bhpc_data[category],$D$3)+SUMIFS(dgn_data[cbm],bhpc_data[size12],$B22,bhpc_data[category],$E$3)+SUMIFS(dgn_data[cbm],bhpc_data[size12],$B22,bhpc_data[category],$C$3)+SUMIFS(dgn_data[cbm],bhpc_data[size12],$B22,bhpc_data[category],$F$3)</f>
        <v>0</v>
      </c>
      <c r="G22" s="15">
        <f>SUMIFS(dgn_data[tot_order],bhpc_data[size12],$B22,bhpc_data[category],$G$3)</f>
        <v>0</v>
      </c>
      <c r="H22" s="11">
        <f>SUMIFS(dgn_data[unit_net_weight],bhpc_data[size12],$B22,bhpc_data[category],$G$3)</f>
        <v>0</v>
      </c>
      <c r="I22" s="11">
        <f>SUMIFS(dgn_data[unit_gross_weight],bhpc_data[size12],$B22,bhpc_data[category],$G$3)</f>
        <v>0</v>
      </c>
      <c r="J22" s="13">
        <f>SUMIFS(dgn_data[cbm],bhpc_data[size12],$B22,bhpc_data[category],$G$3)</f>
        <v>0</v>
      </c>
      <c r="K22" s="11">
        <f>SUMIFS(dgn_data[tot_order],bhpc_data[size12],$B22,bhpc_data[category],$K$3)+SUMIFS(dgn_data[tot_order],bhpc_data[size22],$B22,bhpc_data[category],$L$3)</f>
        <v>0</v>
      </c>
      <c r="L22" s="11">
        <f>SUMIFS(dgn_data[unit_net_weight],bhpc_data[size12],$B22,bhpc_data[category],$K$3)+SUMIFS(dgn_data[unit_net_weight2],bhpc_data[size22],$B22,bhpc_data[category],$L$3)</f>
        <v>0</v>
      </c>
      <c r="M22" s="11">
        <f>SUMIFS(dgn_data[unit_gross_weight],bhpc_data[size12],$B22,bhpc_data[category],$K$3)+SUMIFS(dgn_data[unit_gross_weight2],bhpc_data[size22],$B22,bhpc_data[category],$L$3)</f>
        <v>0</v>
      </c>
      <c r="N22" s="13">
        <f>SUMIFS(dgn_data[cbm],bhpc_data[size12],$B22,bhpc_data[category],$K$3)+SUMIFS(dgn_data[cbm2],bhpc_data[size22],$B22,bhpc_data[category],$L$3)</f>
        <v>0</v>
      </c>
      <c r="O22" s="210">
        <f t="shared" si="0"/>
        <v>0</v>
      </c>
    </row>
    <row r="23" spans="1:15">
      <c r="A23" s="10"/>
      <c r="B23" s="284" t="str">
        <f t="array" ref="B23">IFERROR(INDEX(bhpc_data[size12], MATCH(0, COUNTIF($B$9:B22, bhpc_data[size12]&amp;"") + IF(bhpc_data[size12]="",1,0), 0)), "")</f>
        <v/>
      </c>
      <c r="C23" s="15">
        <f>SUMIFS(dgn_data[tot_order],bhpc_data[size12],$B23,bhpc_data[category],$D$3)+SUMIFS(dgn_data[tot_order],bhpc_data[size12],$B23,bhpc_data[category],$E$3)+SUMIFS(dgn_data[tot_order],bhpc_data[size12],$B23,bhpc_data[category],$C$3)+SUMIFS(dgn_data[tot_order],bhpc_data[size12],$B23,bhpc_data[category],$F$3)</f>
        <v>0</v>
      </c>
      <c r="D23" s="11">
        <f>SUMIFS(dgn_data[unit_net_weight],bhpc_data[size12],$B23,bhpc_data[category],$D$3)+SUMIFS(dgn_data[unit_net_weight],bhpc_data[size12],$B23,bhpc_data[category],$E$3)+SUMIFS(dgn_data[unit_net_weight],bhpc_data[size12],$B23,bhpc_data[category],$C$3)+SUMIFS(dgn_data[unit_net_weight],bhpc_data[size12],$B23,bhpc_data[category],$F$3)</f>
        <v>0</v>
      </c>
      <c r="E23" s="11">
        <f>SUMIFS(dgn_data[unit_gross_weight],bhpc_data[size12],$B23,bhpc_data[category],$D$3)+SUMIFS(dgn_data[unit_gross_weight],bhpc_data[size12],$B23,bhpc_data[category],$E$3)+SUMIFS(dgn_data[unit_gross_weight],bhpc_data[size12],$B23,bhpc_data[category],$C$3)+SUMIFS(dgn_data[unit_gross_weight],bhpc_data[size12],$B23,bhpc_data[category],$F$3)</f>
        <v>0</v>
      </c>
      <c r="F23" s="13">
        <f>SUMIFS(dgn_data[cbm],bhpc_data[size12],$B23,bhpc_data[category],$D$3)+SUMIFS(dgn_data[cbm],bhpc_data[size12],$B23,bhpc_data[category],$E$3)+SUMIFS(dgn_data[cbm],bhpc_data[size12],$B23,bhpc_data[category],$C$3)+SUMIFS(dgn_data[cbm],bhpc_data[size12],$B23,bhpc_data[category],$F$3)</f>
        <v>0</v>
      </c>
      <c r="G23" s="15">
        <f>SUMIFS(dgn_data[tot_order],bhpc_data[size12],$B23,bhpc_data[category],$G$3)</f>
        <v>0</v>
      </c>
      <c r="H23" s="11">
        <f>SUMIFS(dgn_data[unit_net_weight],bhpc_data[size12],$B23,bhpc_data[category],$G$3)</f>
        <v>0</v>
      </c>
      <c r="I23" s="11">
        <f>SUMIFS(dgn_data[unit_gross_weight],bhpc_data[size12],$B23,bhpc_data[category],$G$3)</f>
        <v>0</v>
      </c>
      <c r="J23" s="13">
        <f>SUMIFS(dgn_data[cbm],bhpc_data[size12],$B23,bhpc_data[category],$G$3)</f>
        <v>0</v>
      </c>
      <c r="K23" s="11">
        <f>SUMIFS(dgn_data[tot_order],bhpc_data[size12],$B23,bhpc_data[category],$K$3)+SUMIFS(dgn_data[tot_order],bhpc_data[size22],$B23,bhpc_data[category],$L$3)</f>
        <v>0</v>
      </c>
      <c r="L23" s="11">
        <f>SUMIFS(dgn_data[unit_net_weight],bhpc_data[size12],$B23,bhpc_data[category],$K$3)+SUMIFS(dgn_data[unit_net_weight2],bhpc_data[size22],$B23,bhpc_data[category],$L$3)</f>
        <v>0</v>
      </c>
      <c r="M23" s="11">
        <f>SUMIFS(dgn_data[unit_gross_weight],bhpc_data[size12],$B23,bhpc_data[category],$K$3)+SUMIFS(dgn_data[unit_gross_weight2],bhpc_data[size22],$B23,bhpc_data[category],$L$3)</f>
        <v>0</v>
      </c>
      <c r="N23" s="13">
        <f>SUMIFS(dgn_data[cbm],bhpc_data[size12],$B23,bhpc_data[category],$K$3)+SUMIFS(dgn_data[cbm2],bhpc_data[size22],$B23,bhpc_data[category],$L$3)</f>
        <v>0</v>
      </c>
      <c r="O23" s="210">
        <f t="shared" si="0"/>
        <v>0</v>
      </c>
    </row>
    <row r="24" spans="1:15">
      <c r="A24" s="10"/>
      <c r="B24" s="284" t="str">
        <f t="array" ref="B24">IFERROR(INDEX(bhpc_data[size12], MATCH(0, COUNTIF($B$9:B23, bhpc_data[size12]&amp;"") + IF(bhpc_data[size12]="",1,0), 0)), "")</f>
        <v/>
      </c>
      <c r="C24" s="15">
        <f>SUMIFS(dgn_data[tot_order],bhpc_data[size12],$B24,bhpc_data[category],$D$3)+SUMIFS(dgn_data[tot_order],bhpc_data[size12],$B24,bhpc_data[category],$E$3)+SUMIFS(dgn_data[tot_order],bhpc_data[size12],$B24,bhpc_data[category],$C$3)+SUMIFS(dgn_data[tot_order],bhpc_data[size12],$B24,bhpc_data[category],$F$3)</f>
        <v>0</v>
      </c>
      <c r="D24" s="11">
        <f>SUMIFS(dgn_data[unit_net_weight],bhpc_data[size12],$B24,bhpc_data[category],$D$3)+SUMIFS(dgn_data[unit_net_weight],bhpc_data[size12],$B24,bhpc_data[category],$E$3)+SUMIFS(dgn_data[unit_net_weight],bhpc_data[size12],$B24,bhpc_data[category],$C$3)+SUMIFS(dgn_data[unit_net_weight],bhpc_data[size12],$B24,bhpc_data[category],$F$3)</f>
        <v>0</v>
      </c>
      <c r="E24" s="11">
        <f>SUMIFS(dgn_data[unit_gross_weight],bhpc_data[size12],$B24,bhpc_data[category],$D$3)+SUMIFS(dgn_data[unit_gross_weight],bhpc_data[size12],$B24,bhpc_data[category],$E$3)+SUMIFS(dgn_data[unit_gross_weight],bhpc_data[size12],$B24,bhpc_data[category],$C$3)+SUMIFS(dgn_data[unit_gross_weight],bhpc_data[size12],$B24,bhpc_data[category],$F$3)</f>
        <v>0</v>
      </c>
      <c r="F24" s="13">
        <f>SUMIFS(dgn_data[cbm],bhpc_data[size12],$B24,bhpc_data[category],$D$3)+SUMIFS(dgn_data[cbm],bhpc_data[size12],$B24,bhpc_data[category],$E$3)+SUMIFS(dgn_data[cbm],bhpc_data[size12],$B24,bhpc_data[category],$C$3)+SUMIFS(dgn_data[cbm],bhpc_data[size12],$B24,bhpc_data[category],$F$3)</f>
        <v>0</v>
      </c>
      <c r="G24" s="15">
        <f>SUMIFS(dgn_data[tot_order],bhpc_data[size12],$B24,bhpc_data[category],$G$3)</f>
        <v>0</v>
      </c>
      <c r="H24" s="11">
        <f>SUMIFS(dgn_data[unit_net_weight],bhpc_data[size12],$B24,bhpc_data[category],$G$3)</f>
        <v>0</v>
      </c>
      <c r="I24" s="11">
        <f>SUMIFS(dgn_data[unit_gross_weight],bhpc_data[size12],$B24,bhpc_data[category],$G$3)</f>
        <v>0</v>
      </c>
      <c r="J24" s="13">
        <f>SUMIFS(dgn_data[cbm],bhpc_data[size12],$B24,bhpc_data[category],$G$3)</f>
        <v>0</v>
      </c>
      <c r="K24" s="11">
        <f>SUMIFS(dgn_data[tot_order],bhpc_data[size12],$B24,bhpc_data[category],$K$3)+SUMIFS(dgn_data[tot_order],bhpc_data[size22],$B24,bhpc_data[category],$L$3)</f>
        <v>0</v>
      </c>
      <c r="L24" s="11">
        <f>SUMIFS(dgn_data[unit_net_weight],bhpc_data[size12],$B24,bhpc_data[category],$K$3)+SUMIFS(dgn_data[unit_net_weight2],bhpc_data[size22],$B24,bhpc_data[category],$L$3)</f>
        <v>0</v>
      </c>
      <c r="M24" s="11">
        <f>SUMIFS(dgn_data[unit_gross_weight],bhpc_data[size12],$B24,bhpc_data[category],$K$3)+SUMIFS(dgn_data[unit_gross_weight2],bhpc_data[size22],$B24,bhpc_data[category],$L$3)</f>
        <v>0</v>
      </c>
      <c r="N24" s="13">
        <f>SUMIFS(dgn_data[cbm],bhpc_data[size12],$B24,bhpc_data[category],$K$3)+SUMIFS(dgn_data[cbm2],bhpc_data[size22],$B24,bhpc_data[category],$L$3)</f>
        <v>0</v>
      </c>
      <c r="O24" s="210">
        <f t="shared" si="0"/>
        <v>0</v>
      </c>
    </row>
    <row r="25" spans="1:15">
      <c r="A25" s="10"/>
      <c r="B25" s="284" t="str">
        <f t="array" ref="B25">IFERROR(INDEX(bhpc_data[size12], MATCH(0, COUNTIF($B$9:B24, bhpc_data[size12]&amp;"") + IF(bhpc_data[size12]="",1,0), 0)), "")</f>
        <v/>
      </c>
      <c r="C25" s="16">
        <f>SUMIFS(dgn_data[tot_order],bhpc_data[size12],$B25,bhpc_data[category],$D$3)+SUMIFS(dgn_data[tot_order],bhpc_data[size12],$B25,bhpc_data[category],$E$3)+SUMIFS(dgn_data[tot_order],bhpc_data[size12],$B25,bhpc_data[category],$C$3)+SUMIFS(dgn_data[tot_order],bhpc_data[size12],$B25,bhpc_data[category],$F$3)</f>
        <v>0</v>
      </c>
      <c r="D25" s="12">
        <f>SUMIFS(dgn_data[unit_net_weight],bhpc_data[size12],$B25,bhpc_data[category],$D$3)+SUMIFS(dgn_data[unit_net_weight],bhpc_data[size12],$B25,bhpc_data[category],$E$3)+SUMIFS(dgn_data[unit_net_weight],bhpc_data[size12],$B25,bhpc_data[category],$C$3)+SUMIFS(dgn_data[unit_net_weight],bhpc_data[size12],$B25,bhpc_data[category],$F$3)</f>
        <v>0</v>
      </c>
      <c r="E25" s="12">
        <f>SUMIFS(dgn_data[unit_gross_weight],bhpc_data[size12],$B25,bhpc_data[category],$D$3)+SUMIFS(dgn_data[unit_gross_weight],bhpc_data[size12],$B25,bhpc_data[category],$E$3)+SUMIFS(dgn_data[unit_gross_weight],bhpc_data[size12],$B25,bhpc_data[category],$C$3)+SUMIFS(dgn_data[unit_gross_weight],bhpc_data[size12],$B25,bhpc_data[category],$F$3)</f>
        <v>0</v>
      </c>
      <c r="F25" s="14">
        <f>SUMIFS(dgn_data[cbm],bhpc_data[size12],$B25,bhpc_data[category],$D$3)+SUMIFS(dgn_data[cbm],bhpc_data[size12],$B25,bhpc_data[category],$E$3)+SUMIFS(dgn_data[cbm],bhpc_data[size12],$B25,bhpc_data[category],$C$3)+SUMIFS(dgn_data[cbm],bhpc_data[size12],$B25,bhpc_data[category],$F$3)</f>
        <v>0</v>
      </c>
      <c r="G25" s="16">
        <f>SUMIFS(dgn_data[tot_order],bhpc_data[size12],$B25,bhpc_data[category],$G$3)</f>
        <v>0</v>
      </c>
      <c r="H25" s="12">
        <f>SUMIFS(dgn_data[unit_net_weight],bhpc_data[size12],$B25,bhpc_data[category],$G$3)</f>
        <v>0</v>
      </c>
      <c r="I25" s="12">
        <f>SUMIFS(dgn_data[unit_gross_weight],bhpc_data[size12],$B25,bhpc_data[category],$G$3)</f>
        <v>0</v>
      </c>
      <c r="J25" s="14">
        <f>SUMIFS(dgn_data[cbm],bhpc_data[size12],$B25,bhpc_data[category],$G$3)</f>
        <v>0</v>
      </c>
      <c r="K25" s="12">
        <f>SUMIFS(dgn_data[tot_order],bhpc_data[size12],$B25,bhpc_data[category],$K$3)+SUMIFS(dgn_data[tot_order],bhpc_data[size22],$B25,bhpc_data[category],$L$3)</f>
        <v>0</v>
      </c>
      <c r="L25" s="12">
        <f>SUMIFS(dgn_data[unit_net_weight],bhpc_data[size12],$B25,bhpc_data[category],$K$3)+SUMIFS(dgn_data[unit_net_weight2],bhpc_data[size22],$B25,bhpc_data[category],$L$3)</f>
        <v>0</v>
      </c>
      <c r="M25" s="12">
        <f>SUMIFS(dgn_data[unit_gross_weight],bhpc_data[size12],$B25,bhpc_data[category],$K$3)+SUMIFS(dgn_data[unit_gross_weight2],bhpc_data[size22],$B25,bhpc_data[category],$L$3)</f>
        <v>0</v>
      </c>
      <c r="N25" s="14">
        <f>SUMIFS(dgn_data[cbm],bhpc_data[size12],$B25,bhpc_data[category],$K$3)+SUMIFS(dgn_data[cbm2],bhpc_data[size22],$B25,bhpc_data[category],$L$3)</f>
        <v>0</v>
      </c>
      <c r="O25" s="210">
        <f t="shared" si="0"/>
        <v>0</v>
      </c>
    </row>
    <row r="26" spans="1:15">
      <c r="A26" s="10"/>
      <c r="C26" s="10"/>
      <c r="D26" s="10"/>
    </row>
    <row r="27" spans="1:15">
      <c r="A27" s="10"/>
      <c r="C27" s="10"/>
      <c r="D27" s="10"/>
    </row>
    <row r="28" spans="1:15">
      <c r="A28" s="10"/>
      <c r="C28" s="10"/>
      <c r="D28" s="10"/>
    </row>
    <row r="29" spans="1:15">
      <c r="A29" s="10"/>
      <c r="C29" s="10"/>
      <c r="D29" s="10"/>
    </row>
    <row r="30" spans="1:15">
      <c r="A30" s="10"/>
      <c r="C30" s="10"/>
      <c r="D30" s="10"/>
    </row>
    <row r="31" spans="1:15">
      <c r="A31" s="10"/>
      <c r="B31" s="10"/>
      <c r="C31" s="10"/>
      <c r="D31" s="10"/>
    </row>
    <row r="32" spans="1:15">
      <c r="A32" s="10"/>
      <c r="B32" s="207" t="s">
        <v>367</v>
      </c>
      <c r="C32" s="10"/>
      <c r="D32" s="10"/>
    </row>
    <row r="33" spans="1:4">
      <c r="A33" s="10"/>
      <c r="B33" s="207" t="s">
        <v>380</v>
      </c>
      <c r="C33" s="10"/>
      <c r="D33" s="10"/>
    </row>
    <row r="34" spans="1:4">
      <c r="A34" s="10"/>
      <c r="B34" s="207" t="s">
        <v>375</v>
      </c>
      <c r="C34" s="10"/>
      <c r="D34" s="10"/>
    </row>
    <row r="35" spans="1:4">
      <c r="A35" s="10"/>
      <c r="B35" s="207" t="s">
        <v>377</v>
      </c>
      <c r="C35" s="10"/>
      <c r="D35" s="10"/>
    </row>
    <row r="36" spans="1:4">
      <c r="A36" s="10"/>
      <c r="B36" s="207" t="s">
        <v>376</v>
      </c>
      <c r="C36" s="10"/>
      <c r="D36" s="10"/>
    </row>
    <row r="37" spans="1:4">
      <c r="A37" s="10"/>
      <c r="B37" s="10"/>
      <c r="C37" s="10"/>
      <c r="D37" s="10"/>
    </row>
    <row r="38" spans="1:4">
      <c r="A38" s="10"/>
      <c r="B38" s="10"/>
      <c r="C38" s="10"/>
      <c r="D38" s="10"/>
    </row>
    <row r="39" spans="1:4">
      <c r="A39" s="10"/>
      <c r="B39" s="10"/>
      <c r="C39" s="10"/>
      <c r="D39" s="10"/>
    </row>
    <row r="40" spans="1:4">
      <c r="A40" s="10"/>
      <c r="B40" s="10"/>
      <c r="C40" s="10"/>
      <c r="D40" s="10"/>
    </row>
  </sheetData>
  <mergeCells count="6">
    <mergeCell ref="C4:F4"/>
    <mergeCell ref="G4:J4"/>
    <mergeCell ref="K4:N4"/>
    <mergeCell ref="C8:F8"/>
    <mergeCell ref="G8:J8"/>
    <mergeCell ref="K8:N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7"/>
  <dimension ref="A1:N190"/>
  <sheetViews>
    <sheetView zoomScaleSheetLayoutView="100" workbookViewId="0">
      <selection activeCell="K6" sqref="K6"/>
    </sheetView>
  </sheetViews>
  <sheetFormatPr defaultColWidth="10.7265625" defaultRowHeight="12.5"/>
  <cols>
    <col min="1" max="1" width="9.1796875" style="40" customWidth="1"/>
    <col min="2" max="2" width="17.81640625" style="40" customWidth="1"/>
    <col min="3" max="3" width="12.7265625" style="40" customWidth="1"/>
    <col min="4" max="4" width="6.26953125" style="94" customWidth="1"/>
    <col min="5" max="5" width="18.7265625" style="40" customWidth="1"/>
    <col min="6" max="6" width="3.453125" style="95" customWidth="1"/>
    <col min="7" max="7" width="10.453125" style="40" customWidth="1"/>
    <col min="8" max="8" width="9.1796875" style="40" customWidth="1"/>
    <col min="9" max="9" width="10.453125" style="53" customWidth="1"/>
    <col min="10" max="10" width="12.7265625" style="96" customWidth="1"/>
    <col min="11" max="11" width="4" style="97" bestFit="1" customWidth="1"/>
    <col min="12" max="16384" width="10.7265625" style="40"/>
  </cols>
  <sheetData>
    <row r="1" spans="1:11">
      <c r="A1" s="455" t="s">
        <v>265</v>
      </c>
      <c r="B1" s="456"/>
      <c r="C1" s="35"/>
      <c r="D1" s="36"/>
      <c r="E1" s="35"/>
      <c r="F1" s="37"/>
      <c r="G1" s="38"/>
      <c r="H1" s="455" t="s">
        <v>266</v>
      </c>
      <c r="I1" s="456"/>
      <c r="J1" s="456"/>
      <c r="K1" s="39"/>
    </row>
    <row r="2" spans="1:11" ht="13">
      <c r="A2" s="41"/>
      <c r="B2" s="42"/>
      <c r="C2" s="42"/>
      <c r="D2" s="43"/>
      <c r="E2" s="42"/>
      <c r="F2" s="44"/>
      <c r="G2" s="45"/>
      <c r="H2" s="46"/>
      <c r="I2" s="47"/>
      <c r="J2" s="48"/>
      <c r="K2" s="49"/>
    </row>
    <row r="3" spans="1:11" ht="13">
      <c r="A3" s="41"/>
      <c r="B3" s="42"/>
      <c r="C3" s="42"/>
      <c r="D3" s="43"/>
      <c r="E3" s="42"/>
      <c r="F3" s="44"/>
      <c r="G3" s="45"/>
      <c r="H3" s="50"/>
      <c r="I3" s="51"/>
      <c r="J3" s="48"/>
      <c r="K3" s="49"/>
    </row>
    <row r="4" spans="1:11" ht="13">
      <c r="A4" s="41"/>
      <c r="B4" s="42"/>
      <c r="C4" s="42"/>
      <c r="D4" s="43"/>
      <c r="E4" s="42"/>
      <c r="F4" s="44"/>
      <c r="G4" s="45"/>
      <c r="H4" s="50"/>
      <c r="I4" s="51"/>
      <c r="J4" s="48"/>
      <c r="K4" s="49"/>
    </row>
    <row r="5" spans="1:11" ht="13">
      <c r="A5" s="41"/>
      <c r="B5" s="42"/>
      <c r="C5" s="42"/>
      <c r="D5" s="43"/>
      <c r="E5" s="42"/>
      <c r="F5" s="44"/>
      <c r="G5" s="45"/>
      <c r="H5" s="52"/>
      <c r="I5" s="51"/>
      <c r="J5" s="48"/>
      <c r="K5" s="49"/>
    </row>
    <row r="6" spans="1:11" ht="13">
      <c r="A6" s="41"/>
      <c r="B6" s="42"/>
      <c r="C6" s="42"/>
      <c r="D6" s="43"/>
      <c r="E6" s="42"/>
      <c r="F6" s="44"/>
      <c r="G6" s="45"/>
      <c r="H6" s="50"/>
      <c r="J6" s="48"/>
      <c r="K6" s="45"/>
    </row>
    <row r="7" spans="1:11">
      <c r="A7" s="54"/>
      <c r="B7" s="55"/>
      <c r="C7" s="55"/>
      <c r="D7" s="56"/>
      <c r="E7" s="55"/>
      <c r="F7" s="57"/>
      <c r="G7" s="58"/>
      <c r="H7" s="59"/>
      <c r="I7" s="60"/>
      <c r="J7" s="61"/>
      <c r="K7" s="58"/>
    </row>
    <row r="8" spans="1:11">
      <c r="A8" s="455" t="s">
        <v>350</v>
      </c>
      <c r="B8" s="457"/>
      <c r="C8" s="455" t="s">
        <v>349</v>
      </c>
      <c r="D8" s="457"/>
      <c r="E8" s="455" t="s">
        <v>348</v>
      </c>
      <c r="F8" s="457"/>
      <c r="G8" s="455" t="s">
        <v>347</v>
      </c>
      <c r="H8" s="456"/>
      <c r="I8" s="456"/>
      <c r="J8" s="458" t="s">
        <v>346</v>
      </c>
      <c r="K8" s="459"/>
    </row>
    <row r="9" spans="1:11">
      <c r="A9" s="460" t="s">
        <v>271</v>
      </c>
      <c r="B9" s="461"/>
      <c r="C9" s="462"/>
      <c r="D9" s="463"/>
      <c r="E9" s="464"/>
      <c r="F9" s="464"/>
      <c r="G9" s="465"/>
      <c r="H9" s="466"/>
      <c r="I9" s="466"/>
      <c r="J9" s="465" t="s">
        <v>272</v>
      </c>
      <c r="K9" s="467"/>
    </row>
    <row r="10" spans="1:11">
      <c r="A10" s="423" t="s">
        <v>351</v>
      </c>
      <c r="B10" s="424"/>
      <c r="C10" s="424"/>
      <c r="D10" s="424"/>
      <c r="E10" s="424"/>
      <c r="F10" s="424"/>
      <c r="G10" s="424"/>
      <c r="H10" s="424"/>
      <c r="I10" s="424"/>
      <c r="J10" s="424"/>
      <c r="K10" s="425"/>
    </row>
    <row r="11" spans="1:11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5"/>
    </row>
    <row r="12" spans="1:11" ht="9" customHeight="1">
      <c r="A12" s="441" t="s">
        <v>318</v>
      </c>
      <c r="B12" s="441" t="s">
        <v>319</v>
      </c>
      <c r="C12" s="444"/>
      <c r="D12" s="444"/>
      <c r="E12" s="445"/>
      <c r="F12" s="450" t="s">
        <v>273</v>
      </c>
      <c r="G12" s="438" t="s">
        <v>320</v>
      </c>
      <c r="H12" s="438" t="s">
        <v>321</v>
      </c>
      <c r="I12" s="441" t="s">
        <v>322</v>
      </c>
      <c r="J12" s="435" t="s">
        <v>323</v>
      </c>
      <c r="K12" s="438" t="s">
        <v>324</v>
      </c>
    </row>
    <row r="13" spans="1:11" ht="9" customHeight="1">
      <c r="A13" s="442"/>
      <c r="B13" s="442"/>
      <c r="C13" s="446"/>
      <c r="D13" s="446"/>
      <c r="E13" s="447"/>
      <c r="F13" s="439"/>
      <c r="G13" s="451"/>
      <c r="H13" s="451"/>
      <c r="I13" s="453"/>
      <c r="J13" s="436"/>
      <c r="K13" s="439"/>
    </row>
    <row r="14" spans="1:11" ht="9" customHeight="1">
      <c r="A14" s="443"/>
      <c r="B14" s="443"/>
      <c r="C14" s="448"/>
      <c r="D14" s="448"/>
      <c r="E14" s="449"/>
      <c r="F14" s="440"/>
      <c r="G14" s="452"/>
      <c r="H14" s="452"/>
      <c r="I14" s="454"/>
      <c r="J14" s="437"/>
      <c r="K14" s="440"/>
    </row>
    <row r="15" spans="1:11" ht="13">
      <c r="A15" s="66"/>
      <c r="B15" s="67" t="s">
        <v>325</v>
      </c>
      <c r="C15" s="47"/>
      <c r="D15" s="68"/>
      <c r="E15" s="69"/>
      <c r="F15" s="70"/>
      <c r="G15" s="70"/>
      <c r="H15" s="252"/>
      <c r="I15" s="71"/>
      <c r="J15" s="256"/>
      <c r="K15" s="72"/>
    </row>
    <row r="16" spans="1:11">
      <c r="A16" s="73" t="str">
        <f>IF('ORDER ENTRY FORM'!A3="","",'ORDER ENTRY FORM'!A3)</f>
        <v>P06000</v>
      </c>
      <c r="B16" s="66" t="str">
        <f>IF('ORDER ENTRY FORM'!B3="","",'ORDER ENTRY FORM'!B3)</f>
        <v>BHPC PRESTIGE TROPHY 100ML EDP MEN</v>
      </c>
      <c r="C16" s="74"/>
      <c r="D16" s="75"/>
      <c r="E16" s="76"/>
      <c r="F16" s="77" t="str">
        <f>IF(A16="","","PC")</f>
        <v>PC</v>
      </c>
      <c r="G16" s="78">
        <f>IF('ORDER ENTRY FORM'!C3="","",'ORDER ENTRY FORM'!C3)</f>
        <v>100</v>
      </c>
      <c r="H16" s="253">
        <f>IF('ORDER ENTRY FORM'!D3="","",'ORDER ENTRY FORM'!D3)</f>
        <v>5</v>
      </c>
      <c r="I16" s="78">
        <f>IF(A16="","",ROUNDUP(G16/VLOOKUP(A16,bhpc_data[],9,FALSE),0))</f>
        <v>5</v>
      </c>
      <c r="J16" s="257">
        <f>IF(A16="","",G16*H16)</f>
        <v>500</v>
      </c>
      <c r="K16" s="80" t="str">
        <f>IF(A16="","",$C$166)</f>
        <v>061</v>
      </c>
    </row>
    <row r="17" spans="1:11">
      <c r="A17" s="73" t="str">
        <f>IF('ORDER ENTRY FORM'!A4="","",'ORDER ENTRY FORM'!A4)</f>
        <v>P06001</v>
      </c>
      <c r="B17" s="66" t="str">
        <f>IF('ORDER ENTRY FORM'!B4="","",'ORDER ENTRY FORM'!B4)</f>
        <v>BHPC PRESTIGE HERITAGE OUD 100ML EDP MEN</v>
      </c>
      <c r="C17" s="74"/>
      <c r="D17" s="75"/>
      <c r="E17" s="76"/>
      <c r="F17" s="77" t="str">
        <f t="shared" ref="F17:F73" si="0">IF(A17="","","PC")</f>
        <v>PC</v>
      </c>
      <c r="G17" s="78">
        <f>IF('ORDER ENTRY FORM'!C4="","",'ORDER ENTRY FORM'!C4)</f>
        <v>100</v>
      </c>
      <c r="H17" s="253">
        <f>IF('ORDER ENTRY FORM'!D4="","",'ORDER ENTRY FORM'!D4)</f>
        <v>5</v>
      </c>
      <c r="I17" s="79">
        <f>IF(A17="","",ROUNDUP(G17/VLOOKUP(A17,bhpc_data[],9,FALSE),0))</f>
        <v>5</v>
      </c>
      <c r="J17" s="257">
        <f t="shared" ref="J17:J73" si="1">IF(A17="","",G17*H17)</f>
        <v>500</v>
      </c>
      <c r="K17" s="80" t="str">
        <f t="shared" ref="K17:K73" si="2">IF(A17="","",$C$166)</f>
        <v>061</v>
      </c>
    </row>
    <row r="18" spans="1:11">
      <c r="A18" s="73" t="str">
        <f>IF('ORDER ENTRY FORM'!A5="","",'ORDER ENTRY FORM'!A5)</f>
        <v>P06002</v>
      </c>
      <c r="B18" s="66" t="str">
        <f>IF('ORDER ENTRY FORM'!B5="","",'ORDER ENTRY FORM'!B5)</f>
        <v>BHPC PRESTIGE TOUR 100ML EDP MEN</v>
      </c>
      <c r="C18" s="74"/>
      <c r="D18" s="75"/>
      <c r="E18" s="76"/>
      <c r="F18" s="77" t="str">
        <f t="shared" si="0"/>
        <v>PC</v>
      </c>
      <c r="G18" s="78">
        <f>IF('ORDER ENTRY FORM'!C5="","",'ORDER ENTRY FORM'!C5)</f>
        <v>100</v>
      </c>
      <c r="H18" s="253">
        <f>IF('ORDER ENTRY FORM'!D5="","",'ORDER ENTRY FORM'!D5)</f>
        <v>5</v>
      </c>
      <c r="I18" s="79">
        <f>IF(A18="","",ROUNDUP(G18/VLOOKUP(A18,bhpc_data[],9,FALSE),0))</f>
        <v>5</v>
      </c>
      <c r="J18" s="257">
        <f t="shared" si="1"/>
        <v>500</v>
      </c>
      <c r="K18" s="80" t="str">
        <f t="shared" si="2"/>
        <v>061</v>
      </c>
    </row>
    <row r="19" spans="1:11">
      <c r="A19" s="73" t="str">
        <f>IF('ORDER ENTRY FORM'!A6="","",'ORDER ENTRY FORM'!A6)</f>
        <v>P06003</v>
      </c>
      <c r="B19" s="66" t="str">
        <f>IF('ORDER ENTRY FORM'!B6="","",'ORDER ENTRY FORM'!B6)</f>
        <v>BHPC PRESTIGE TITAN 100ML EDP MEN</v>
      </c>
      <c r="C19" s="74"/>
      <c r="D19" s="75"/>
      <c r="E19" s="76"/>
      <c r="F19" s="77" t="str">
        <f t="shared" si="0"/>
        <v>PC</v>
      </c>
      <c r="G19" s="78">
        <f>IF('ORDER ENTRY FORM'!C6="","",'ORDER ENTRY FORM'!C6)</f>
        <v>100</v>
      </c>
      <c r="H19" s="253">
        <f>IF('ORDER ENTRY FORM'!D6="","",'ORDER ENTRY FORM'!D6)</f>
        <v>5</v>
      </c>
      <c r="I19" s="79">
        <f>IF(A19="","",ROUNDUP(G19/VLOOKUP(A19,bhpc_data[],9,FALSE),0))</f>
        <v>5</v>
      </c>
      <c r="J19" s="257">
        <f t="shared" si="1"/>
        <v>500</v>
      </c>
      <c r="K19" s="80" t="str">
        <f t="shared" si="2"/>
        <v>061</v>
      </c>
    </row>
    <row r="20" spans="1:11">
      <c r="A20" s="73" t="str">
        <f>IF('ORDER ENTRY FORM'!A7="","",'ORDER ENTRY FORM'!A7)</f>
        <v>GS5004</v>
      </c>
      <c r="B20" s="66" t="str">
        <f>IF('ORDER ENTRY FORM'!B7="","",'ORDER ENTRY FORM'!B7)</f>
        <v>BHPC GIFT SET SPORT MEN 1 EDT 100ML + DEO 175ML</v>
      </c>
      <c r="C20" s="74"/>
      <c r="D20" s="75"/>
      <c r="E20" s="76"/>
      <c r="F20" s="77" t="str">
        <f t="shared" si="0"/>
        <v>PC</v>
      </c>
      <c r="G20" s="78">
        <f>IF('ORDER ENTRY FORM'!C7="","",'ORDER ENTRY FORM'!C7)</f>
        <v>100</v>
      </c>
      <c r="H20" s="253">
        <f>IF('ORDER ENTRY FORM'!D7="","",'ORDER ENTRY FORM'!D7)</f>
        <v>6</v>
      </c>
      <c r="I20" s="79">
        <f>IF(A20="","",ROUNDUP(G20/VLOOKUP(A20,bhpc_data[],9,FALSE),0))</f>
        <v>9</v>
      </c>
      <c r="J20" s="257">
        <f t="shared" si="1"/>
        <v>600</v>
      </c>
      <c r="K20" s="80" t="str">
        <f t="shared" si="2"/>
        <v>061</v>
      </c>
    </row>
    <row r="21" spans="1:11">
      <c r="A21" s="73" t="str">
        <f>IF('ORDER ENTRY FORM'!A8="","",'ORDER ENTRY FORM'!A8)</f>
        <v>GS5005</v>
      </c>
      <c r="B21" s="66" t="str">
        <f>IF('ORDER ENTRY FORM'!B8="","",'ORDER ENTRY FORM'!B8)</f>
        <v>BHPC GIFT SET SPORT MEN 9 EDT 100ML + DEO 175ML</v>
      </c>
      <c r="C21" s="74"/>
      <c r="D21" s="75"/>
      <c r="E21" s="76"/>
      <c r="F21" s="77" t="str">
        <f t="shared" si="0"/>
        <v>PC</v>
      </c>
      <c r="G21" s="78">
        <f>IF('ORDER ENTRY FORM'!C8="","",'ORDER ENTRY FORM'!C8)</f>
        <v>100</v>
      </c>
      <c r="H21" s="253">
        <f>IF('ORDER ENTRY FORM'!D8="","",'ORDER ENTRY FORM'!D8)</f>
        <v>6</v>
      </c>
      <c r="I21" s="79">
        <f>IF(A21="","",ROUNDUP(G21/VLOOKUP(A21,bhpc_data[],9,FALSE),0))</f>
        <v>9</v>
      </c>
      <c r="J21" s="257">
        <f t="shared" si="1"/>
        <v>600</v>
      </c>
      <c r="K21" s="80" t="str">
        <f t="shared" si="2"/>
        <v>061</v>
      </c>
    </row>
    <row r="22" spans="1:11">
      <c r="A22" s="73" t="str">
        <f>IF('ORDER ENTRY FORM'!A9="","",'ORDER ENTRY FORM'!A9)</f>
        <v>GS5006</v>
      </c>
      <c r="B22" s="66" t="str">
        <f>IF('ORDER ENTRY FORM'!B9="","",'ORDER ENTRY FORM'!B9)</f>
        <v>BHPC GIFT SET SPORT MEN 8 EDT 100ML + DEO 175ML</v>
      </c>
      <c r="C22" s="74"/>
      <c r="D22" s="75"/>
      <c r="E22" s="76"/>
      <c r="F22" s="77" t="str">
        <f t="shared" si="0"/>
        <v>PC</v>
      </c>
      <c r="G22" s="78">
        <f>IF('ORDER ENTRY FORM'!C9="","",'ORDER ENTRY FORM'!C9)</f>
        <v>100</v>
      </c>
      <c r="H22" s="253">
        <f>IF('ORDER ENTRY FORM'!D9="","",'ORDER ENTRY FORM'!D9)</f>
        <v>6</v>
      </c>
      <c r="I22" s="79">
        <f>IF(A22="","",ROUNDUP(G22/VLOOKUP(A22,bhpc_data[],9,FALSE),0))</f>
        <v>9</v>
      </c>
      <c r="J22" s="257">
        <f t="shared" si="1"/>
        <v>600</v>
      </c>
      <c r="K22" s="80" t="str">
        <f t="shared" si="2"/>
        <v>061</v>
      </c>
    </row>
    <row r="23" spans="1:11">
      <c r="A23" s="73" t="str">
        <f>IF('ORDER ENTRY FORM'!A10="","",'ORDER ENTRY FORM'!A10)</f>
        <v>GS5007</v>
      </c>
      <c r="B23" s="66" t="str">
        <f>IF('ORDER ENTRY FORM'!B10="","",'ORDER ENTRY FORM'!B10)</f>
        <v>BHPC GIFT SET SPORT MEN 2 EDT 100ML + DEO 175ML</v>
      </c>
      <c r="C23" s="74"/>
      <c r="D23" s="75"/>
      <c r="E23" s="76"/>
      <c r="F23" s="77" t="str">
        <f t="shared" si="0"/>
        <v>PC</v>
      </c>
      <c r="G23" s="78">
        <f>IF('ORDER ENTRY FORM'!C10="","",'ORDER ENTRY FORM'!C10)</f>
        <v>100</v>
      </c>
      <c r="H23" s="253">
        <f>IF('ORDER ENTRY FORM'!D10="","",'ORDER ENTRY FORM'!D10)</f>
        <v>6</v>
      </c>
      <c r="I23" s="79">
        <f>IF(A23="","",ROUNDUP(G23/VLOOKUP(A23,bhpc_data[],9,FALSE),0))</f>
        <v>9</v>
      </c>
      <c r="J23" s="257">
        <f t="shared" si="1"/>
        <v>600</v>
      </c>
      <c r="K23" s="80" t="str">
        <f t="shared" si="2"/>
        <v>061</v>
      </c>
    </row>
    <row r="24" spans="1:11">
      <c r="A24" s="73" t="str">
        <f>IF('ORDER ENTRY FORM'!A11="","",'ORDER ENTRY FORM'!A11)</f>
        <v>GSTRO3</v>
      </c>
      <c r="B24" s="66" t="str">
        <f>IF('ORDER ENTRY FORM'!B11="","",'ORDER ENTRY FORM'!B11)</f>
        <v xml:space="preserve">BHPC GIFTSET PRESTIGE TROPHY EDP100ML + DEO 300ML </v>
      </c>
      <c r="C24" s="74"/>
      <c r="D24" s="75"/>
      <c r="E24" s="76"/>
      <c r="F24" s="77" t="str">
        <f t="shared" si="0"/>
        <v>PC</v>
      </c>
      <c r="G24" s="78">
        <f>IF('ORDER ENTRY FORM'!C11="","",'ORDER ENTRY FORM'!C11)</f>
        <v>100</v>
      </c>
      <c r="H24" s="253">
        <f>IF('ORDER ENTRY FORM'!D11="","",'ORDER ENTRY FORM'!D11)</f>
        <v>15</v>
      </c>
      <c r="I24" s="79">
        <f>IF(A24="","",ROUNDUP(G24/VLOOKUP(A24,bhpc_data[],9,FALSE),0))</f>
        <v>5</v>
      </c>
      <c r="J24" s="257">
        <f t="shared" si="1"/>
        <v>1500</v>
      </c>
      <c r="K24" s="80" t="str">
        <f t="shared" si="2"/>
        <v>061</v>
      </c>
    </row>
    <row r="25" spans="1:11">
      <c r="A25" s="73" t="str">
        <f>IF('ORDER ENTRY FORM'!A12="","",'ORDER ENTRY FORM'!A12)</f>
        <v/>
      </c>
      <c r="B25" s="66" t="str">
        <f>IF('ORDER ENTRY FORM'!B12="","",'ORDER ENTRY FORM'!B12)</f>
        <v/>
      </c>
      <c r="C25" s="74"/>
      <c r="D25" s="75"/>
      <c r="E25" s="76"/>
      <c r="F25" s="77" t="str">
        <f t="shared" si="0"/>
        <v/>
      </c>
      <c r="G25" s="78" t="str">
        <f>IF('ORDER ENTRY FORM'!C12="","",'ORDER ENTRY FORM'!C12)</f>
        <v/>
      </c>
      <c r="H25" s="253" t="str">
        <f>IF('ORDER ENTRY FORM'!D12="","",'ORDER ENTRY FORM'!D12)</f>
        <v/>
      </c>
      <c r="I25" s="79" t="str">
        <f>IF(A25="","",ROUNDUP(G25/VLOOKUP(A25,bhpc_data[],9,FALSE),0))</f>
        <v/>
      </c>
      <c r="J25" s="257" t="str">
        <f t="shared" si="1"/>
        <v/>
      </c>
      <c r="K25" s="80" t="str">
        <f t="shared" si="2"/>
        <v/>
      </c>
    </row>
    <row r="26" spans="1:11">
      <c r="A26" s="73" t="str">
        <f>IF('ORDER ENTRY FORM'!A13="","",'ORDER ENTRY FORM'!A13)</f>
        <v/>
      </c>
      <c r="B26" s="66" t="str">
        <f>IF('ORDER ENTRY FORM'!B13="","",'ORDER ENTRY FORM'!B13)</f>
        <v/>
      </c>
      <c r="C26" s="74"/>
      <c r="D26" s="75"/>
      <c r="E26" s="76"/>
      <c r="F26" s="77" t="str">
        <f t="shared" si="0"/>
        <v/>
      </c>
      <c r="G26" s="78" t="str">
        <f>IF('ORDER ENTRY FORM'!C13="","",'ORDER ENTRY FORM'!C13)</f>
        <v/>
      </c>
      <c r="H26" s="253" t="str">
        <f>IF('ORDER ENTRY FORM'!D13="","",'ORDER ENTRY FORM'!D13)</f>
        <v/>
      </c>
      <c r="I26" s="79" t="str">
        <f>IF(A26="","",ROUNDUP(G26/VLOOKUP(A26,bhpc_data[],9,FALSE),0))</f>
        <v/>
      </c>
      <c r="J26" s="257" t="str">
        <f t="shared" si="1"/>
        <v/>
      </c>
      <c r="K26" s="80" t="str">
        <f t="shared" si="2"/>
        <v/>
      </c>
    </row>
    <row r="27" spans="1:11">
      <c r="A27" s="73" t="str">
        <f>IF('ORDER ENTRY FORM'!A14="","",'ORDER ENTRY FORM'!A14)</f>
        <v/>
      </c>
      <c r="B27" s="66" t="str">
        <f>IF('ORDER ENTRY FORM'!B14="","",'ORDER ENTRY FORM'!B14)</f>
        <v/>
      </c>
      <c r="C27" s="74"/>
      <c r="D27" s="75"/>
      <c r="E27" s="76"/>
      <c r="F27" s="77" t="str">
        <f t="shared" si="0"/>
        <v/>
      </c>
      <c r="G27" s="78" t="str">
        <f>IF('ORDER ENTRY FORM'!C14="","",'ORDER ENTRY FORM'!C14)</f>
        <v/>
      </c>
      <c r="H27" s="253" t="str">
        <f>IF('ORDER ENTRY FORM'!D14="","",'ORDER ENTRY FORM'!D14)</f>
        <v/>
      </c>
      <c r="I27" s="79" t="str">
        <f>IF(A27="","",ROUNDUP(G27/VLOOKUP(A27,bhpc_data[],9,FALSE),0))</f>
        <v/>
      </c>
      <c r="J27" s="257" t="str">
        <f t="shared" si="1"/>
        <v/>
      </c>
      <c r="K27" s="80" t="str">
        <f t="shared" si="2"/>
        <v/>
      </c>
    </row>
    <row r="28" spans="1:11">
      <c r="A28" s="73" t="str">
        <f>IF('ORDER ENTRY FORM'!A15="","",'ORDER ENTRY FORM'!A15)</f>
        <v/>
      </c>
      <c r="B28" s="66" t="str">
        <f>IF('ORDER ENTRY FORM'!B15="","",'ORDER ENTRY FORM'!B15)</f>
        <v/>
      </c>
      <c r="C28" s="74"/>
      <c r="D28" s="75"/>
      <c r="E28" s="76"/>
      <c r="F28" s="77" t="str">
        <f t="shared" si="0"/>
        <v/>
      </c>
      <c r="G28" s="78" t="str">
        <f>IF('ORDER ENTRY FORM'!C15="","",'ORDER ENTRY FORM'!C15)</f>
        <v/>
      </c>
      <c r="H28" s="253" t="str">
        <f>IF('ORDER ENTRY FORM'!D15="","",'ORDER ENTRY FORM'!D15)</f>
        <v/>
      </c>
      <c r="I28" s="79" t="str">
        <f>IF(A28="","",ROUNDUP(G28/VLOOKUP(A28,bhpc_data[],9,FALSE),0))</f>
        <v/>
      </c>
      <c r="J28" s="257" t="str">
        <f t="shared" si="1"/>
        <v/>
      </c>
      <c r="K28" s="80" t="str">
        <f t="shared" si="2"/>
        <v/>
      </c>
    </row>
    <row r="29" spans="1:11">
      <c r="A29" s="73" t="str">
        <f>IF('ORDER ENTRY FORM'!A16="","",'ORDER ENTRY FORM'!A16)</f>
        <v/>
      </c>
      <c r="B29" s="66" t="str">
        <f>IF('ORDER ENTRY FORM'!B16="","",'ORDER ENTRY FORM'!B16)</f>
        <v/>
      </c>
      <c r="C29" s="74"/>
      <c r="D29" s="75"/>
      <c r="E29" s="76"/>
      <c r="F29" s="77" t="str">
        <f t="shared" si="0"/>
        <v/>
      </c>
      <c r="G29" s="78" t="str">
        <f>IF('ORDER ENTRY FORM'!C16="","",'ORDER ENTRY FORM'!C16)</f>
        <v/>
      </c>
      <c r="H29" s="253" t="str">
        <f>IF('ORDER ENTRY FORM'!D16="","",'ORDER ENTRY FORM'!D16)</f>
        <v/>
      </c>
      <c r="I29" s="79" t="str">
        <f>IF(A29="","",ROUNDUP(G29/VLOOKUP(A29,bhpc_data[],9,FALSE),0))</f>
        <v/>
      </c>
      <c r="J29" s="257" t="str">
        <f t="shared" si="1"/>
        <v/>
      </c>
      <c r="K29" s="80" t="str">
        <f t="shared" si="2"/>
        <v/>
      </c>
    </row>
    <row r="30" spans="1:11">
      <c r="A30" s="73" t="str">
        <f>IF('ORDER ENTRY FORM'!A17="","",'ORDER ENTRY FORM'!A17)</f>
        <v/>
      </c>
      <c r="B30" s="66" t="str">
        <f>IF('ORDER ENTRY FORM'!B17="","",'ORDER ENTRY FORM'!B17)</f>
        <v/>
      </c>
      <c r="C30" s="74"/>
      <c r="D30" s="75"/>
      <c r="E30" s="76"/>
      <c r="F30" s="77" t="str">
        <f t="shared" si="0"/>
        <v/>
      </c>
      <c r="G30" s="78" t="str">
        <f>IF('ORDER ENTRY FORM'!C17="","",'ORDER ENTRY FORM'!C17)</f>
        <v/>
      </c>
      <c r="H30" s="253" t="str">
        <f>IF('ORDER ENTRY FORM'!D17="","",'ORDER ENTRY FORM'!D17)</f>
        <v/>
      </c>
      <c r="I30" s="79" t="str">
        <f>IF(A30="","",ROUNDUP(G30/VLOOKUP(A30,bhpc_data[],9,FALSE),0))</f>
        <v/>
      </c>
      <c r="J30" s="257" t="str">
        <f t="shared" si="1"/>
        <v/>
      </c>
      <c r="K30" s="80" t="str">
        <f t="shared" si="2"/>
        <v/>
      </c>
    </row>
    <row r="31" spans="1:11">
      <c r="A31" s="73" t="str">
        <f>IF('ORDER ENTRY FORM'!A18="","",'ORDER ENTRY FORM'!A18)</f>
        <v/>
      </c>
      <c r="B31" s="66" t="str">
        <f>IF('ORDER ENTRY FORM'!B18="","",'ORDER ENTRY FORM'!B18)</f>
        <v/>
      </c>
      <c r="C31" s="74"/>
      <c r="D31" s="75"/>
      <c r="E31" s="76"/>
      <c r="F31" s="77" t="str">
        <f t="shared" si="0"/>
        <v/>
      </c>
      <c r="G31" s="78" t="str">
        <f>IF('ORDER ENTRY FORM'!C18="","",'ORDER ENTRY FORM'!C18)</f>
        <v/>
      </c>
      <c r="H31" s="253" t="str">
        <f>IF('ORDER ENTRY FORM'!D18="","",'ORDER ENTRY FORM'!D18)</f>
        <v/>
      </c>
      <c r="I31" s="79" t="str">
        <f>IF(A31="","",ROUNDUP(G31/VLOOKUP(A31,bhpc_data[],9,FALSE),0))</f>
        <v/>
      </c>
      <c r="J31" s="257" t="str">
        <f t="shared" si="1"/>
        <v/>
      </c>
      <c r="K31" s="80" t="str">
        <f t="shared" si="2"/>
        <v/>
      </c>
    </row>
    <row r="32" spans="1:11">
      <c r="A32" s="73" t="str">
        <f>IF('ORDER ENTRY FORM'!A19="","",'ORDER ENTRY FORM'!A19)</f>
        <v/>
      </c>
      <c r="B32" s="66" t="str">
        <f>IF('ORDER ENTRY FORM'!B19="","",'ORDER ENTRY FORM'!B19)</f>
        <v/>
      </c>
      <c r="C32" s="74"/>
      <c r="D32" s="75"/>
      <c r="E32" s="76"/>
      <c r="F32" s="77" t="str">
        <f t="shared" si="0"/>
        <v/>
      </c>
      <c r="G32" s="78" t="str">
        <f>IF('ORDER ENTRY FORM'!C19="","",'ORDER ENTRY FORM'!C19)</f>
        <v/>
      </c>
      <c r="H32" s="253" t="str">
        <f>IF('ORDER ENTRY FORM'!D19="","",'ORDER ENTRY FORM'!D19)</f>
        <v/>
      </c>
      <c r="I32" s="79" t="str">
        <f>IF(A32="","",ROUNDUP(G32/VLOOKUP(A32,bhpc_data[],9,FALSE),0))</f>
        <v/>
      </c>
      <c r="J32" s="257" t="str">
        <f t="shared" si="1"/>
        <v/>
      </c>
      <c r="K32" s="80" t="str">
        <f t="shared" si="2"/>
        <v/>
      </c>
    </row>
    <row r="33" spans="1:11">
      <c r="A33" s="73" t="str">
        <f>IF('ORDER ENTRY FORM'!A20="","",'ORDER ENTRY FORM'!A20)</f>
        <v/>
      </c>
      <c r="B33" s="66" t="str">
        <f>IF('ORDER ENTRY FORM'!B20="","",'ORDER ENTRY FORM'!B20)</f>
        <v/>
      </c>
      <c r="C33" s="74"/>
      <c r="D33" s="75"/>
      <c r="E33" s="76"/>
      <c r="F33" s="77" t="str">
        <f t="shared" si="0"/>
        <v/>
      </c>
      <c r="G33" s="78" t="str">
        <f>IF('ORDER ENTRY FORM'!C20="","",'ORDER ENTRY FORM'!C20)</f>
        <v/>
      </c>
      <c r="H33" s="253" t="str">
        <f>IF('ORDER ENTRY FORM'!D20="","",'ORDER ENTRY FORM'!D20)</f>
        <v/>
      </c>
      <c r="I33" s="79" t="str">
        <f>IF(A33="","",ROUNDUP(G33/VLOOKUP(A33,bhpc_data[],9,FALSE),0))</f>
        <v/>
      </c>
      <c r="J33" s="257" t="str">
        <f t="shared" si="1"/>
        <v/>
      </c>
      <c r="K33" s="80" t="str">
        <f t="shared" si="2"/>
        <v/>
      </c>
    </row>
    <row r="34" spans="1:11">
      <c r="A34" s="73" t="str">
        <f>IF('ORDER ENTRY FORM'!A21="","",'ORDER ENTRY FORM'!A21)</f>
        <v/>
      </c>
      <c r="B34" s="66" t="str">
        <f>IF('ORDER ENTRY FORM'!B21="","",'ORDER ENTRY FORM'!B21)</f>
        <v/>
      </c>
      <c r="C34" s="74"/>
      <c r="D34" s="75"/>
      <c r="E34" s="76"/>
      <c r="F34" s="77" t="str">
        <f t="shared" si="0"/>
        <v/>
      </c>
      <c r="G34" s="78" t="str">
        <f>IF('ORDER ENTRY FORM'!C21="","",'ORDER ENTRY FORM'!C21)</f>
        <v/>
      </c>
      <c r="H34" s="253" t="str">
        <f>IF('ORDER ENTRY FORM'!D21="","",'ORDER ENTRY FORM'!D21)</f>
        <v/>
      </c>
      <c r="I34" s="79" t="str">
        <f>IF(A34="","",ROUNDUP(G34/VLOOKUP(A34,bhpc_data[],9,FALSE),0))</f>
        <v/>
      </c>
      <c r="J34" s="257" t="str">
        <f t="shared" si="1"/>
        <v/>
      </c>
      <c r="K34" s="80" t="str">
        <f t="shared" si="2"/>
        <v/>
      </c>
    </row>
    <row r="35" spans="1:11">
      <c r="A35" s="73" t="str">
        <f>IF('ORDER ENTRY FORM'!A22="","",'ORDER ENTRY FORM'!A22)</f>
        <v/>
      </c>
      <c r="B35" s="66" t="str">
        <f>IF('ORDER ENTRY FORM'!B22="","",'ORDER ENTRY FORM'!B22)</f>
        <v/>
      </c>
      <c r="C35" s="74"/>
      <c r="D35" s="75"/>
      <c r="E35" s="76"/>
      <c r="F35" s="77" t="str">
        <f t="shared" si="0"/>
        <v/>
      </c>
      <c r="G35" s="78" t="str">
        <f>IF('ORDER ENTRY FORM'!C22="","",'ORDER ENTRY FORM'!C22)</f>
        <v/>
      </c>
      <c r="H35" s="253" t="str">
        <f>IF('ORDER ENTRY FORM'!D22="","",'ORDER ENTRY FORM'!D22)</f>
        <v/>
      </c>
      <c r="I35" s="79" t="str">
        <f>IF(A35="","",ROUNDUP(G35/VLOOKUP(A35,bhpc_data[],9,FALSE),0))</f>
        <v/>
      </c>
      <c r="J35" s="257" t="str">
        <f t="shared" si="1"/>
        <v/>
      </c>
      <c r="K35" s="80" t="str">
        <f t="shared" si="2"/>
        <v/>
      </c>
    </row>
    <row r="36" spans="1:11">
      <c r="A36" s="73" t="str">
        <f>IF('ORDER ENTRY FORM'!A23="","",'ORDER ENTRY FORM'!A23)</f>
        <v/>
      </c>
      <c r="B36" s="66" t="str">
        <f>IF('ORDER ENTRY FORM'!B23="","",'ORDER ENTRY FORM'!B23)</f>
        <v/>
      </c>
      <c r="C36" s="74"/>
      <c r="D36" s="75"/>
      <c r="E36" s="76"/>
      <c r="F36" s="77" t="str">
        <f t="shared" si="0"/>
        <v/>
      </c>
      <c r="G36" s="78" t="str">
        <f>IF('ORDER ENTRY FORM'!C23="","",'ORDER ENTRY FORM'!C23)</f>
        <v/>
      </c>
      <c r="H36" s="253" t="str">
        <f>IF('ORDER ENTRY FORM'!D23="","",'ORDER ENTRY FORM'!D23)</f>
        <v/>
      </c>
      <c r="I36" s="79" t="str">
        <f>IF(A36="","",ROUNDUP(G36/VLOOKUP(A36,bhpc_data[],9,FALSE),0))</f>
        <v/>
      </c>
      <c r="J36" s="257" t="str">
        <f t="shared" si="1"/>
        <v/>
      </c>
      <c r="K36" s="80" t="str">
        <f t="shared" si="2"/>
        <v/>
      </c>
    </row>
    <row r="37" spans="1:11">
      <c r="A37" s="73" t="str">
        <f>IF('ORDER ENTRY FORM'!A24="","",'ORDER ENTRY FORM'!A24)</f>
        <v/>
      </c>
      <c r="B37" s="66" t="str">
        <f>IF('ORDER ENTRY FORM'!B24="","",'ORDER ENTRY FORM'!B24)</f>
        <v/>
      </c>
      <c r="C37" s="74"/>
      <c r="D37" s="75"/>
      <c r="E37" s="76"/>
      <c r="F37" s="77" t="str">
        <f t="shared" si="0"/>
        <v/>
      </c>
      <c r="G37" s="78" t="str">
        <f>IF('ORDER ENTRY FORM'!C24="","",'ORDER ENTRY FORM'!C24)</f>
        <v/>
      </c>
      <c r="H37" s="253" t="str">
        <f>IF('ORDER ENTRY FORM'!D24="","",'ORDER ENTRY FORM'!D24)</f>
        <v/>
      </c>
      <c r="I37" s="79" t="str">
        <f>IF(A37="","",ROUNDUP(G37/VLOOKUP(A37,bhpc_data[],9,FALSE),0))</f>
        <v/>
      </c>
      <c r="J37" s="257" t="str">
        <f t="shared" si="1"/>
        <v/>
      </c>
      <c r="K37" s="80" t="str">
        <f t="shared" si="2"/>
        <v/>
      </c>
    </row>
    <row r="38" spans="1:11">
      <c r="A38" s="73" t="str">
        <f>IF('ORDER ENTRY FORM'!A25="","",'ORDER ENTRY FORM'!A25)</f>
        <v/>
      </c>
      <c r="B38" s="66" t="str">
        <f>IF('ORDER ENTRY FORM'!B25="","",'ORDER ENTRY FORM'!B25)</f>
        <v/>
      </c>
      <c r="C38" s="74"/>
      <c r="D38" s="75"/>
      <c r="E38" s="76"/>
      <c r="F38" s="77" t="str">
        <f t="shared" si="0"/>
        <v/>
      </c>
      <c r="G38" s="78" t="str">
        <f>IF('ORDER ENTRY FORM'!C25="","",'ORDER ENTRY FORM'!C25)</f>
        <v/>
      </c>
      <c r="H38" s="253" t="str">
        <f>IF('ORDER ENTRY FORM'!D25="","",'ORDER ENTRY FORM'!D25)</f>
        <v/>
      </c>
      <c r="I38" s="79" t="str">
        <f>IF(A38="","",ROUNDUP(G38/VLOOKUP(A38,bhpc_data[],9,FALSE),0))</f>
        <v/>
      </c>
      <c r="J38" s="257" t="str">
        <f t="shared" si="1"/>
        <v/>
      </c>
      <c r="K38" s="80" t="str">
        <f t="shared" si="2"/>
        <v/>
      </c>
    </row>
    <row r="39" spans="1:11">
      <c r="A39" s="73" t="str">
        <f>IF('ORDER ENTRY FORM'!A26="","",'ORDER ENTRY FORM'!A26)</f>
        <v/>
      </c>
      <c r="B39" s="66" t="str">
        <f>IF('ORDER ENTRY FORM'!B26="","",'ORDER ENTRY FORM'!B26)</f>
        <v/>
      </c>
      <c r="C39" s="74"/>
      <c r="D39" s="75"/>
      <c r="E39" s="76"/>
      <c r="F39" s="77" t="str">
        <f t="shared" si="0"/>
        <v/>
      </c>
      <c r="G39" s="78" t="str">
        <f>IF('ORDER ENTRY FORM'!C26="","",'ORDER ENTRY FORM'!C26)</f>
        <v/>
      </c>
      <c r="H39" s="253" t="str">
        <f>IF('ORDER ENTRY FORM'!D26="","",'ORDER ENTRY FORM'!D26)</f>
        <v/>
      </c>
      <c r="I39" s="79" t="str">
        <f>IF(A39="","",ROUNDUP(G39/VLOOKUP(A39,bhpc_data[],9,FALSE),0))</f>
        <v/>
      </c>
      <c r="J39" s="257" t="str">
        <f t="shared" si="1"/>
        <v/>
      </c>
      <c r="K39" s="80" t="str">
        <f t="shared" si="2"/>
        <v/>
      </c>
    </row>
    <row r="40" spans="1:11">
      <c r="A40" s="73" t="str">
        <f>IF('ORDER ENTRY FORM'!A27="","",'ORDER ENTRY FORM'!A27)</f>
        <v/>
      </c>
      <c r="B40" s="66" t="str">
        <f>IF('ORDER ENTRY FORM'!B27="","",'ORDER ENTRY FORM'!B27)</f>
        <v/>
      </c>
      <c r="C40" s="74"/>
      <c r="D40" s="75"/>
      <c r="E40" s="76"/>
      <c r="F40" s="77" t="str">
        <f t="shared" si="0"/>
        <v/>
      </c>
      <c r="G40" s="78" t="str">
        <f>IF('ORDER ENTRY FORM'!C27="","",'ORDER ENTRY FORM'!C27)</f>
        <v/>
      </c>
      <c r="H40" s="253" t="str">
        <f>IF('ORDER ENTRY FORM'!D27="","",'ORDER ENTRY FORM'!D27)</f>
        <v/>
      </c>
      <c r="I40" s="79" t="str">
        <f>IF(A40="","",ROUNDUP(G40/VLOOKUP(A40,bhpc_data[],9,FALSE),0))</f>
        <v/>
      </c>
      <c r="J40" s="257" t="str">
        <f t="shared" si="1"/>
        <v/>
      </c>
      <c r="K40" s="80" t="str">
        <f t="shared" si="2"/>
        <v/>
      </c>
    </row>
    <row r="41" spans="1:11">
      <c r="A41" s="73" t="str">
        <f>IF('ORDER ENTRY FORM'!A28="","",'ORDER ENTRY FORM'!A28)</f>
        <v/>
      </c>
      <c r="B41" s="66" t="str">
        <f>IF('ORDER ENTRY FORM'!B28="","",'ORDER ENTRY FORM'!B28)</f>
        <v/>
      </c>
      <c r="C41" s="74"/>
      <c r="D41" s="75"/>
      <c r="E41" s="76"/>
      <c r="F41" s="77" t="str">
        <f t="shared" si="0"/>
        <v/>
      </c>
      <c r="G41" s="78" t="str">
        <f>IF('ORDER ENTRY FORM'!C28="","",'ORDER ENTRY FORM'!C28)</f>
        <v/>
      </c>
      <c r="H41" s="253" t="str">
        <f>IF('ORDER ENTRY FORM'!D28="","",'ORDER ENTRY FORM'!D28)</f>
        <v/>
      </c>
      <c r="I41" s="79" t="str">
        <f>IF(A41="","",ROUNDUP(G41/VLOOKUP(A41,bhpc_data[],9,FALSE),0))</f>
        <v/>
      </c>
      <c r="J41" s="257" t="str">
        <f t="shared" si="1"/>
        <v/>
      </c>
      <c r="K41" s="80" t="str">
        <f t="shared" si="2"/>
        <v/>
      </c>
    </row>
    <row r="42" spans="1:11">
      <c r="A42" s="73" t="str">
        <f>IF('ORDER ENTRY FORM'!A29="","",'ORDER ENTRY FORM'!A29)</f>
        <v/>
      </c>
      <c r="B42" s="66" t="str">
        <f>IF('ORDER ENTRY FORM'!B29="","",'ORDER ENTRY FORM'!B29)</f>
        <v/>
      </c>
      <c r="C42" s="74"/>
      <c r="D42" s="75"/>
      <c r="E42" s="76"/>
      <c r="F42" s="77" t="str">
        <f t="shared" si="0"/>
        <v/>
      </c>
      <c r="G42" s="78" t="str">
        <f>IF('ORDER ENTRY FORM'!C29="","",'ORDER ENTRY FORM'!C29)</f>
        <v/>
      </c>
      <c r="H42" s="253" t="str">
        <f>IF('ORDER ENTRY FORM'!D29="","",'ORDER ENTRY FORM'!D29)</f>
        <v/>
      </c>
      <c r="I42" s="79" t="str">
        <f>IF(A42="","",ROUNDUP(G42/VLOOKUP(A42,bhpc_data[],9,FALSE),0))</f>
        <v/>
      </c>
      <c r="J42" s="257" t="str">
        <f t="shared" si="1"/>
        <v/>
      </c>
      <c r="K42" s="80" t="str">
        <f t="shared" si="2"/>
        <v/>
      </c>
    </row>
    <row r="43" spans="1:11">
      <c r="A43" s="73" t="str">
        <f>IF('ORDER ENTRY FORM'!A30="","",'ORDER ENTRY FORM'!A30)</f>
        <v/>
      </c>
      <c r="B43" s="66" t="str">
        <f>IF('ORDER ENTRY FORM'!B30="","",'ORDER ENTRY FORM'!B30)</f>
        <v/>
      </c>
      <c r="C43" s="74"/>
      <c r="D43" s="75"/>
      <c r="E43" s="76"/>
      <c r="F43" s="77" t="str">
        <f t="shared" si="0"/>
        <v/>
      </c>
      <c r="G43" s="78" t="str">
        <f>IF('ORDER ENTRY FORM'!C30="","",'ORDER ENTRY FORM'!C30)</f>
        <v/>
      </c>
      <c r="H43" s="253" t="str">
        <f>IF('ORDER ENTRY FORM'!D30="","",'ORDER ENTRY FORM'!D30)</f>
        <v/>
      </c>
      <c r="I43" s="79" t="str">
        <f>IF(A43="","",ROUNDUP(G43/VLOOKUP(A43,bhpc_data[],9,FALSE),0))</f>
        <v/>
      </c>
      <c r="J43" s="257" t="str">
        <f t="shared" si="1"/>
        <v/>
      </c>
      <c r="K43" s="80" t="str">
        <f t="shared" si="2"/>
        <v/>
      </c>
    </row>
    <row r="44" spans="1:11">
      <c r="A44" s="73" t="str">
        <f>IF('ORDER ENTRY FORM'!A31="","",'ORDER ENTRY FORM'!A31)</f>
        <v/>
      </c>
      <c r="B44" s="66" t="str">
        <f>IF('ORDER ENTRY FORM'!B31="","",'ORDER ENTRY FORM'!B31)</f>
        <v/>
      </c>
      <c r="C44" s="74"/>
      <c r="D44" s="75"/>
      <c r="E44" s="76"/>
      <c r="F44" s="77" t="str">
        <f t="shared" si="0"/>
        <v/>
      </c>
      <c r="G44" s="78" t="str">
        <f>IF('ORDER ENTRY FORM'!C31="","",'ORDER ENTRY FORM'!C31)</f>
        <v/>
      </c>
      <c r="H44" s="253" t="str">
        <f>IF('ORDER ENTRY FORM'!D31="","",'ORDER ENTRY FORM'!D31)</f>
        <v/>
      </c>
      <c r="I44" s="79" t="str">
        <f>IF(A44="","",ROUNDUP(G44/VLOOKUP(A44,bhpc_data[],9,FALSE),0))</f>
        <v/>
      </c>
      <c r="J44" s="257" t="str">
        <f t="shared" si="1"/>
        <v/>
      </c>
      <c r="K44" s="80" t="str">
        <f t="shared" si="2"/>
        <v/>
      </c>
    </row>
    <row r="45" spans="1:11">
      <c r="A45" s="73" t="str">
        <f>IF('ORDER ENTRY FORM'!A32="","",'ORDER ENTRY FORM'!A32)</f>
        <v/>
      </c>
      <c r="B45" s="66" t="str">
        <f>IF('ORDER ENTRY FORM'!B32="","",'ORDER ENTRY FORM'!B32)</f>
        <v/>
      </c>
      <c r="C45" s="74"/>
      <c r="D45" s="75"/>
      <c r="E45" s="76"/>
      <c r="F45" s="77" t="str">
        <f t="shared" si="0"/>
        <v/>
      </c>
      <c r="G45" s="78" t="str">
        <f>IF('ORDER ENTRY FORM'!C32="","",'ORDER ENTRY FORM'!C32)</f>
        <v/>
      </c>
      <c r="H45" s="253" t="str">
        <f>IF('ORDER ENTRY FORM'!D32="","",'ORDER ENTRY FORM'!D32)</f>
        <v/>
      </c>
      <c r="I45" s="79" t="str">
        <f>IF(A45="","",ROUNDUP(G45/VLOOKUP(A45,bhpc_data[],9,FALSE),0))</f>
        <v/>
      </c>
      <c r="J45" s="257" t="str">
        <f t="shared" si="1"/>
        <v/>
      </c>
      <c r="K45" s="80" t="str">
        <f t="shared" si="2"/>
        <v/>
      </c>
    </row>
    <row r="46" spans="1:11">
      <c r="A46" s="73" t="str">
        <f>IF('ORDER ENTRY FORM'!A33="","",'ORDER ENTRY FORM'!A33)</f>
        <v/>
      </c>
      <c r="B46" s="66" t="str">
        <f>IF('ORDER ENTRY FORM'!B33="","",'ORDER ENTRY FORM'!B33)</f>
        <v/>
      </c>
      <c r="C46" s="74"/>
      <c r="D46" s="75"/>
      <c r="E46" s="76"/>
      <c r="F46" s="77" t="str">
        <f t="shared" si="0"/>
        <v/>
      </c>
      <c r="G46" s="78" t="str">
        <f>IF('ORDER ENTRY FORM'!C33="","",'ORDER ENTRY FORM'!C33)</f>
        <v/>
      </c>
      <c r="H46" s="253" t="str">
        <f>IF('ORDER ENTRY FORM'!D33="","",'ORDER ENTRY FORM'!D33)</f>
        <v/>
      </c>
      <c r="I46" s="79" t="str">
        <f>IF(A46="","",ROUNDUP(G46/VLOOKUP(A46,bhpc_data[],9,FALSE),0))</f>
        <v/>
      </c>
      <c r="J46" s="257" t="str">
        <f t="shared" si="1"/>
        <v/>
      </c>
      <c r="K46" s="80" t="str">
        <f t="shared" si="2"/>
        <v/>
      </c>
    </row>
    <row r="47" spans="1:11">
      <c r="A47" s="73" t="str">
        <f>IF('ORDER ENTRY FORM'!A34="","",'ORDER ENTRY FORM'!A34)</f>
        <v/>
      </c>
      <c r="B47" s="66" t="str">
        <f>IF('ORDER ENTRY FORM'!B34="","",'ORDER ENTRY FORM'!B34)</f>
        <v/>
      </c>
      <c r="C47" s="74"/>
      <c r="D47" s="75"/>
      <c r="E47" s="76"/>
      <c r="F47" s="77" t="str">
        <f t="shared" si="0"/>
        <v/>
      </c>
      <c r="G47" s="78" t="str">
        <f>IF('ORDER ENTRY FORM'!C34="","",'ORDER ENTRY FORM'!C34)</f>
        <v/>
      </c>
      <c r="H47" s="253" t="str">
        <f>IF('ORDER ENTRY FORM'!D34="","",'ORDER ENTRY FORM'!D34)</f>
        <v/>
      </c>
      <c r="I47" s="79" t="str">
        <f>IF(A47="","",ROUNDUP(G47/VLOOKUP(A47,bhpc_data[],9,FALSE),0))</f>
        <v/>
      </c>
      <c r="J47" s="257" t="str">
        <f t="shared" si="1"/>
        <v/>
      </c>
      <c r="K47" s="80" t="str">
        <f t="shared" si="2"/>
        <v/>
      </c>
    </row>
    <row r="48" spans="1:11">
      <c r="A48" s="73" t="str">
        <f>IF('ORDER ENTRY FORM'!A35="","",'ORDER ENTRY FORM'!A35)</f>
        <v/>
      </c>
      <c r="B48" s="66" t="str">
        <f>IF('ORDER ENTRY FORM'!B35="","",'ORDER ENTRY FORM'!B35)</f>
        <v/>
      </c>
      <c r="C48" s="74"/>
      <c r="D48" s="75"/>
      <c r="E48" s="76"/>
      <c r="F48" s="77" t="str">
        <f t="shared" si="0"/>
        <v/>
      </c>
      <c r="G48" s="78" t="str">
        <f>IF('ORDER ENTRY FORM'!C35="","",'ORDER ENTRY FORM'!C35)</f>
        <v/>
      </c>
      <c r="H48" s="253" t="str">
        <f>IF('ORDER ENTRY FORM'!D35="","",'ORDER ENTRY FORM'!D35)</f>
        <v/>
      </c>
      <c r="I48" s="79" t="str">
        <f>IF(A48="","",ROUNDUP(G48/VLOOKUP(A48,bhpc_data[],9,FALSE),0))</f>
        <v/>
      </c>
      <c r="J48" s="257" t="str">
        <f t="shared" si="1"/>
        <v/>
      </c>
      <c r="K48" s="80" t="str">
        <f t="shared" si="2"/>
        <v/>
      </c>
    </row>
    <row r="49" spans="1:11">
      <c r="A49" s="73" t="str">
        <f>IF('ORDER ENTRY FORM'!A36="","",'ORDER ENTRY FORM'!A36)</f>
        <v/>
      </c>
      <c r="B49" s="66" t="str">
        <f>IF('ORDER ENTRY FORM'!B36="","",'ORDER ENTRY FORM'!B36)</f>
        <v/>
      </c>
      <c r="C49" s="74"/>
      <c r="D49" s="75"/>
      <c r="E49" s="76"/>
      <c r="F49" s="77" t="str">
        <f t="shared" si="0"/>
        <v/>
      </c>
      <c r="G49" s="78" t="str">
        <f>IF('ORDER ENTRY FORM'!C36="","",'ORDER ENTRY FORM'!C36)</f>
        <v/>
      </c>
      <c r="H49" s="253" t="str">
        <f>IF('ORDER ENTRY FORM'!D36="","",'ORDER ENTRY FORM'!D36)</f>
        <v/>
      </c>
      <c r="I49" s="79" t="str">
        <f>IF(A49="","",ROUNDUP(G49/VLOOKUP(A49,bhpc_data[],9,FALSE),0))</f>
        <v/>
      </c>
      <c r="J49" s="257" t="str">
        <f t="shared" si="1"/>
        <v/>
      </c>
      <c r="K49" s="80" t="str">
        <f t="shared" si="2"/>
        <v/>
      </c>
    </row>
    <row r="50" spans="1:11">
      <c r="A50" s="73" t="str">
        <f>IF('ORDER ENTRY FORM'!A37="","",'ORDER ENTRY FORM'!A37)</f>
        <v/>
      </c>
      <c r="B50" s="66" t="str">
        <f>IF('ORDER ENTRY FORM'!B37="","",'ORDER ENTRY FORM'!B37)</f>
        <v/>
      </c>
      <c r="C50" s="74"/>
      <c r="D50" s="75"/>
      <c r="E50" s="76"/>
      <c r="F50" s="77" t="str">
        <f t="shared" si="0"/>
        <v/>
      </c>
      <c r="G50" s="78" t="str">
        <f>IF('ORDER ENTRY FORM'!C37="","",'ORDER ENTRY FORM'!C37)</f>
        <v/>
      </c>
      <c r="H50" s="253" t="str">
        <f>IF('ORDER ENTRY FORM'!D37="","",'ORDER ENTRY FORM'!D37)</f>
        <v/>
      </c>
      <c r="I50" s="79" t="str">
        <f>IF(A50="","",ROUNDUP(G50/VLOOKUP(A50,bhpc_data[],9,FALSE),0))</f>
        <v/>
      </c>
      <c r="J50" s="257" t="str">
        <f t="shared" si="1"/>
        <v/>
      </c>
      <c r="K50" s="80" t="str">
        <f t="shared" si="2"/>
        <v/>
      </c>
    </row>
    <row r="51" spans="1:11">
      <c r="A51" s="73" t="str">
        <f>IF('ORDER ENTRY FORM'!A38="","",'ORDER ENTRY FORM'!A38)</f>
        <v/>
      </c>
      <c r="B51" s="66" t="str">
        <f>IF('ORDER ENTRY FORM'!B38="","",'ORDER ENTRY FORM'!B38)</f>
        <v/>
      </c>
      <c r="C51" s="74"/>
      <c r="D51" s="75"/>
      <c r="E51" s="76"/>
      <c r="F51" s="77" t="str">
        <f t="shared" si="0"/>
        <v/>
      </c>
      <c r="G51" s="78" t="str">
        <f>IF('ORDER ENTRY FORM'!C38="","",'ORDER ENTRY FORM'!C38)</f>
        <v/>
      </c>
      <c r="H51" s="253" t="str">
        <f>IF('ORDER ENTRY FORM'!D38="","",'ORDER ENTRY FORM'!D38)</f>
        <v/>
      </c>
      <c r="I51" s="79" t="str">
        <f>IF(A51="","",ROUNDUP(G51/VLOOKUP(A51,bhpc_data[],9,FALSE),0))</f>
        <v/>
      </c>
      <c r="J51" s="257" t="str">
        <f t="shared" si="1"/>
        <v/>
      </c>
      <c r="K51" s="80" t="str">
        <f t="shared" si="2"/>
        <v/>
      </c>
    </row>
    <row r="52" spans="1:11">
      <c r="A52" s="73" t="str">
        <f>IF('ORDER ENTRY FORM'!A39="","",'ORDER ENTRY FORM'!A39)</f>
        <v/>
      </c>
      <c r="B52" s="66" t="str">
        <f>IF('ORDER ENTRY FORM'!B39="","",'ORDER ENTRY FORM'!B39)</f>
        <v/>
      </c>
      <c r="C52" s="74"/>
      <c r="D52" s="75"/>
      <c r="E52" s="76"/>
      <c r="F52" s="77" t="str">
        <f t="shared" si="0"/>
        <v/>
      </c>
      <c r="G52" s="78" t="str">
        <f>IF('ORDER ENTRY FORM'!C39="","",'ORDER ENTRY FORM'!C39)</f>
        <v/>
      </c>
      <c r="H52" s="253" t="str">
        <f>IF('ORDER ENTRY FORM'!D39="","",'ORDER ENTRY FORM'!D39)</f>
        <v/>
      </c>
      <c r="I52" s="79" t="str">
        <f>IF(A52="","",ROUNDUP(G52/VLOOKUP(A52,bhpc_data[],9,FALSE),0))</f>
        <v/>
      </c>
      <c r="J52" s="257" t="str">
        <f t="shared" si="1"/>
        <v/>
      </c>
      <c r="K52" s="80" t="str">
        <f t="shared" si="2"/>
        <v/>
      </c>
    </row>
    <row r="53" spans="1:11">
      <c r="A53" s="73" t="str">
        <f>IF('ORDER ENTRY FORM'!A40="","",'ORDER ENTRY FORM'!A40)</f>
        <v/>
      </c>
      <c r="B53" s="66" t="str">
        <f>IF('ORDER ENTRY FORM'!B40="","",'ORDER ENTRY FORM'!B40)</f>
        <v/>
      </c>
      <c r="C53" s="74"/>
      <c r="D53" s="75"/>
      <c r="E53" s="76"/>
      <c r="F53" s="77" t="str">
        <f t="shared" si="0"/>
        <v/>
      </c>
      <c r="G53" s="78" t="str">
        <f>IF('ORDER ENTRY FORM'!C40="","",'ORDER ENTRY FORM'!C40)</f>
        <v/>
      </c>
      <c r="H53" s="253" t="str">
        <f>IF('ORDER ENTRY FORM'!D40="","",'ORDER ENTRY FORM'!D40)</f>
        <v/>
      </c>
      <c r="I53" s="79" t="str">
        <f>IF(A53="","",ROUNDUP(G53/VLOOKUP(A53,bhpc_data[],9,FALSE),0))</f>
        <v/>
      </c>
      <c r="J53" s="257" t="str">
        <f t="shared" si="1"/>
        <v/>
      </c>
      <c r="K53" s="80" t="str">
        <f t="shared" si="2"/>
        <v/>
      </c>
    </row>
    <row r="54" spans="1:11">
      <c r="A54" s="73" t="str">
        <f>IF('ORDER ENTRY FORM'!A41="","",'ORDER ENTRY FORM'!A41)</f>
        <v/>
      </c>
      <c r="B54" s="66" t="str">
        <f>IF('ORDER ENTRY FORM'!B41="","",'ORDER ENTRY FORM'!B41)</f>
        <v/>
      </c>
      <c r="C54" s="74"/>
      <c r="D54" s="75"/>
      <c r="E54" s="76"/>
      <c r="F54" s="77" t="str">
        <f t="shared" si="0"/>
        <v/>
      </c>
      <c r="G54" s="78" t="str">
        <f>IF('ORDER ENTRY FORM'!C41="","",'ORDER ENTRY FORM'!C41)</f>
        <v/>
      </c>
      <c r="H54" s="253" t="str">
        <f>IF('ORDER ENTRY FORM'!D41="","",'ORDER ENTRY FORM'!D41)</f>
        <v/>
      </c>
      <c r="I54" s="79" t="str">
        <f>IF(A54="","",ROUNDUP(G54/VLOOKUP(A54,bhpc_data[],9,FALSE),0))</f>
        <v/>
      </c>
      <c r="J54" s="257" t="str">
        <f t="shared" si="1"/>
        <v/>
      </c>
      <c r="K54" s="80" t="str">
        <f t="shared" si="2"/>
        <v/>
      </c>
    </row>
    <row r="55" spans="1:11">
      <c r="A55" s="73" t="str">
        <f>IF('ORDER ENTRY FORM'!A42="","",'ORDER ENTRY FORM'!A42)</f>
        <v/>
      </c>
      <c r="B55" s="66" t="str">
        <f>IF('ORDER ENTRY FORM'!B42="","",'ORDER ENTRY FORM'!B42)</f>
        <v/>
      </c>
      <c r="C55" s="74"/>
      <c r="D55" s="75"/>
      <c r="E55" s="76"/>
      <c r="F55" s="77" t="str">
        <f t="shared" si="0"/>
        <v/>
      </c>
      <c r="G55" s="78" t="str">
        <f>IF('ORDER ENTRY FORM'!C42="","",'ORDER ENTRY FORM'!C42)</f>
        <v/>
      </c>
      <c r="H55" s="253" t="str">
        <f>IF('ORDER ENTRY FORM'!D42="","",'ORDER ENTRY FORM'!D42)</f>
        <v/>
      </c>
      <c r="I55" s="79" t="str">
        <f>IF(A55="","",ROUNDUP(G55/VLOOKUP(A55,bhpc_data[],9,FALSE),0))</f>
        <v/>
      </c>
      <c r="J55" s="257" t="str">
        <f t="shared" si="1"/>
        <v/>
      </c>
      <c r="K55" s="80" t="str">
        <f t="shared" si="2"/>
        <v/>
      </c>
    </row>
    <row r="56" spans="1:11">
      <c r="A56" s="73" t="str">
        <f>IF('ORDER ENTRY FORM'!A43="","",'ORDER ENTRY FORM'!A43)</f>
        <v/>
      </c>
      <c r="B56" s="66" t="str">
        <f>IF('ORDER ENTRY FORM'!B43="","",'ORDER ENTRY FORM'!B43)</f>
        <v/>
      </c>
      <c r="C56" s="74"/>
      <c r="D56" s="75"/>
      <c r="E56" s="76"/>
      <c r="F56" s="77" t="str">
        <f t="shared" si="0"/>
        <v/>
      </c>
      <c r="G56" s="78" t="str">
        <f>IF('ORDER ENTRY FORM'!C43="","",'ORDER ENTRY FORM'!C43)</f>
        <v/>
      </c>
      <c r="H56" s="253" t="str">
        <f>IF('ORDER ENTRY FORM'!D43="","",'ORDER ENTRY FORM'!D43)</f>
        <v/>
      </c>
      <c r="I56" s="79" t="str">
        <f>IF(A56="","",ROUNDUP(G56/VLOOKUP(A56,bhpc_data[],9,FALSE),0))</f>
        <v/>
      </c>
      <c r="J56" s="257" t="str">
        <f t="shared" si="1"/>
        <v/>
      </c>
      <c r="K56" s="80" t="str">
        <f t="shared" si="2"/>
        <v/>
      </c>
    </row>
    <row r="57" spans="1:11">
      <c r="A57" s="73" t="str">
        <f>IF('ORDER ENTRY FORM'!A44="","",'ORDER ENTRY FORM'!A44)</f>
        <v/>
      </c>
      <c r="B57" s="66" t="str">
        <f>IF('ORDER ENTRY FORM'!B44="","",'ORDER ENTRY FORM'!B44)</f>
        <v/>
      </c>
      <c r="C57" s="74"/>
      <c r="D57" s="75"/>
      <c r="E57" s="76"/>
      <c r="F57" s="77" t="str">
        <f t="shared" si="0"/>
        <v/>
      </c>
      <c r="G57" s="78" t="str">
        <f>IF('ORDER ENTRY FORM'!C44="","",'ORDER ENTRY FORM'!C44)</f>
        <v/>
      </c>
      <c r="H57" s="253" t="str">
        <f>IF('ORDER ENTRY FORM'!D44="","",'ORDER ENTRY FORM'!D44)</f>
        <v/>
      </c>
      <c r="I57" s="79" t="str">
        <f>IF(A57="","",ROUNDUP(G57/VLOOKUP(A57,bhpc_data[],9,FALSE),0))</f>
        <v/>
      </c>
      <c r="J57" s="257" t="str">
        <f t="shared" si="1"/>
        <v/>
      </c>
      <c r="K57" s="80" t="str">
        <f t="shared" si="2"/>
        <v/>
      </c>
    </row>
    <row r="58" spans="1:11">
      <c r="A58" s="73" t="str">
        <f>IF('ORDER ENTRY FORM'!A45="","",'ORDER ENTRY FORM'!A45)</f>
        <v/>
      </c>
      <c r="B58" s="66" t="str">
        <f>IF('ORDER ENTRY FORM'!B45="","",'ORDER ENTRY FORM'!B45)</f>
        <v/>
      </c>
      <c r="C58" s="74"/>
      <c r="D58" s="75"/>
      <c r="E58" s="76"/>
      <c r="F58" s="77" t="str">
        <f t="shared" si="0"/>
        <v/>
      </c>
      <c r="G58" s="78" t="str">
        <f>IF('ORDER ENTRY FORM'!C45="","",'ORDER ENTRY FORM'!C45)</f>
        <v/>
      </c>
      <c r="H58" s="253" t="str">
        <f>IF('ORDER ENTRY FORM'!D45="","",'ORDER ENTRY FORM'!D45)</f>
        <v/>
      </c>
      <c r="I58" s="79" t="str">
        <f>IF(A58="","",ROUNDUP(G58/VLOOKUP(A58,bhpc_data[],9,FALSE),0))</f>
        <v/>
      </c>
      <c r="J58" s="257" t="str">
        <f t="shared" si="1"/>
        <v/>
      </c>
      <c r="K58" s="80" t="str">
        <f t="shared" si="2"/>
        <v/>
      </c>
    </row>
    <row r="59" spans="1:11">
      <c r="A59" s="73" t="str">
        <f>IF('ORDER ENTRY FORM'!A46="","",'ORDER ENTRY FORM'!A46)</f>
        <v/>
      </c>
      <c r="B59" s="66" t="str">
        <f>IF('ORDER ENTRY FORM'!B46="","",'ORDER ENTRY FORM'!B46)</f>
        <v/>
      </c>
      <c r="C59" s="74"/>
      <c r="D59" s="75"/>
      <c r="E59" s="76"/>
      <c r="F59" s="77" t="str">
        <f t="shared" si="0"/>
        <v/>
      </c>
      <c r="G59" s="78" t="str">
        <f>IF('ORDER ENTRY FORM'!C46="","",'ORDER ENTRY FORM'!C46)</f>
        <v/>
      </c>
      <c r="H59" s="253" t="str">
        <f>IF('ORDER ENTRY FORM'!D46="","",'ORDER ENTRY FORM'!D46)</f>
        <v/>
      </c>
      <c r="I59" s="79" t="str">
        <f>IF(A59="","",ROUNDUP(G59/VLOOKUP(A59,bhpc_data[],9,FALSE),0))</f>
        <v/>
      </c>
      <c r="J59" s="257" t="str">
        <f t="shared" si="1"/>
        <v/>
      </c>
      <c r="K59" s="80" t="str">
        <f t="shared" si="2"/>
        <v/>
      </c>
    </row>
    <row r="60" spans="1:11">
      <c r="A60" s="73" t="str">
        <f>IF('ORDER ENTRY FORM'!A47="","",'ORDER ENTRY FORM'!A47)</f>
        <v/>
      </c>
      <c r="B60" s="66" t="str">
        <f>IF('ORDER ENTRY FORM'!B47="","",'ORDER ENTRY FORM'!B47)</f>
        <v/>
      </c>
      <c r="C60" s="74"/>
      <c r="D60" s="75"/>
      <c r="E60" s="76"/>
      <c r="F60" s="77" t="str">
        <f t="shared" si="0"/>
        <v/>
      </c>
      <c r="G60" s="78" t="str">
        <f>IF('ORDER ENTRY FORM'!C47="","",'ORDER ENTRY FORM'!C47)</f>
        <v/>
      </c>
      <c r="H60" s="253" t="str">
        <f>IF('ORDER ENTRY FORM'!D47="","",'ORDER ENTRY FORM'!D47)</f>
        <v/>
      </c>
      <c r="I60" s="79" t="str">
        <f>IF(A60="","",ROUNDUP(G60/VLOOKUP(A60,bhpc_data[],9,FALSE),0))</f>
        <v/>
      </c>
      <c r="J60" s="257" t="str">
        <f t="shared" si="1"/>
        <v/>
      </c>
      <c r="K60" s="80" t="str">
        <f t="shared" si="2"/>
        <v/>
      </c>
    </row>
    <row r="61" spans="1:11">
      <c r="A61" s="73" t="str">
        <f>IF('ORDER ENTRY FORM'!A48="","",'ORDER ENTRY FORM'!A48)</f>
        <v/>
      </c>
      <c r="B61" s="66" t="str">
        <f>IF('ORDER ENTRY FORM'!B48="","",'ORDER ENTRY FORM'!B48)</f>
        <v/>
      </c>
      <c r="C61" s="74"/>
      <c r="D61" s="75"/>
      <c r="E61" s="76"/>
      <c r="F61" s="77" t="str">
        <f t="shared" si="0"/>
        <v/>
      </c>
      <c r="G61" s="78" t="str">
        <f>IF('ORDER ENTRY FORM'!C48="","",'ORDER ENTRY FORM'!C48)</f>
        <v/>
      </c>
      <c r="H61" s="253" t="str">
        <f>IF('ORDER ENTRY FORM'!D48="","",'ORDER ENTRY FORM'!D48)</f>
        <v/>
      </c>
      <c r="I61" s="79" t="str">
        <f>IF(A61="","",ROUNDUP(G61/VLOOKUP(A61,bhpc_data[],9,FALSE),0))</f>
        <v/>
      </c>
      <c r="J61" s="257" t="str">
        <f t="shared" si="1"/>
        <v/>
      </c>
      <c r="K61" s="80" t="str">
        <f t="shared" si="2"/>
        <v/>
      </c>
    </row>
    <row r="62" spans="1:11">
      <c r="A62" s="73" t="str">
        <f>IF('ORDER ENTRY FORM'!A49="","",'ORDER ENTRY FORM'!A49)</f>
        <v/>
      </c>
      <c r="B62" s="66" t="str">
        <f>IF('ORDER ENTRY FORM'!B49="","",'ORDER ENTRY FORM'!B49)</f>
        <v/>
      </c>
      <c r="C62" s="74"/>
      <c r="D62" s="75"/>
      <c r="E62" s="76"/>
      <c r="F62" s="77" t="str">
        <f t="shared" si="0"/>
        <v/>
      </c>
      <c r="G62" s="78" t="str">
        <f>IF('ORDER ENTRY FORM'!C49="","",'ORDER ENTRY FORM'!C49)</f>
        <v/>
      </c>
      <c r="H62" s="253" t="str">
        <f>IF('ORDER ENTRY FORM'!D49="","",'ORDER ENTRY FORM'!D49)</f>
        <v/>
      </c>
      <c r="I62" s="79" t="str">
        <f>IF(A62="","",ROUNDUP(G62/VLOOKUP(A62,bhpc_data[],9,FALSE),0))</f>
        <v/>
      </c>
      <c r="J62" s="257" t="str">
        <f t="shared" si="1"/>
        <v/>
      </c>
      <c r="K62" s="80" t="str">
        <f t="shared" si="2"/>
        <v/>
      </c>
    </row>
    <row r="63" spans="1:11">
      <c r="A63" s="73" t="str">
        <f>IF('ORDER ENTRY FORM'!A50="","",'ORDER ENTRY FORM'!A50)</f>
        <v/>
      </c>
      <c r="B63" s="66" t="str">
        <f>IF('ORDER ENTRY FORM'!B50="","",'ORDER ENTRY FORM'!B50)</f>
        <v/>
      </c>
      <c r="C63" s="74"/>
      <c r="D63" s="75"/>
      <c r="E63" s="76"/>
      <c r="F63" s="77" t="str">
        <f t="shared" si="0"/>
        <v/>
      </c>
      <c r="G63" s="78" t="str">
        <f>IF('ORDER ENTRY FORM'!C50="","",'ORDER ENTRY FORM'!C50)</f>
        <v/>
      </c>
      <c r="H63" s="253" t="str">
        <f>IF('ORDER ENTRY FORM'!D50="","",'ORDER ENTRY FORM'!D50)</f>
        <v/>
      </c>
      <c r="I63" s="79" t="str">
        <f>IF(A63="","",ROUNDUP(G63/VLOOKUP(A63,bhpc_data[],9,FALSE),0))</f>
        <v/>
      </c>
      <c r="J63" s="257" t="str">
        <f t="shared" si="1"/>
        <v/>
      </c>
      <c r="K63" s="80" t="str">
        <f t="shared" si="2"/>
        <v/>
      </c>
    </row>
    <row r="64" spans="1:11">
      <c r="A64" s="73" t="str">
        <f>IF('ORDER ENTRY FORM'!A51="","",'ORDER ENTRY FORM'!A51)</f>
        <v/>
      </c>
      <c r="B64" s="66" t="str">
        <f>IF('ORDER ENTRY FORM'!B51="","",'ORDER ENTRY FORM'!B51)</f>
        <v/>
      </c>
      <c r="C64" s="74"/>
      <c r="D64" s="75"/>
      <c r="E64" s="76"/>
      <c r="F64" s="77" t="str">
        <f t="shared" si="0"/>
        <v/>
      </c>
      <c r="G64" s="78" t="str">
        <f>IF('ORDER ENTRY FORM'!C51="","",'ORDER ENTRY FORM'!C51)</f>
        <v/>
      </c>
      <c r="H64" s="253" t="str">
        <f>IF('ORDER ENTRY FORM'!D51="","",'ORDER ENTRY FORM'!D51)</f>
        <v/>
      </c>
      <c r="I64" s="79" t="str">
        <f>IF(A64="","",ROUNDUP(G64/VLOOKUP(A64,bhpc_data[],9,FALSE),0))</f>
        <v/>
      </c>
      <c r="J64" s="257" t="str">
        <f t="shared" si="1"/>
        <v/>
      </c>
      <c r="K64" s="80" t="str">
        <f t="shared" si="2"/>
        <v/>
      </c>
    </row>
    <row r="65" spans="1:11">
      <c r="A65" s="73" t="str">
        <f>IF('ORDER ENTRY FORM'!A52="","",'ORDER ENTRY FORM'!A52)</f>
        <v/>
      </c>
      <c r="B65" s="66" t="str">
        <f>IF('ORDER ENTRY FORM'!B52="","",'ORDER ENTRY FORM'!B52)</f>
        <v/>
      </c>
      <c r="C65" s="74"/>
      <c r="D65" s="75"/>
      <c r="E65" s="76"/>
      <c r="F65" s="77" t="str">
        <f t="shared" si="0"/>
        <v/>
      </c>
      <c r="G65" s="78" t="str">
        <f>IF('ORDER ENTRY FORM'!C52="","",'ORDER ENTRY FORM'!C52)</f>
        <v/>
      </c>
      <c r="H65" s="253" t="str">
        <f>IF('ORDER ENTRY FORM'!D52="","",'ORDER ENTRY FORM'!D52)</f>
        <v/>
      </c>
      <c r="I65" s="79" t="str">
        <f>IF(A65="","",ROUNDUP(G65/VLOOKUP(A65,bhpc_data[],9,FALSE),0))</f>
        <v/>
      </c>
      <c r="J65" s="257" t="str">
        <f t="shared" si="1"/>
        <v/>
      </c>
      <c r="K65" s="80" t="str">
        <f t="shared" si="2"/>
        <v/>
      </c>
    </row>
    <row r="66" spans="1:11">
      <c r="A66" s="73" t="str">
        <f>IF('ORDER ENTRY FORM'!A53="","",'ORDER ENTRY FORM'!A53)</f>
        <v/>
      </c>
      <c r="B66" s="66" t="str">
        <f>IF('ORDER ENTRY FORM'!B53="","",'ORDER ENTRY FORM'!B53)</f>
        <v/>
      </c>
      <c r="C66" s="74"/>
      <c r="D66" s="75"/>
      <c r="E66" s="76"/>
      <c r="F66" s="77" t="str">
        <f t="shared" si="0"/>
        <v/>
      </c>
      <c r="G66" s="78" t="str">
        <f>IF('ORDER ENTRY FORM'!C53="","",'ORDER ENTRY FORM'!C53)</f>
        <v/>
      </c>
      <c r="H66" s="253" t="str">
        <f>IF('ORDER ENTRY FORM'!D53="","",'ORDER ENTRY FORM'!D53)</f>
        <v/>
      </c>
      <c r="I66" s="79" t="str">
        <f>IF(A66="","",ROUNDUP(G66/VLOOKUP(A66,bhpc_data[],9,FALSE),0))</f>
        <v/>
      </c>
      <c r="J66" s="257" t="str">
        <f t="shared" si="1"/>
        <v/>
      </c>
      <c r="K66" s="80" t="str">
        <f t="shared" si="2"/>
        <v/>
      </c>
    </row>
    <row r="67" spans="1:11">
      <c r="A67" s="73" t="str">
        <f>IF('ORDER ENTRY FORM'!A54="","",'ORDER ENTRY FORM'!A54)</f>
        <v/>
      </c>
      <c r="B67" s="66" t="str">
        <f>IF('ORDER ENTRY FORM'!B54="","",'ORDER ENTRY FORM'!B54)</f>
        <v/>
      </c>
      <c r="C67" s="74"/>
      <c r="D67" s="75"/>
      <c r="E67" s="76"/>
      <c r="F67" s="77" t="str">
        <f t="shared" si="0"/>
        <v/>
      </c>
      <c r="G67" s="78" t="str">
        <f>IF('ORDER ENTRY FORM'!C54="","",'ORDER ENTRY FORM'!C54)</f>
        <v/>
      </c>
      <c r="H67" s="253" t="str">
        <f>IF('ORDER ENTRY FORM'!D54="","",'ORDER ENTRY FORM'!D54)</f>
        <v/>
      </c>
      <c r="I67" s="79" t="str">
        <f>IF(A67="","",ROUNDUP(G67/VLOOKUP(A67,bhpc_data[],9,FALSE),0))</f>
        <v/>
      </c>
      <c r="J67" s="257" t="str">
        <f t="shared" si="1"/>
        <v/>
      </c>
      <c r="K67" s="80" t="str">
        <f t="shared" si="2"/>
        <v/>
      </c>
    </row>
    <row r="68" spans="1:11">
      <c r="A68" s="73" t="str">
        <f>IF('ORDER ENTRY FORM'!A55="","",'ORDER ENTRY FORM'!A55)</f>
        <v/>
      </c>
      <c r="B68" s="66" t="str">
        <f>IF('ORDER ENTRY FORM'!B55="","",'ORDER ENTRY FORM'!B55)</f>
        <v/>
      </c>
      <c r="C68" s="74"/>
      <c r="D68" s="75"/>
      <c r="E68" s="76"/>
      <c r="F68" s="77" t="str">
        <f t="shared" si="0"/>
        <v/>
      </c>
      <c r="G68" s="78" t="str">
        <f>IF('ORDER ENTRY FORM'!C55="","",'ORDER ENTRY FORM'!C55)</f>
        <v/>
      </c>
      <c r="H68" s="253" t="str">
        <f>IF('ORDER ENTRY FORM'!D55="","",'ORDER ENTRY FORM'!D55)</f>
        <v/>
      </c>
      <c r="I68" s="79" t="str">
        <f>IF(A68="","",ROUNDUP(G68/VLOOKUP(A68,bhpc_data[],9,FALSE),0))</f>
        <v/>
      </c>
      <c r="J68" s="257" t="str">
        <f t="shared" si="1"/>
        <v/>
      </c>
      <c r="K68" s="80" t="str">
        <f t="shared" si="2"/>
        <v/>
      </c>
    </row>
    <row r="69" spans="1:11">
      <c r="A69" s="73" t="str">
        <f>IF('ORDER ENTRY FORM'!A56="","",'ORDER ENTRY FORM'!A56)</f>
        <v/>
      </c>
      <c r="B69" s="66" t="str">
        <f>IF('ORDER ENTRY FORM'!B56="","",'ORDER ENTRY FORM'!B56)</f>
        <v/>
      </c>
      <c r="C69" s="74"/>
      <c r="D69" s="75"/>
      <c r="E69" s="76"/>
      <c r="F69" s="77" t="str">
        <f t="shared" si="0"/>
        <v/>
      </c>
      <c r="G69" s="78" t="str">
        <f>IF('ORDER ENTRY FORM'!C56="","",'ORDER ENTRY FORM'!C56)</f>
        <v/>
      </c>
      <c r="H69" s="253" t="str">
        <f>IF('ORDER ENTRY FORM'!D56="","",'ORDER ENTRY FORM'!D56)</f>
        <v/>
      </c>
      <c r="I69" s="79" t="str">
        <f>IF(A69="","",ROUNDUP(G69/VLOOKUP(A69,bhpc_data[],9,FALSE),0))</f>
        <v/>
      </c>
      <c r="J69" s="257" t="str">
        <f t="shared" si="1"/>
        <v/>
      </c>
      <c r="K69" s="80" t="str">
        <f t="shared" si="2"/>
        <v/>
      </c>
    </row>
    <row r="70" spans="1:11">
      <c r="A70" s="73" t="str">
        <f>IF('ORDER ENTRY FORM'!A57="","",'ORDER ENTRY FORM'!A57)</f>
        <v/>
      </c>
      <c r="B70" s="66" t="str">
        <f>IF('ORDER ENTRY FORM'!B57="","",'ORDER ENTRY FORM'!B57)</f>
        <v/>
      </c>
      <c r="C70" s="74"/>
      <c r="D70" s="75"/>
      <c r="E70" s="76"/>
      <c r="F70" s="77" t="str">
        <f t="shared" si="0"/>
        <v/>
      </c>
      <c r="G70" s="78" t="str">
        <f>IF('ORDER ENTRY FORM'!C57="","",'ORDER ENTRY FORM'!C57)</f>
        <v/>
      </c>
      <c r="H70" s="253" t="str">
        <f>IF('ORDER ENTRY FORM'!D57="","",'ORDER ENTRY FORM'!D57)</f>
        <v/>
      </c>
      <c r="I70" s="79" t="str">
        <f>IF(A70="","",ROUNDUP(G70/VLOOKUP(A70,bhpc_data[],9,FALSE),0))</f>
        <v/>
      </c>
      <c r="J70" s="257" t="str">
        <f t="shared" si="1"/>
        <v/>
      </c>
      <c r="K70" s="80" t="str">
        <f t="shared" si="2"/>
        <v/>
      </c>
    </row>
    <row r="71" spans="1:11">
      <c r="A71" s="73" t="str">
        <f>IF('ORDER ENTRY FORM'!A58="","",'ORDER ENTRY FORM'!A58)</f>
        <v/>
      </c>
      <c r="B71" s="66" t="str">
        <f>IF('ORDER ENTRY FORM'!B58="","",'ORDER ENTRY FORM'!B58)</f>
        <v/>
      </c>
      <c r="C71" s="74"/>
      <c r="D71" s="75"/>
      <c r="E71" s="76"/>
      <c r="F71" s="77" t="str">
        <f t="shared" si="0"/>
        <v/>
      </c>
      <c r="G71" s="78" t="str">
        <f>IF('ORDER ENTRY FORM'!C58="","",'ORDER ENTRY FORM'!C58)</f>
        <v/>
      </c>
      <c r="H71" s="253" t="str">
        <f>IF('ORDER ENTRY FORM'!D58="","",'ORDER ENTRY FORM'!D58)</f>
        <v/>
      </c>
      <c r="I71" s="79" t="str">
        <f>IF(A71="","",ROUNDUP(G71/VLOOKUP(A71,bhpc_data[],9,FALSE),0))</f>
        <v/>
      </c>
      <c r="J71" s="257" t="str">
        <f t="shared" si="1"/>
        <v/>
      </c>
      <c r="K71" s="80" t="str">
        <f t="shared" si="2"/>
        <v/>
      </c>
    </row>
    <row r="72" spans="1:11" ht="13">
      <c r="A72" s="73" t="str">
        <f>IF('ORDER ENTRY FORM'!A59="","",'ORDER ENTRY FORM'!A59)</f>
        <v/>
      </c>
      <c r="B72" s="67" t="str">
        <f>IF('ORDER ENTRY FORM'!B59="","",'ORDER ENTRY FORM'!B59)</f>
        <v/>
      </c>
      <c r="C72" s="74"/>
      <c r="D72" s="75"/>
      <c r="E72" s="76"/>
      <c r="F72" s="77" t="str">
        <f t="shared" si="0"/>
        <v/>
      </c>
      <c r="G72" s="78" t="str">
        <f>IF('ORDER ENTRY FORM'!C59="","",'ORDER ENTRY FORM'!C59)</f>
        <v/>
      </c>
      <c r="H72" s="253" t="str">
        <f>IF('ORDER ENTRY FORM'!D59="","",'ORDER ENTRY FORM'!D59)</f>
        <v/>
      </c>
      <c r="I72" s="79" t="str">
        <f>IF(A72="","",ROUNDUP(G72/VLOOKUP(A72,bhpc_data[],9,FALSE),0))</f>
        <v/>
      </c>
      <c r="J72" s="257" t="str">
        <f t="shared" si="1"/>
        <v/>
      </c>
      <c r="K72" s="80" t="str">
        <f t="shared" si="2"/>
        <v/>
      </c>
    </row>
    <row r="73" spans="1:11">
      <c r="A73" s="73" t="str">
        <f>IF('ORDER ENTRY FORM'!A60="","",'ORDER ENTRY FORM'!A60)</f>
        <v/>
      </c>
      <c r="B73" s="66" t="str">
        <f>IF('ORDER ENTRY FORM'!B60="","",'ORDER ENTRY FORM'!B60)</f>
        <v/>
      </c>
      <c r="C73" s="74"/>
      <c r="D73" s="75"/>
      <c r="E73" s="76"/>
      <c r="F73" s="77" t="str">
        <f t="shared" si="0"/>
        <v/>
      </c>
      <c r="G73" s="78" t="str">
        <f>IF('ORDER ENTRY FORM'!C60="","",'ORDER ENTRY FORM'!C60)</f>
        <v/>
      </c>
      <c r="H73" s="253" t="str">
        <f>IF('ORDER ENTRY FORM'!D60="","",'ORDER ENTRY FORM'!D60)</f>
        <v/>
      </c>
      <c r="I73" s="79" t="str">
        <f>IF(A73="","",ROUNDUP(G73/VLOOKUP(A73,bhpc_data[],9,FALSE),0))</f>
        <v/>
      </c>
      <c r="J73" s="257" t="str">
        <f t="shared" si="1"/>
        <v/>
      </c>
      <c r="K73" s="80" t="str">
        <f t="shared" si="2"/>
        <v/>
      </c>
    </row>
    <row r="74" spans="1:11">
      <c r="A74" s="73"/>
      <c r="B74" s="66"/>
      <c r="C74" s="74"/>
      <c r="D74" s="75"/>
      <c r="E74" s="76"/>
      <c r="F74" s="77"/>
      <c r="G74" s="78"/>
      <c r="H74" s="253"/>
      <c r="I74" s="79"/>
      <c r="J74" s="257"/>
      <c r="K74" s="80"/>
    </row>
    <row r="75" spans="1:11" ht="13">
      <c r="A75" s="73"/>
      <c r="B75" s="67" t="s">
        <v>459</v>
      </c>
      <c r="C75" s="74"/>
      <c r="D75" s="75"/>
      <c r="E75" s="76"/>
      <c r="F75" s="77"/>
      <c r="G75" s="78"/>
      <c r="H75" s="253"/>
      <c r="I75" s="79"/>
      <c r="J75" s="257"/>
      <c r="K75" s="80"/>
    </row>
    <row r="76" spans="1:11">
      <c r="A76" s="73"/>
      <c r="B76" s="66"/>
      <c r="C76" s="74"/>
      <c r="D76" s="75"/>
      <c r="E76" s="76"/>
      <c r="F76" s="77"/>
      <c r="G76" s="78"/>
      <c r="H76" s="253"/>
      <c r="I76" s="79"/>
      <c r="J76" s="257"/>
      <c r="K76" s="80"/>
    </row>
    <row r="77" spans="1:11">
      <c r="A77" s="73"/>
      <c r="B77" s="66"/>
      <c r="C77" s="74"/>
      <c r="D77" s="75"/>
      <c r="E77" s="76"/>
      <c r="F77" s="77"/>
      <c r="G77" s="78"/>
      <c r="H77" s="253"/>
      <c r="I77" s="79"/>
      <c r="J77" s="257"/>
      <c r="K77" s="80"/>
    </row>
    <row r="78" spans="1:11">
      <c r="A78" s="73"/>
      <c r="B78" s="66"/>
      <c r="C78" s="74"/>
      <c r="D78" s="75"/>
      <c r="E78" s="76"/>
      <c r="F78" s="77"/>
      <c r="G78" s="78"/>
      <c r="H78" s="253"/>
      <c r="I78" s="79"/>
      <c r="J78" s="257"/>
      <c r="K78" s="80"/>
    </row>
    <row r="79" spans="1:11">
      <c r="A79" s="73"/>
      <c r="B79" s="66"/>
      <c r="C79" s="74"/>
      <c r="D79" s="75"/>
      <c r="E79" s="76"/>
      <c r="F79" s="77"/>
      <c r="G79" s="78"/>
      <c r="H79" s="253"/>
      <c r="I79" s="79"/>
      <c r="J79" s="257"/>
      <c r="K79" s="80"/>
    </row>
    <row r="80" spans="1:11">
      <c r="A80" s="73"/>
      <c r="B80" s="66"/>
      <c r="C80" s="74"/>
      <c r="D80" s="75"/>
      <c r="E80" s="76"/>
      <c r="F80" s="77"/>
      <c r="G80" s="78"/>
      <c r="H80" s="253"/>
      <c r="I80" s="79"/>
      <c r="J80" s="257"/>
      <c r="K80" s="80"/>
    </row>
    <row r="81" spans="1:11">
      <c r="A81" s="73"/>
      <c r="B81" s="66"/>
      <c r="C81" s="74"/>
      <c r="D81" s="75"/>
      <c r="E81" s="76"/>
      <c r="F81" s="77"/>
      <c r="G81" s="78"/>
      <c r="H81" s="253"/>
      <c r="I81" s="79"/>
      <c r="J81" s="257"/>
      <c r="K81" s="80"/>
    </row>
    <row r="82" spans="1:11">
      <c r="A82" s="73"/>
      <c r="B82" s="66"/>
      <c r="C82" s="74"/>
      <c r="D82" s="75"/>
      <c r="E82" s="76"/>
      <c r="F82" s="77"/>
      <c r="G82" s="78"/>
      <c r="H82" s="253"/>
      <c r="I82" s="79"/>
      <c r="J82" s="257"/>
      <c r="K82" s="80"/>
    </row>
    <row r="83" spans="1:11">
      <c r="A83" s="73"/>
      <c r="B83" s="66"/>
      <c r="C83" s="74"/>
      <c r="D83" s="75"/>
      <c r="E83" s="76"/>
      <c r="F83" s="77"/>
      <c r="G83" s="78"/>
      <c r="H83" s="253"/>
      <c r="I83" s="79"/>
      <c r="J83" s="257"/>
      <c r="K83" s="80"/>
    </row>
    <row r="84" spans="1:11">
      <c r="A84" s="73"/>
      <c r="B84" s="66"/>
      <c r="C84" s="74"/>
      <c r="D84" s="75"/>
      <c r="E84" s="76"/>
      <c r="F84" s="77"/>
      <c r="G84" s="78"/>
      <c r="H84" s="253"/>
      <c r="I84" s="79"/>
      <c r="J84" s="257"/>
      <c r="K84" s="80"/>
    </row>
    <row r="85" spans="1:11">
      <c r="A85" s="73"/>
      <c r="B85" s="66"/>
      <c r="C85" s="74"/>
      <c r="D85" s="75"/>
      <c r="E85" s="76"/>
      <c r="F85" s="77"/>
      <c r="G85" s="78"/>
      <c r="H85" s="253"/>
      <c r="I85" s="79"/>
      <c r="J85" s="257"/>
      <c r="K85" s="80"/>
    </row>
    <row r="86" spans="1:11">
      <c r="A86" s="73"/>
      <c r="B86" s="66"/>
      <c r="C86" s="74"/>
      <c r="D86" s="75"/>
      <c r="E86" s="76"/>
      <c r="F86" s="77"/>
      <c r="G86" s="78"/>
      <c r="H86" s="253"/>
      <c r="I86" s="79"/>
      <c r="J86" s="257"/>
      <c r="K86" s="80"/>
    </row>
    <row r="87" spans="1:11">
      <c r="A87" s="73"/>
      <c r="B87" s="66"/>
      <c r="C87" s="74"/>
      <c r="D87" s="75"/>
      <c r="E87" s="76"/>
      <c r="F87" s="77"/>
      <c r="G87" s="78"/>
      <c r="H87" s="253"/>
      <c r="I87" s="79"/>
      <c r="J87" s="257"/>
      <c r="K87" s="80"/>
    </row>
    <row r="88" spans="1:11">
      <c r="A88" s="73"/>
      <c r="B88" s="66"/>
      <c r="C88" s="74"/>
      <c r="D88" s="75"/>
      <c r="E88" s="76"/>
      <c r="F88" s="77"/>
      <c r="G88" s="78"/>
      <c r="H88" s="253"/>
      <c r="I88" s="79"/>
      <c r="J88" s="257"/>
      <c r="K88" s="80"/>
    </row>
    <row r="89" spans="1:11">
      <c r="A89" s="73"/>
      <c r="B89" s="66"/>
      <c r="C89" s="74"/>
      <c r="D89" s="75"/>
      <c r="E89" s="76"/>
      <c r="F89" s="77"/>
      <c r="G89" s="78"/>
      <c r="H89" s="253"/>
      <c r="I89" s="79"/>
      <c r="J89" s="257"/>
      <c r="K89" s="80"/>
    </row>
    <row r="90" spans="1:11">
      <c r="A90" s="73"/>
      <c r="B90" s="66"/>
      <c r="C90" s="74"/>
      <c r="D90" s="75"/>
      <c r="E90" s="76"/>
      <c r="F90" s="77"/>
      <c r="G90" s="78"/>
      <c r="H90" s="253"/>
      <c r="I90" s="79"/>
      <c r="J90" s="257"/>
      <c r="K90" s="80"/>
    </row>
    <row r="91" spans="1:11">
      <c r="A91" s="73"/>
      <c r="B91" s="66"/>
      <c r="C91" s="74"/>
      <c r="D91" s="75"/>
      <c r="E91" s="76"/>
      <c r="F91" s="77"/>
      <c r="G91" s="78"/>
      <c r="H91" s="253"/>
      <c r="I91" s="79"/>
      <c r="J91" s="257"/>
      <c r="K91" s="80"/>
    </row>
    <row r="92" spans="1:11">
      <c r="A92" s="73"/>
      <c r="B92" s="66"/>
      <c r="C92" s="74"/>
      <c r="D92" s="75"/>
      <c r="E92" s="76"/>
      <c r="F92" s="77"/>
      <c r="G92" s="78"/>
      <c r="H92" s="253"/>
      <c r="I92" s="79"/>
      <c r="J92" s="257"/>
      <c r="K92" s="80"/>
    </row>
    <row r="93" spans="1:11">
      <c r="A93" s="73"/>
      <c r="B93" s="66"/>
      <c r="C93" s="74"/>
      <c r="D93" s="75"/>
      <c r="E93" s="76"/>
      <c r="F93" s="77"/>
      <c r="G93" s="78"/>
      <c r="H93" s="253"/>
      <c r="I93" s="79"/>
      <c r="J93" s="257"/>
      <c r="K93" s="80"/>
    </row>
    <row r="94" spans="1:11">
      <c r="A94" s="73"/>
      <c r="B94" s="66"/>
      <c r="C94" s="74"/>
      <c r="D94" s="75"/>
      <c r="E94" s="76"/>
      <c r="F94" s="77"/>
      <c r="G94" s="78"/>
      <c r="H94" s="253"/>
      <c r="I94" s="79"/>
      <c r="J94" s="257"/>
      <c r="K94" s="80"/>
    </row>
    <row r="95" spans="1:11">
      <c r="A95" s="73"/>
      <c r="B95" s="66"/>
      <c r="C95" s="74"/>
      <c r="D95" s="75"/>
      <c r="E95" s="76"/>
      <c r="F95" s="77"/>
      <c r="G95" s="78"/>
      <c r="H95" s="253"/>
      <c r="I95" s="79"/>
      <c r="J95" s="257"/>
      <c r="K95" s="80"/>
    </row>
    <row r="96" spans="1:11">
      <c r="A96" s="73"/>
      <c r="B96" s="66"/>
      <c r="C96" s="74"/>
      <c r="D96" s="75"/>
      <c r="E96" s="76"/>
      <c r="F96" s="77"/>
      <c r="G96" s="78"/>
      <c r="H96" s="253"/>
      <c r="I96" s="79"/>
      <c r="J96" s="257"/>
      <c r="K96" s="80"/>
    </row>
    <row r="97" spans="1:11">
      <c r="A97" s="73"/>
      <c r="B97" s="66"/>
      <c r="C97" s="74"/>
      <c r="D97" s="75"/>
      <c r="E97" s="76"/>
      <c r="F97" s="77"/>
      <c r="G97" s="78"/>
      <c r="H97" s="253"/>
      <c r="I97" s="79"/>
      <c r="J97" s="257"/>
      <c r="K97" s="80"/>
    </row>
    <row r="98" spans="1:11">
      <c r="A98" s="73"/>
      <c r="B98" s="66"/>
      <c r="C98" s="74"/>
      <c r="D98" s="75"/>
      <c r="E98" s="76"/>
      <c r="F98" s="77"/>
      <c r="G98" s="78"/>
      <c r="H98" s="253"/>
      <c r="I98" s="79"/>
      <c r="J98" s="257"/>
      <c r="K98" s="80"/>
    </row>
    <row r="99" spans="1:11">
      <c r="A99" s="73"/>
      <c r="B99" s="66"/>
      <c r="C99" s="74"/>
      <c r="D99" s="75"/>
      <c r="E99" s="76"/>
      <c r="F99" s="77"/>
      <c r="G99" s="78"/>
      <c r="H99" s="253"/>
      <c r="I99" s="79"/>
      <c r="J99" s="257"/>
      <c r="K99" s="80"/>
    </row>
    <row r="100" spans="1:11">
      <c r="A100" s="73"/>
      <c r="B100" s="66"/>
      <c r="C100" s="74"/>
      <c r="D100" s="75"/>
      <c r="E100" s="76"/>
      <c r="F100" s="77"/>
      <c r="G100" s="78"/>
      <c r="H100" s="253"/>
      <c r="I100" s="79"/>
      <c r="J100" s="257"/>
      <c r="K100" s="80"/>
    </row>
    <row r="101" spans="1:11">
      <c r="A101" s="73"/>
      <c r="B101" s="66"/>
      <c r="C101" s="74"/>
      <c r="D101" s="75"/>
      <c r="E101" s="76"/>
      <c r="F101" s="77"/>
      <c r="G101" s="78"/>
      <c r="H101" s="253"/>
      <c r="I101" s="79"/>
      <c r="J101" s="257"/>
      <c r="K101" s="80"/>
    </row>
    <row r="102" spans="1:11">
      <c r="A102" s="73"/>
      <c r="B102" s="66"/>
      <c r="C102" s="74"/>
      <c r="D102" s="75"/>
      <c r="E102" s="76"/>
      <c r="F102" s="77"/>
      <c r="G102" s="78"/>
      <c r="H102" s="253"/>
      <c r="I102" s="79"/>
      <c r="J102" s="257"/>
      <c r="K102" s="80"/>
    </row>
    <row r="103" spans="1:11">
      <c r="A103" s="73"/>
      <c r="B103" s="66"/>
      <c r="C103" s="74"/>
      <c r="D103" s="75"/>
      <c r="E103" s="76"/>
      <c r="F103" s="77"/>
      <c r="G103" s="78"/>
      <c r="H103" s="253"/>
      <c r="I103" s="79"/>
      <c r="J103" s="257"/>
      <c r="K103" s="80"/>
    </row>
    <row r="104" spans="1:11">
      <c r="A104" s="73"/>
      <c r="B104" s="66"/>
      <c r="C104" s="74"/>
      <c r="D104" s="75"/>
      <c r="E104" s="76"/>
      <c r="F104" s="77"/>
      <c r="G104" s="78"/>
      <c r="H104" s="253"/>
      <c r="I104" s="79"/>
      <c r="J104" s="257"/>
      <c r="K104" s="80"/>
    </row>
    <row r="105" spans="1:11">
      <c r="A105" s="73"/>
      <c r="B105" s="66"/>
      <c r="C105" s="74"/>
      <c r="D105" s="75"/>
      <c r="E105" s="76"/>
      <c r="F105" s="77"/>
      <c r="G105" s="78"/>
      <c r="H105" s="253"/>
      <c r="I105" s="79"/>
      <c r="J105" s="257"/>
      <c r="K105" s="80"/>
    </row>
    <row r="106" spans="1:11">
      <c r="A106" s="73"/>
      <c r="B106" s="66"/>
      <c r="C106" s="74"/>
      <c r="D106" s="75"/>
      <c r="E106" s="76"/>
      <c r="F106" s="77"/>
      <c r="G106" s="78"/>
      <c r="H106" s="253"/>
      <c r="I106" s="79"/>
      <c r="J106" s="257"/>
      <c r="K106" s="80"/>
    </row>
    <row r="107" spans="1:11">
      <c r="A107" s="73"/>
      <c r="B107" s="66"/>
      <c r="C107" s="74"/>
      <c r="D107" s="75"/>
      <c r="E107" s="76"/>
      <c r="F107" s="77"/>
      <c r="G107" s="78"/>
      <c r="H107" s="253"/>
      <c r="I107" s="79"/>
      <c r="J107" s="257"/>
      <c r="K107" s="80"/>
    </row>
    <row r="108" spans="1:11">
      <c r="A108" s="73"/>
      <c r="B108" s="66"/>
      <c r="C108" s="74"/>
      <c r="D108" s="75"/>
      <c r="E108" s="76"/>
      <c r="F108" s="77"/>
      <c r="G108" s="78"/>
      <c r="H108" s="253"/>
      <c r="I108" s="79"/>
      <c r="J108" s="257"/>
      <c r="K108" s="80"/>
    </row>
    <row r="109" spans="1:11">
      <c r="A109" s="73"/>
      <c r="B109" s="66"/>
      <c r="C109" s="74"/>
      <c r="D109" s="75"/>
      <c r="E109" s="76"/>
      <c r="F109" s="77"/>
      <c r="G109" s="78"/>
      <c r="H109" s="253"/>
      <c r="I109" s="79"/>
      <c r="J109" s="257"/>
      <c r="K109" s="80"/>
    </row>
    <row r="110" spans="1:11">
      <c r="A110" s="73"/>
      <c r="B110" s="66"/>
      <c r="C110" s="74"/>
      <c r="D110" s="75"/>
      <c r="E110" s="76"/>
      <c r="F110" s="77"/>
      <c r="G110" s="78"/>
      <c r="H110" s="253"/>
      <c r="I110" s="79"/>
      <c r="J110" s="257"/>
      <c r="K110" s="80"/>
    </row>
    <row r="111" spans="1:11">
      <c r="A111" s="73"/>
      <c r="B111" s="66"/>
      <c r="C111" s="74"/>
      <c r="D111" s="75"/>
      <c r="E111" s="76"/>
      <c r="F111" s="77"/>
      <c r="G111" s="78"/>
      <c r="H111" s="253"/>
      <c r="I111" s="79"/>
      <c r="J111" s="257"/>
      <c r="K111" s="80"/>
    </row>
    <row r="112" spans="1:11">
      <c r="A112" s="73"/>
      <c r="B112" s="66"/>
      <c r="C112" s="74"/>
      <c r="D112" s="75"/>
      <c r="E112" s="76"/>
      <c r="F112" s="77"/>
      <c r="G112" s="78"/>
      <c r="H112" s="253"/>
      <c r="I112" s="79"/>
      <c r="J112" s="257"/>
      <c r="K112" s="80"/>
    </row>
    <row r="113" spans="1:11">
      <c r="A113" s="73"/>
      <c r="B113" s="66"/>
      <c r="C113" s="74"/>
      <c r="D113" s="75"/>
      <c r="E113" s="76"/>
      <c r="F113" s="77"/>
      <c r="G113" s="78"/>
      <c r="H113" s="253"/>
      <c r="I113" s="79"/>
      <c r="J113" s="257"/>
      <c r="K113" s="80"/>
    </row>
    <row r="114" spans="1:11">
      <c r="A114" s="73"/>
      <c r="B114" s="66"/>
      <c r="C114" s="74"/>
      <c r="D114" s="75"/>
      <c r="E114" s="76"/>
      <c r="F114" s="77"/>
      <c r="G114" s="78"/>
      <c r="H114" s="253"/>
      <c r="I114" s="79"/>
      <c r="J114" s="257"/>
      <c r="K114" s="80"/>
    </row>
    <row r="115" spans="1:11">
      <c r="A115" s="73"/>
      <c r="B115" s="66"/>
      <c r="C115" s="74"/>
      <c r="D115" s="75"/>
      <c r="E115" s="76"/>
      <c r="F115" s="77"/>
      <c r="G115" s="78"/>
      <c r="H115" s="253"/>
      <c r="I115" s="79"/>
      <c r="J115" s="257"/>
      <c r="K115" s="80"/>
    </row>
    <row r="116" spans="1:11">
      <c r="A116" s="73"/>
      <c r="B116" s="66"/>
      <c r="C116" s="74"/>
      <c r="D116" s="75"/>
      <c r="E116" s="76"/>
      <c r="F116" s="77"/>
      <c r="G116" s="78"/>
      <c r="H116" s="253"/>
      <c r="I116" s="79"/>
      <c r="J116" s="257"/>
      <c r="K116" s="80"/>
    </row>
    <row r="117" spans="1:11" ht="13">
      <c r="A117" s="73"/>
      <c r="B117" s="67" t="s">
        <v>460</v>
      </c>
      <c r="C117" s="74"/>
      <c r="D117" s="75"/>
      <c r="E117" s="76"/>
      <c r="F117" s="77"/>
      <c r="G117" s="78"/>
      <c r="H117" s="253"/>
      <c r="I117" s="79"/>
      <c r="J117" s="257"/>
      <c r="K117" s="80"/>
    </row>
    <row r="118" spans="1:11">
      <c r="A118" s="73"/>
      <c r="B118" s="66"/>
      <c r="C118" s="74"/>
      <c r="D118" s="75"/>
      <c r="E118" s="76"/>
      <c r="F118" s="77"/>
      <c r="G118" s="78"/>
      <c r="H118" s="253"/>
      <c r="I118" s="79"/>
      <c r="J118" s="257"/>
      <c r="K118" s="80"/>
    </row>
    <row r="119" spans="1:11">
      <c r="A119" s="73"/>
      <c r="B119" s="66"/>
      <c r="C119" s="74"/>
      <c r="D119" s="75"/>
      <c r="E119" s="76"/>
      <c r="F119" s="77"/>
      <c r="G119" s="78"/>
      <c r="H119" s="253"/>
      <c r="I119" s="79"/>
      <c r="J119" s="257"/>
      <c r="K119" s="80"/>
    </row>
    <row r="120" spans="1:11">
      <c r="A120" s="73"/>
      <c r="B120" s="66"/>
      <c r="C120" s="74"/>
      <c r="D120" s="75"/>
      <c r="E120" s="76"/>
      <c r="F120" s="77"/>
      <c r="G120" s="78"/>
      <c r="H120" s="253"/>
      <c r="I120" s="79"/>
      <c r="J120" s="257"/>
      <c r="K120" s="80"/>
    </row>
    <row r="121" spans="1:11">
      <c r="A121" s="73"/>
      <c r="B121" s="66"/>
      <c r="C121" s="74"/>
      <c r="D121" s="75"/>
      <c r="E121" s="76"/>
      <c r="F121" s="77"/>
      <c r="G121" s="78"/>
      <c r="H121" s="253"/>
      <c r="I121" s="79"/>
      <c r="J121" s="257"/>
      <c r="K121" s="80"/>
    </row>
    <row r="122" spans="1:11">
      <c r="A122" s="73"/>
      <c r="B122" s="66"/>
      <c r="C122" s="74"/>
      <c r="D122" s="75"/>
      <c r="E122" s="76"/>
      <c r="F122" s="77"/>
      <c r="G122" s="78"/>
      <c r="H122" s="253"/>
      <c r="I122" s="79"/>
      <c r="J122" s="257"/>
      <c r="K122" s="80"/>
    </row>
    <row r="123" spans="1:11">
      <c r="A123" s="73"/>
      <c r="B123" s="66"/>
      <c r="C123" s="74"/>
      <c r="D123" s="75"/>
      <c r="E123" s="76"/>
      <c r="F123" s="77"/>
      <c r="G123" s="78"/>
      <c r="H123" s="253"/>
      <c r="I123" s="79"/>
      <c r="J123" s="257"/>
      <c r="K123" s="80"/>
    </row>
    <row r="124" spans="1:11">
      <c r="A124" s="73"/>
      <c r="B124" s="66"/>
      <c r="C124" s="74"/>
      <c r="D124" s="75"/>
      <c r="E124" s="76"/>
      <c r="F124" s="77"/>
      <c r="G124" s="78"/>
      <c r="H124" s="253"/>
      <c r="I124" s="79"/>
      <c r="J124" s="257"/>
      <c r="K124" s="80"/>
    </row>
    <row r="125" spans="1:11">
      <c r="A125" s="73"/>
      <c r="B125" s="66"/>
      <c r="C125" s="74"/>
      <c r="D125" s="75"/>
      <c r="E125" s="76"/>
      <c r="F125" s="77"/>
      <c r="G125" s="78"/>
      <c r="H125" s="253"/>
      <c r="I125" s="79"/>
      <c r="J125" s="257"/>
      <c r="K125" s="80"/>
    </row>
    <row r="126" spans="1:11">
      <c r="A126" s="73"/>
      <c r="B126" s="66"/>
      <c r="C126" s="74"/>
      <c r="D126" s="75"/>
      <c r="E126" s="76"/>
      <c r="F126" s="77"/>
      <c r="G126" s="78"/>
      <c r="H126" s="253"/>
      <c r="I126" s="79"/>
      <c r="J126" s="257"/>
      <c r="K126" s="80"/>
    </row>
    <row r="127" spans="1:11">
      <c r="A127" s="73"/>
      <c r="B127" s="66"/>
      <c r="C127" s="74"/>
      <c r="D127" s="75"/>
      <c r="E127" s="76"/>
      <c r="F127" s="77"/>
      <c r="G127" s="78"/>
      <c r="H127" s="253"/>
      <c r="I127" s="79"/>
      <c r="J127" s="257"/>
      <c r="K127" s="80"/>
    </row>
    <row r="128" spans="1:11">
      <c r="A128" s="73"/>
      <c r="B128" s="66"/>
      <c r="C128" s="74"/>
      <c r="D128" s="75"/>
      <c r="E128" s="76"/>
      <c r="F128" s="77"/>
      <c r="G128" s="78"/>
      <c r="H128" s="253"/>
      <c r="I128" s="79"/>
      <c r="J128" s="257"/>
      <c r="K128" s="80"/>
    </row>
    <row r="129" spans="1:11">
      <c r="A129" s="73"/>
      <c r="B129" s="66"/>
      <c r="C129" s="74"/>
      <c r="D129" s="75"/>
      <c r="E129" s="76"/>
      <c r="F129" s="77"/>
      <c r="G129" s="78"/>
      <c r="H129" s="253"/>
      <c r="I129" s="79"/>
      <c r="J129" s="257"/>
      <c r="K129" s="80"/>
    </row>
    <row r="130" spans="1:11">
      <c r="A130" s="73"/>
      <c r="B130" s="66"/>
      <c r="C130" s="74"/>
      <c r="D130" s="75"/>
      <c r="E130" s="76"/>
      <c r="F130" s="77"/>
      <c r="G130" s="78"/>
      <c r="H130" s="253"/>
      <c r="I130" s="79"/>
      <c r="J130" s="257"/>
      <c r="K130" s="80"/>
    </row>
    <row r="131" spans="1:11">
      <c r="A131" s="73"/>
      <c r="B131" s="66"/>
      <c r="C131" s="74"/>
      <c r="D131" s="75"/>
      <c r="E131" s="76"/>
      <c r="F131" s="77"/>
      <c r="G131" s="78"/>
      <c r="H131" s="253"/>
      <c r="I131" s="79"/>
      <c r="J131" s="257"/>
      <c r="K131" s="80"/>
    </row>
    <row r="132" spans="1:11">
      <c r="A132" s="73"/>
      <c r="B132" s="66"/>
      <c r="C132" s="74"/>
      <c r="D132" s="75"/>
      <c r="E132" s="76"/>
      <c r="F132" s="77"/>
      <c r="G132" s="78"/>
      <c r="H132" s="253"/>
      <c r="I132" s="79"/>
      <c r="J132" s="257"/>
      <c r="K132" s="80"/>
    </row>
    <row r="133" spans="1:11">
      <c r="A133" s="73"/>
      <c r="B133" s="66"/>
      <c r="C133" s="74"/>
      <c r="D133" s="75"/>
      <c r="E133" s="76"/>
      <c r="F133" s="77"/>
      <c r="G133" s="78"/>
      <c r="H133" s="253"/>
      <c r="I133" s="79"/>
      <c r="J133" s="257"/>
      <c r="K133" s="80"/>
    </row>
    <row r="134" spans="1:11">
      <c r="A134" s="73"/>
      <c r="B134" s="66"/>
      <c r="C134" s="74"/>
      <c r="D134" s="75"/>
      <c r="E134" s="76"/>
      <c r="F134" s="77"/>
      <c r="G134" s="78"/>
      <c r="H134" s="253"/>
      <c r="I134" s="79"/>
      <c r="J134" s="257"/>
      <c r="K134" s="80"/>
    </row>
    <row r="135" spans="1:11">
      <c r="A135" s="73"/>
      <c r="B135" s="66"/>
      <c r="C135" s="74"/>
      <c r="D135" s="75"/>
      <c r="E135" s="76"/>
      <c r="F135" s="77"/>
      <c r="G135" s="78"/>
      <c r="H135" s="253"/>
      <c r="I135" s="79"/>
      <c r="J135" s="257"/>
      <c r="K135" s="80"/>
    </row>
    <row r="136" spans="1:11">
      <c r="A136" s="73"/>
      <c r="B136" s="66"/>
      <c r="C136" s="74"/>
      <c r="D136" s="75"/>
      <c r="E136" s="76"/>
      <c r="F136" s="77"/>
      <c r="G136" s="78"/>
      <c r="H136" s="253"/>
      <c r="I136" s="79"/>
      <c r="J136" s="257"/>
      <c r="K136" s="80"/>
    </row>
    <row r="137" spans="1:11">
      <c r="A137" s="73"/>
      <c r="B137" s="66"/>
      <c r="C137" s="74"/>
      <c r="D137" s="75"/>
      <c r="E137" s="76"/>
      <c r="F137" s="77"/>
      <c r="G137" s="78"/>
      <c r="H137" s="253"/>
      <c r="I137" s="79"/>
      <c r="J137" s="257"/>
      <c r="K137" s="80"/>
    </row>
    <row r="138" spans="1:11">
      <c r="A138" s="73"/>
      <c r="B138" s="66"/>
      <c r="C138" s="74"/>
      <c r="D138" s="75"/>
      <c r="E138" s="76"/>
      <c r="F138" s="77"/>
      <c r="G138" s="78"/>
      <c r="H138" s="253"/>
      <c r="I138" s="79"/>
      <c r="J138" s="257"/>
      <c r="K138" s="80"/>
    </row>
    <row r="139" spans="1:11">
      <c r="A139" s="73"/>
      <c r="B139" s="66"/>
      <c r="C139" s="74"/>
      <c r="D139" s="75"/>
      <c r="E139" s="76"/>
      <c r="F139" s="77"/>
      <c r="G139" s="78"/>
      <c r="H139" s="253"/>
      <c r="I139" s="79"/>
      <c r="J139" s="257"/>
      <c r="K139" s="80"/>
    </row>
    <row r="140" spans="1:11">
      <c r="A140" s="73"/>
      <c r="B140" s="66"/>
      <c r="C140" s="74"/>
      <c r="D140" s="75"/>
      <c r="E140" s="76"/>
      <c r="F140" s="77"/>
      <c r="G140" s="78"/>
      <c r="H140" s="253"/>
      <c r="I140" s="79"/>
      <c r="J140" s="257"/>
      <c r="K140" s="80"/>
    </row>
    <row r="141" spans="1:11">
      <c r="A141" s="73"/>
      <c r="B141" s="66"/>
      <c r="C141" s="74"/>
      <c r="D141" s="75"/>
      <c r="E141" s="76"/>
      <c r="F141" s="77"/>
      <c r="G141" s="78"/>
      <c r="H141" s="253"/>
      <c r="I141" s="79"/>
      <c r="J141" s="257"/>
      <c r="K141" s="80"/>
    </row>
    <row r="142" spans="1:11">
      <c r="A142" s="73"/>
      <c r="B142" s="81"/>
      <c r="C142" s="74"/>
      <c r="D142" s="75"/>
      <c r="E142" s="76"/>
      <c r="F142" s="77"/>
      <c r="G142" s="78"/>
      <c r="H142" s="253"/>
      <c r="I142" s="79"/>
      <c r="J142" s="257"/>
      <c r="K142" s="80"/>
    </row>
    <row r="143" spans="1:11">
      <c r="A143" s="73"/>
      <c r="B143" s="66"/>
      <c r="C143" s="74"/>
      <c r="D143" s="75"/>
      <c r="E143" s="76"/>
      <c r="F143" s="77"/>
      <c r="G143" s="78"/>
      <c r="H143" s="253"/>
      <c r="I143" s="79"/>
      <c r="J143" s="257"/>
      <c r="K143" s="80"/>
    </row>
    <row r="144" spans="1:11">
      <c r="A144" s="73"/>
      <c r="B144" s="66"/>
      <c r="C144" s="74"/>
      <c r="D144" s="75"/>
      <c r="E144" s="76"/>
      <c r="F144" s="77"/>
      <c r="G144" s="78"/>
      <c r="H144" s="253"/>
      <c r="I144" s="79"/>
      <c r="J144" s="257"/>
      <c r="K144" s="80"/>
    </row>
    <row r="145" spans="1:11">
      <c r="A145" s="73"/>
      <c r="B145" s="66"/>
      <c r="C145" s="74"/>
      <c r="D145" s="75"/>
      <c r="E145" s="76"/>
      <c r="F145" s="77"/>
      <c r="G145" s="78"/>
      <c r="H145" s="253"/>
      <c r="I145" s="79"/>
      <c r="J145" s="257"/>
      <c r="K145" s="80"/>
    </row>
    <row r="146" spans="1:11">
      <c r="A146" s="73"/>
      <c r="B146" s="66"/>
      <c r="C146" s="74"/>
      <c r="D146" s="75"/>
      <c r="E146" s="76"/>
      <c r="F146" s="77"/>
      <c r="G146" s="78"/>
      <c r="H146" s="253"/>
      <c r="I146" s="79"/>
      <c r="J146" s="257"/>
      <c r="K146" s="80"/>
    </row>
    <row r="147" spans="1:11">
      <c r="A147" s="73"/>
      <c r="B147" s="66"/>
      <c r="C147" s="74"/>
      <c r="D147" s="75"/>
      <c r="E147" s="76"/>
      <c r="F147" s="77"/>
      <c r="G147" s="78"/>
      <c r="H147" s="253"/>
      <c r="I147" s="79"/>
      <c r="J147" s="257"/>
      <c r="K147" s="80"/>
    </row>
    <row r="148" spans="1:11">
      <c r="A148" s="73"/>
      <c r="B148" s="66"/>
      <c r="C148" s="74"/>
      <c r="D148" s="75"/>
      <c r="E148" s="76"/>
      <c r="F148" s="77"/>
      <c r="G148" s="78"/>
      <c r="H148" s="253"/>
      <c r="I148" s="79"/>
      <c r="J148" s="257"/>
      <c r="K148" s="80"/>
    </row>
    <row r="149" spans="1:11">
      <c r="A149" s="73"/>
      <c r="B149" s="66"/>
      <c r="C149" s="74"/>
      <c r="D149" s="75"/>
      <c r="E149" s="76"/>
      <c r="F149" s="77"/>
      <c r="G149" s="78"/>
      <c r="H149" s="253"/>
      <c r="I149" s="79"/>
      <c r="J149" s="257"/>
      <c r="K149" s="80"/>
    </row>
    <row r="150" spans="1:11">
      <c r="A150" s="73"/>
      <c r="B150" s="66"/>
      <c r="C150" s="74"/>
      <c r="D150" s="75"/>
      <c r="E150" s="76"/>
      <c r="F150" s="77"/>
      <c r="G150" s="78"/>
      <c r="H150" s="253"/>
      <c r="I150" s="79"/>
      <c r="J150" s="257"/>
      <c r="K150" s="80"/>
    </row>
    <row r="151" spans="1:11">
      <c r="A151" s="73"/>
      <c r="B151" s="66"/>
      <c r="C151" s="74"/>
      <c r="D151" s="75"/>
      <c r="E151" s="76"/>
      <c r="F151" s="77"/>
      <c r="G151" s="78"/>
      <c r="H151" s="253"/>
      <c r="I151" s="79"/>
      <c r="J151" s="257"/>
      <c r="K151" s="80"/>
    </row>
    <row r="152" spans="1:11">
      <c r="A152" s="73"/>
      <c r="B152" s="66"/>
      <c r="C152" s="74"/>
      <c r="D152" s="75"/>
      <c r="E152" s="76"/>
      <c r="F152" s="77"/>
      <c r="G152" s="78"/>
      <c r="H152" s="253"/>
      <c r="I152" s="79"/>
      <c r="J152" s="257"/>
      <c r="K152" s="80"/>
    </row>
    <row r="153" spans="1:11">
      <c r="A153" s="73"/>
      <c r="B153" s="66"/>
      <c r="C153" s="74"/>
      <c r="D153" s="75"/>
      <c r="E153" s="76"/>
      <c r="F153" s="77"/>
      <c r="G153" s="78"/>
      <c r="H153" s="253"/>
      <c r="I153" s="79"/>
      <c r="J153" s="257"/>
      <c r="K153" s="80"/>
    </row>
    <row r="154" spans="1:11">
      <c r="A154" s="73"/>
      <c r="B154" s="66"/>
      <c r="C154" s="74"/>
      <c r="D154" s="75"/>
      <c r="E154" s="76"/>
      <c r="F154" s="77"/>
      <c r="G154" s="78"/>
      <c r="H154" s="253"/>
      <c r="I154" s="79"/>
      <c r="J154" s="257"/>
      <c r="K154" s="80"/>
    </row>
    <row r="155" spans="1:11">
      <c r="A155" s="73"/>
      <c r="B155" s="66"/>
      <c r="C155" s="74"/>
      <c r="D155" s="75"/>
      <c r="E155" s="76"/>
      <c r="F155" s="77"/>
      <c r="G155" s="78"/>
      <c r="H155" s="253"/>
      <c r="I155" s="79"/>
      <c r="J155" s="257"/>
      <c r="K155" s="80"/>
    </row>
    <row r="156" spans="1:11">
      <c r="A156" s="73"/>
      <c r="B156" s="66"/>
      <c r="C156" s="74"/>
      <c r="D156" s="75"/>
      <c r="E156" s="76"/>
      <c r="F156" s="82"/>
      <c r="G156" s="78"/>
      <c r="H156" s="254"/>
      <c r="I156" s="78"/>
      <c r="J156" s="257"/>
      <c r="K156" s="80"/>
    </row>
    <row r="157" spans="1:11" ht="13">
      <c r="A157" s="66"/>
      <c r="B157" s="67"/>
      <c r="C157" s="74"/>
      <c r="D157" s="75"/>
      <c r="E157" s="76"/>
      <c r="F157" s="82"/>
      <c r="G157" s="78"/>
      <c r="H157" s="254"/>
      <c r="I157" s="78"/>
      <c r="J157" s="257"/>
      <c r="K157" s="80"/>
    </row>
    <row r="158" spans="1:11">
      <c r="A158" s="83"/>
      <c r="B158" s="81"/>
      <c r="C158" s="74"/>
      <c r="D158" s="75"/>
      <c r="E158" s="76"/>
      <c r="F158" s="77"/>
      <c r="G158" s="78"/>
      <c r="H158" s="253"/>
      <c r="I158" s="84"/>
      <c r="J158" s="257"/>
      <c r="K158" s="80"/>
    </row>
    <row r="159" spans="1:11">
      <c r="A159" s="83"/>
      <c r="B159" s="81"/>
      <c r="C159" s="74"/>
      <c r="D159" s="75"/>
      <c r="E159" s="76"/>
      <c r="F159" s="77"/>
      <c r="G159" s="78"/>
      <c r="H159" s="253"/>
      <c r="I159" s="84"/>
      <c r="J159" s="257"/>
      <c r="K159" s="80"/>
    </row>
    <row r="160" spans="1:11">
      <c r="A160" s="83"/>
      <c r="B160" s="81"/>
      <c r="C160" s="74"/>
      <c r="D160" s="75"/>
      <c r="E160" s="76"/>
      <c r="F160" s="77"/>
      <c r="G160" s="78"/>
      <c r="H160" s="253"/>
      <c r="I160" s="84"/>
      <c r="J160" s="257"/>
      <c r="K160" s="80"/>
    </row>
    <row r="161" spans="1:14">
      <c r="A161" s="83"/>
      <c r="B161" s="81"/>
      <c r="C161" s="74"/>
      <c r="D161" s="75"/>
      <c r="E161" s="76"/>
      <c r="F161" s="77"/>
      <c r="G161" s="78"/>
      <c r="H161" s="253"/>
      <c r="I161" s="84"/>
      <c r="J161" s="257"/>
      <c r="K161" s="80"/>
    </row>
    <row r="162" spans="1:14" ht="13">
      <c r="A162" s="72"/>
      <c r="B162" s="85"/>
      <c r="C162" s="64"/>
      <c r="D162" s="86"/>
      <c r="E162" s="65"/>
      <c r="F162" s="87"/>
      <c r="G162" s="87"/>
      <c r="H162" s="255"/>
      <c r="I162" s="88"/>
      <c r="J162" s="258"/>
      <c r="K162" s="89"/>
    </row>
    <row r="163" spans="1:14">
      <c r="A163" s="426"/>
      <c r="B163" s="428"/>
      <c r="C163" s="426"/>
      <c r="D163" s="428"/>
      <c r="E163" s="426" t="s">
        <v>353</v>
      </c>
      <c r="F163" s="427"/>
      <c r="G163" s="428"/>
      <c r="H163" s="426" t="s">
        <v>354</v>
      </c>
      <c r="I163" s="427"/>
      <c r="J163" s="427"/>
      <c r="K163" s="428"/>
    </row>
    <row r="164" spans="1:14" s="218" customFormat="1" ht="14">
      <c r="A164" s="392"/>
      <c r="B164" s="429"/>
      <c r="C164" s="392"/>
      <c r="D164" s="429"/>
      <c r="E164" s="430"/>
      <c r="F164" s="431"/>
      <c r="G164" s="432"/>
      <c r="H164" s="433"/>
      <c r="I164" s="434"/>
      <c r="J164" s="421">
        <f>SUM(J15:J162)</f>
        <v>5900</v>
      </c>
      <c r="K164" s="422"/>
    </row>
    <row r="165" spans="1:14">
      <c r="A165" s="426" t="s">
        <v>355</v>
      </c>
      <c r="B165" s="428"/>
      <c r="C165" s="92" t="s">
        <v>356</v>
      </c>
      <c r="D165" s="423" t="s">
        <v>357</v>
      </c>
      <c r="E165" s="425"/>
      <c r="F165" s="423" t="s">
        <v>358</v>
      </c>
      <c r="G165" s="425"/>
      <c r="H165" s="426" t="s">
        <v>359</v>
      </c>
      <c r="I165" s="427"/>
      <c r="J165" s="427"/>
      <c r="K165" s="428"/>
    </row>
    <row r="166" spans="1:14" ht="14">
      <c r="A166" s="407" t="s">
        <v>275</v>
      </c>
      <c r="B166" s="408"/>
      <c r="C166" s="411" t="s">
        <v>276</v>
      </c>
      <c r="D166" s="413">
        <f>J164</f>
        <v>5900</v>
      </c>
      <c r="E166" s="414"/>
      <c r="F166" s="417">
        <v>0</v>
      </c>
      <c r="G166" s="418"/>
      <c r="H166" s="392"/>
      <c r="I166" s="393"/>
      <c r="J166" s="421">
        <f>J164</f>
        <v>5900</v>
      </c>
      <c r="K166" s="422"/>
    </row>
    <row r="167" spans="1:14">
      <c r="A167" s="407"/>
      <c r="B167" s="408"/>
      <c r="C167" s="411"/>
      <c r="D167" s="413"/>
      <c r="E167" s="414"/>
      <c r="F167" s="417"/>
      <c r="G167" s="418"/>
      <c r="H167" s="423" t="s">
        <v>360</v>
      </c>
      <c r="I167" s="424"/>
      <c r="J167" s="424"/>
      <c r="K167" s="425"/>
    </row>
    <row r="168" spans="1:14" ht="14">
      <c r="A168" s="407"/>
      <c r="B168" s="408"/>
      <c r="C168" s="411"/>
      <c r="D168" s="413"/>
      <c r="E168" s="414"/>
      <c r="F168" s="417"/>
      <c r="G168" s="418"/>
      <c r="H168" s="392"/>
      <c r="I168" s="393"/>
      <c r="J168" s="421">
        <f>J166*F166</f>
        <v>0</v>
      </c>
      <c r="K168" s="422"/>
    </row>
    <row r="169" spans="1:14">
      <c r="A169" s="407"/>
      <c r="B169" s="408"/>
      <c r="C169" s="411"/>
      <c r="D169" s="413"/>
      <c r="E169" s="414"/>
      <c r="F169" s="417"/>
      <c r="G169" s="418"/>
      <c r="H169" s="426" t="s">
        <v>361</v>
      </c>
      <c r="I169" s="427"/>
      <c r="J169" s="427"/>
      <c r="K169" s="428"/>
    </row>
    <row r="170" spans="1:14" ht="14">
      <c r="A170" s="409"/>
      <c r="B170" s="410"/>
      <c r="C170" s="412"/>
      <c r="D170" s="415"/>
      <c r="E170" s="416"/>
      <c r="F170" s="419"/>
      <c r="G170" s="420"/>
      <c r="H170" s="392"/>
      <c r="I170" s="393"/>
      <c r="J170" s="394">
        <f>J164+J168</f>
        <v>5900</v>
      </c>
      <c r="K170" s="395"/>
    </row>
    <row r="171" spans="1:14">
      <c r="A171" s="396" t="s">
        <v>277</v>
      </c>
      <c r="B171" s="397"/>
      <c r="C171" s="397"/>
      <c r="D171" s="397"/>
      <c r="E171" s="397"/>
      <c r="F171" s="397"/>
      <c r="G171" s="397"/>
      <c r="H171" s="397"/>
      <c r="I171" s="397"/>
      <c r="J171" s="397"/>
      <c r="K171" s="398"/>
    </row>
    <row r="172" spans="1:14" s="91" customFormat="1" ht="10.5" customHeight="1">
      <c r="A172" s="399" t="s">
        <v>278</v>
      </c>
      <c r="B172" s="400"/>
      <c r="C172" s="400"/>
      <c r="D172" s="400"/>
      <c r="E172" s="400"/>
      <c r="F172" s="400"/>
      <c r="G172" s="400"/>
      <c r="H172" s="400"/>
      <c r="I172" s="400"/>
      <c r="J172" s="400"/>
      <c r="K172" s="401"/>
      <c r="M172" s="40"/>
      <c r="N172" s="40"/>
    </row>
    <row r="173" spans="1:14" s="93" customFormat="1" ht="7.5" customHeight="1">
      <c r="A173" s="396" t="s">
        <v>279</v>
      </c>
      <c r="B173" s="403" t="s">
        <v>280</v>
      </c>
      <c r="C173" s="403"/>
      <c r="D173" s="403"/>
      <c r="E173" s="403"/>
      <c r="F173" s="403"/>
      <c r="G173" s="403"/>
      <c r="H173" s="403"/>
      <c r="I173" s="403"/>
      <c r="J173" s="403"/>
      <c r="K173" s="404"/>
      <c r="M173" s="40"/>
      <c r="N173" s="40"/>
    </row>
    <row r="174" spans="1:14">
      <c r="A174" s="402"/>
      <c r="B174" s="405"/>
      <c r="C174" s="405"/>
      <c r="D174" s="405"/>
      <c r="E174" s="405"/>
      <c r="F174" s="405"/>
      <c r="G174" s="405"/>
      <c r="H174" s="405"/>
      <c r="I174" s="405"/>
      <c r="J174" s="405"/>
      <c r="K174" s="406"/>
    </row>
    <row r="175" spans="1:14" s="93" customFormat="1" ht="10">
      <c r="A175" s="389" t="s">
        <v>281</v>
      </c>
      <c r="B175" s="389"/>
      <c r="C175" s="389"/>
      <c r="D175" s="389"/>
      <c r="E175" s="389"/>
      <c r="F175" s="389"/>
      <c r="G175" s="389"/>
      <c r="H175" s="389"/>
      <c r="I175" s="389"/>
      <c r="J175" s="389"/>
      <c r="K175" s="389"/>
    </row>
    <row r="176" spans="1:14">
      <c r="A176" s="390" t="s">
        <v>282</v>
      </c>
      <c r="B176" s="390"/>
      <c r="C176" s="390"/>
      <c r="D176" s="390"/>
      <c r="E176" s="390"/>
      <c r="F176" s="390"/>
      <c r="G176" s="390"/>
      <c r="H176" s="390"/>
      <c r="I176" s="390"/>
      <c r="J176" s="390"/>
      <c r="K176" s="390"/>
    </row>
    <row r="177" spans="1:11">
      <c r="A177" s="390" t="s">
        <v>283</v>
      </c>
      <c r="B177" s="391"/>
      <c r="C177" s="391"/>
      <c r="D177" s="391"/>
      <c r="E177" s="391"/>
      <c r="F177" s="391"/>
      <c r="G177" s="391"/>
      <c r="H177" s="391"/>
      <c r="I177" s="391"/>
      <c r="J177" s="391"/>
      <c r="K177" s="391"/>
    </row>
    <row r="179" spans="1:11" s="51" customFormat="1">
      <c r="A179" s="40"/>
      <c r="B179" s="40"/>
      <c r="C179" s="40"/>
      <c r="D179" s="94"/>
      <c r="E179" s="40"/>
      <c r="F179" s="95"/>
      <c r="G179" s="40"/>
      <c r="H179" s="40"/>
      <c r="I179" s="53"/>
      <c r="J179" s="96"/>
      <c r="K179" s="97"/>
    </row>
    <row r="180" spans="1:11" s="51" customFormat="1">
      <c r="A180" s="40"/>
      <c r="B180" s="40"/>
      <c r="C180" s="40"/>
      <c r="D180" s="94"/>
      <c r="E180" s="40"/>
      <c r="F180" s="95"/>
      <c r="G180" s="40"/>
      <c r="I180" s="53"/>
      <c r="J180" s="96"/>
      <c r="K180" s="40"/>
    </row>
    <row r="181" spans="1:11" s="51" customFormat="1">
      <c r="A181" s="40"/>
      <c r="B181" s="40"/>
      <c r="C181" s="40"/>
      <c r="D181" s="94"/>
      <c r="E181" s="40"/>
      <c r="F181" s="95"/>
      <c r="G181" s="40"/>
      <c r="I181" s="53"/>
      <c r="J181" s="96"/>
      <c r="K181" s="40"/>
    </row>
    <row r="182" spans="1:11" s="51" customFormat="1">
      <c r="A182" s="40"/>
      <c r="B182" s="40"/>
      <c r="C182" s="40"/>
      <c r="D182" s="94"/>
      <c r="E182" s="40"/>
      <c r="F182" s="95"/>
      <c r="G182" s="40"/>
      <c r="I182" s="53"/>
      <c r="J182" s="96"/>
      <c r="K182" s="40"/>
    </row>
    <row r="183" spans="1:11" s="51" customFormat="1">
      <c r="A183" s="40"/>
      <c r="B183" s="40"/>
      <c r="C183" s="40"/>
      <c r="D183" s="94"/>
      <c r="E183" s="40"/>
      <c r="F183" s="95"/>
      <c r="G183" s="40"/>
      <c r="I183" s="53"/>
      <c r="J183" s="96"/>
      <c r="K183" s="40"/>
    </row>
    <row r="184" spans="1:11" s="51" customFormat="1">
      <c r="A184" s="40"/>
      <c r="B184" s="40"/>
      <c r="C184" s="40"/>
      <c r="D184" s="94"/>
      <c r="E184" s="40"/>
      <c r="F184" s="95"/>
      <c r="G184" s="40"/>
      <c r="I184" s="53"/>
      <c r="J184" s="96"/>
      <c r="K184" s="40"/>
    </row>
    <row r="185" spans="1:11" s="51" customFormat="1">
      <c r="A185" s="40"/>
      <c r="B185" s="40"/>
      <c r="C185" s="40"/>
      <c r="D185" s="94"/>
      <c r="E185" s="40"/>
      <c r="F185" s="95"/>
      <c r="G185" s="40"/>
      <c r="I185" s="53"/>
      <c r="J185" s="96"/>
      <c r="K185" s="40"/>
    </row>
    <row r="186" spans="1:11" s="51" customFormat="1">
      <c r="A186" s="40"/>
      <c r="B186" s="40"/>
      <c r="C186" s="40"/>
      <c r="D186" s="94"/>
      <c r="E186" s="40"/>
      <c r="F186" s="95"/>
      <c r="G186" s="40"/>
      <c r="I186" s="53"/>
      <c r="J186" s="96"/>
      <c r="K186" s="40"/>
    </row>
    <row r="187" spans="1:11" s="51" customFormat="1">
      <c r="A187" s="40"/>
      <c r="B187" s="40"/>
      <c r="C187" s="40"/>
      <c r="D187" s="94"/>
      <c r="E187" s="40"/>
      <c r="F187" s="95"/>
      <c r="G187" s="40"/>
      <c r="I187" s="53"/>
      <c r="J187" s="96"/>
      <c r="K187" s="40"/>
    </row>
    <row r="188" spans="1:11" s="51" customFormat="1">
      <c r="A188" s="40"/>
      <c r="B188" s="40"/>
      <c r="C188" s="40"/>
      <c r="D188" s="94"/>
      <c r="E188" s="40"/>
      <c r="F188" s="95"/>
      <c r="G188" s="40"/>
      <c r="I188" s="53"/>
      <c r="J188" s="96"/>
      <c r="K188" s="40"/>
    </row>
    <row r="189" spans="1:11" s="51" customFormat="1">
      <c r="A189" s="40"/>
      <c r="B189" s="40"/>
      <c r="C189" s="40"/>
      <c r="D189" s="94"/>
      <c r="E189" s="40"/>
      <c r="F189" s="95"/>
      <c r="G189" s="40"/>
      <c r="I189" s="53"/>
      <c r="J189" s="96"/>
      <c r="K189" s="40"/>
    </row>
    <row r="190" spans="1:11">
      <c r="K190" s="40"/>
    </row>
  </sheetData>
  <mergeCells count="53">
    <mergeCell ref="A10:K10"/>
    <mergeCell ref="A1:B1"/>
    <mergeCell ref="H1:J1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  <mergeCell ref="J12:J14"/>
    <mergeCell ref="K12:K14"/>
    <mergeCell ref="A163:B163"/>
    <mergeCell ref="C163:D163"/>
    <mergeCell ref="E163:G163"/>
    <mergeCell ref="H163:K163"/>
    <mergeCell ref="A12:A14"/>
    <mergeCell ref="B12:E14"/>
    <mergeCell ref="F12:F14"/>
    <mergeCell ref="G12:G14"/>
    <mergeCell ref="H12:H14"/>
    <mergeCell ref="I12:I14"/>
    <mergeCell ref="H168:I168"/>
    <mergeCell ref="J168:K168"/>
    <mergeCell ref="H169:K169"/>
    <mergeCell ref="A164:B164"/>
    <mergeCell ref="C164:D164"/>
    <mergeCell ref="E164:G164"/>
    <mergeCell ref="H164:I164"/>
    <mergeCell ref="J164:K164"/>
    <mergeCell ref="A165:B165"/>
    <mergeCell ref="D165:E165"/>
    <mergeCell ref="F165:G165"/>
    <mergeCell ref="H165:K165"/>
    <mergeCell ref="A175:K175"/>
    <mergeCell ref="A176:K176"/>
    <mergeCell ref="A177:K177"/>
    <mergeCell ref="H170:I170"/>
    <mergeCell ref="J170:K170"/>
    <mergeCell ref="A171:K171"/>
    <mergeCell ref="A172:K172"/>
    <mergeCell ref="A173:A174"/>
    <mergeCell ref="B173:K174"/>
    <mergeCell ref="A166:B170"/>
    <mergeCell ref="C166:C170"/>
    <mergeCell ref="D166:E170"/>
    <mergeCell ref="F166:G170"/>
    <mergeCell ref="H166:I166"/>
    <mergeCell ref="J166:K166"/>
    <mergeCell ref="H167:K167"/>
  </mergeCells>
  <conditionalFormatting sqref="A15:K162">
    <cfRule type="expression" dxfId="43" priority="1">
      <formula>MOD(ROW(),2)=0</formula>
    </cfRule>
  </conditionalFormatting>
  <dataValidations disablePrompts="1"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8"/>
  <dimension ref="A1:N192"/>
  <sheetViews>
    <sheetView zoomScaleSheetLayoutView="100" workbookViewId="0">
      <selection activeCell="K6" sqref="K6"/>
    </sheetView>
  </sheetViews>
  <sheetFormatPr defaultColWidth="10.7265625" defaultRowHeight="12.5"/>
  <cols>
    <col min="1" max="1" width="9.1796875" style="40" customWidth="1"/>
    <col min="2" max="2" width="15.453125" style="40" customWidth="1"/>
    <col min="3" max="3" width="12.7265625" style="40" customWidth="1"/>
    <col min="4" max="4" width="9.54296875" style="94" customWidth="1"/>
    <col min="5" max="5" width="18.7265625" style="40" customWidth="1"/>
    <col min="6" max="6" width="3.453125" style="95" customWidth="1"/>
    <col min="7" max="8" width="9.54296875" style="40" customWidth="1"/>
    <col min="9" max="9" width="9.54296875" style="53" customWidth="1"/>
    <col min="10" max="10" width="9.54296875" style="96" customWidth="1"/>
    <col min="11" max="11" width="9.54296875" style="97" customWidth="1"/>
    <col min="12" max="16384" width="10.7265625" style="40"/>
  </cols>
  <sheetData>
    <row r="1" spans="1:14">
      <c r="A1" s="455" t="s">
        <v>265</v>
      </c>
      <c r="B1" s="456"/>
      <c r="C1" s="35"/>
      <c r="D1" s="36"/>
      <c r="E1" s="35"/>
      <c r="F1" s="37"/>
      <c r="G1" s="38"/>
      <c r="H1" s="455" t="s">
        <v>266</v>
      </c>
      <c r="I1" s="456"/>
      <c r="J1" s="456"/>
      <c r="K1" s="39"/>
    </row>
    <row r="2" spans="1:14" ht="13">
      <c r="A2" s="41"/>
      <c r="B2" s="42"/>
      <c r="C2" s="42"/>
      <c r="D2" s="43"/>
      <c r="E2" s="42"/>
      <c r="F2" s="44"/>
      <c r="G2" s="45"/>
      <c r="H2" s="46"/>
      <c r="I2" s="47"/>
      <c r="J2" s="48"/>
      <c r="K2" s="49"/>
    </row>
    <row r="3" spans="1:14" ht="13">
      <c r="A3" s="41"/>
      <c r="B3" s="42"/>
      <c r="C3" s="42"/>
      <c r="D3" s="43"/>
      <c r="E3" s="42"/>
      <c r="F3" s="44"/>
      <c r="G3" s="45"/>
      <c r="H3" s="50"/>
      <c r="I3" s="51"/>
      <c r="J3" s="48"/>
      <c r="K3" s="49"/>
    </row>
    <row r="4" spans="1:14" ht="13">
      <c r="A4" s="41"/>
      <c r="B4" s="42"/>
      <c r="C4" s="42"/>
      <c r="D4" s="43"/>
      <c r="E4" s="42"/>
      <c r="F4" s="44"/>
      <c r="G4" s="45"/>
      <c r="H4" s="50"/>
      <c r="I4" s="51"/>
      <c r="J4" s="48"/>
      <c r="K4" s="49"/>
    </row>
    <row r="5" spans="1:14" ht="13">
      <c r="A5" s="41"/>
      <c r="B5" s="42"/>
      <c r="C5" s="42"/>
      <c r="D5" s="43"/>
      <c r="E5" s="42"/>
      <c r="F5" s="44"/>
      <c r="G5" s="45"/>
      <c r="H5" s="52"/>
      <c r="I5" s="51"/>
      <c r="J5" s="48"/>
      <c r="K5" s="49"/>
    </row>
    <row r="6" spans="1:14" ht="13">
      <c r="A6" s="41"/>
      <c r="B6" s="42"/>
      <c r="C6" s="42"/>
      <c r="D6" s="43"/>
      <c r="E6" s="42"/>
      <c r="F6" s="44"/>
      <c r="G6" s="45"/>
      <c r="H6" s="50"/>
      <c r="J6" s="48"/>
      <c r="K6" s="45"/>
    </row>
    <row r="7" spans="1:14">
      <c r="A7" s="54"/>
      <c r="B7" s="55"/>
      <c r="C7" s="55"/>
      <c r="D7" s="56"/>
      <c r="E7" s="55"/>
      <c r="F7" s="90"/>
      <c r="G7" s="58"/>
      <c r="H7" s="59"/>
      <c r="I7" s="60"/>
      <c r="J7" s="61"/>
      <c r="K7" s="58"/>
    </row>
    <row r="8" spans="1:14">
      <c r="A8" s="455" t="s">
        <v>350</v>
      </c>
      <c r="B8" s="457"/>
      <c r="C8" s="455" t="s">
        <v>349</v>
      </c>
      <c r="D8" s="457"/>
      <c r="E8" s="103" t="s">
        <v>284</v>
      </c>
      <c r="F8" s="62"/>
      <c r="G8" s="455" t="s">
        <v>285</v>
      </c>
      <c r="H8" s="456"/>
      <c r="I8" s="456"/>
      <c r="J8" s="468"/>
      <c r="K8" s="459"/>
      <c r="N8" s="40" t="s">
        <v>365</v>
      </c>
    </row>
    <row r="9" spans="1:14">
      <c r="A9" s="460" t="s">
        <v>286</v>
      </c>
      <c r="B9" s="461"/>
      <c r="C9" s="462"/>
      <c r="D9" s="463"/>
      <c r="E9" s="464"/>
      <c r="F9" s="464"/>
      <c r="G9" s="465"/>
      <c r="H9" s="466"/>
      <c r="I9" s="466"/>
      <c r="J9" s="466"/>
      <c r="K9" s="467"/>
      <c r="N9" s="40" t="s">
        <v>366</v>
      </c>
    </row>
    <row r="10" spans="1:14">
      <c r="A10" s="176"/>
      <c r="B10" s="177"/>
      <c r="C10" s="177"/>
      <c r="D10" s="177"/>
      <c r="E10" s="177"/>
      <c r="F10" s="177"/>
      <c r="G10" s="177"/>
      <c r="H10" s="177"/>
      <c r="I10" s="177"/>
      <c r="J10" s="177"/>
      <c r="K10" s="178"/>
    </row>
    <row r="11" spans="1:14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5"/>
    </row>
    <row r="12" spans="1:14" ht="9" customHeight="1">
      <c r="A12" s="441" t="s">
        <v>318</v>
      </c>
      <c r="B12" s="441" t="s">
        <v>319</v>
      </c>
      <c r="C12" s="444"/>
      <c r="D12" s="444"/>
      <c r="E12" s="445"/>
      <c r="F12" s="450" t="s">
        <v>273</v>
      </c>
      <c r="G12" s="438" t="s">
        <v>320</v>
      </c>
      <c r="H12" s="438" t="s">
        <v>362</v>
      </c>
      <c r="I12" s="441" t="s">
        <v>363</v>
      </c>
      <c r="J12" s="435" t="s">
        <v>322</v>
      </c>
      <c r="K12" s="438" t="s">
        <v>364</v>
      </c>
    </row>
    <row r="13" spans="1:14" ht="9" customHeight="1">
      <c r="A13" s="442"/>
      <c r="B13" s="442"/>
      <c r="C13" s="446"/>
      <c r="D13" s="446"/>
      <c r="E13" s="447"/>
      <c r="F13" s="439"/>
      <c r="G13" s="451"/>
      <c r="H13" s="451"/>
      <c r="I13" s="453"/>
      <c r="J13" s="436"/>
      <c r="K13" s="439"/>
    </row>
    <row r="14" spans="1:14" ht="9" customHeight="1">
      <c r="A14" s="443"/>
      <c r="B14" s="443"/>
      <c r="C14" s="448"/>
      <c r="D14" s="448"/>
      <c r="E14" s="449"/>
      <c r="F14" s="440"/>
      <c r="G14" s="452"/>
      <c r="H14" s="452"/>
      <c r="I14" s="454"/>
      <c r="J14" s="437"/>
      <c r="K14" s="440"/>
    </row>
    <row r="15" spans="1:14" ht="13">
      <c r="A15" s="66"/>
      <c r="B15" s="67" t="s">
        <v>325</v>
      </c>
      <c r="C15" s="47"/>
      <c r="D15" s="68"/>
      <c r="E15" s="69"/>
      <c r="F15" s="70"/>
      <c r="G15" s="70"/>
      <c r="H15" s="70"/>
      <c r="I15" s="71"/>
      <c r="J15" s="179"/>
      <c r="K15" s="72"/>
    </row>
    <row r="16" spans="1:14">
      <c r="A16" s="73" t="str">
        <f>IF('ORDER ENTRY FORM'!A3="","",'ORDER ENTRY FORM'!A3)</f>
        <v>P06000</v>
      </c>
      <c r="B16" s="66" t="str">
        <f>IF('ORDER ENTRY FORM'!B3="","",'ORDER ENTRY FORM'!B3)</f>
        <v>BHPC PRESTIGE TROPHY 100ML EDP MEN</v>
      </c>
      <c r="C16" s="74"/>
      <c r="D16" s="75"/>
      <c r="E16" s="76"/>
      <c r="F16" s="77" t="str">
        <f>IF(A16="","","PC")</f>
        <v>PC</v>
      </c>
      <c r="G16" s="78">
        <f>IF('ORDER ENTRY FORM'!C3="","",'ORDER ENTRY FORM'!C3)</f>
        <v>100</v>
      </c>
      <c r="H16" s="188">
        <f>IF(A16="","",G16/VLOOKUP(A16,bhpc_data[],9,FALSE)*VLOOKUP(A16,bhpc_data[],17,FALSE))</f>
        <v>39.500000000000007</v>
      </c>
      <c r="I16" s="182">
        <f>IF(A16="","",G16/VLOOKUP(A16,bhpc_data[],9,FALSE)*VLOOKUP(A16,bhpc_data[],18,FALSE))</f>
        <v>41.250000000000007</v>
      </c>
      <c r="J16" s="180">
        <f>IF(A16="","",ROUNDUP(G16/VLOOKUP(A16,bhpc_data[],9,FALSE),0))</f>
        <v>5</v>
      </c>
      <c r="K16" s="80" t="str">
        <f>IF(A16="","",VLOOKUP(A16,bhpc_data[],26,FALSE))</f>
        <v>SPAIN</v>
      </c>
    </row>
    <row r="17" spans="1:11">
      <c r="A17" s="73" t="str">
        <f>IF('ORDER ENTRY FORM'!A4="","",'ORDER ENTRY FORM'!A4)</f>
        <v>P06001</v>
      </c>
      <c r="B17" s="66" t="str">
        <f>IF('ORDER ENTRY FORM'!B4="","",'ORDER ENTRY FORM'!B4)</f>
        <v>BHPC PRESTIGE HERITAGE OUD 100ML EDP MEN</v>
      </c>
      <c r="C17" s="74"/>
      <c r="D17" s="75"/>
      <c r="E17" s="76"/>
      <c r="F17" s="77" t="str">
        <f t="shared" ref="F17:F73" si="0">IF(A17="","","PC")</f>
        <v>PC</v>
      </c>
      <c r="G17" s="78">
        <f>IF('ORDER ENTRY FORM'!C4="","",'ORDER ENTRY FORM'!C4)</f>
        <v>100</v>
      </c>
      <c r="H17" s="188">
        <f>IF(A17="","",G17/VLOOKUP(A17,bhpc_data[],9,FALSE)*VLOOKUP(A17,bhpc_data[],17,FALSE))</f>
        <v>39.500000000000007</v>
      </c>
      <c r="I17" s="183">
        <f>IF(A17="","",G17/VLOOKUP(A17,bhpc_data[],9,FALSE)*VLOOKUP(A17,bhpc_data[],18,FALSE))</f>
        <v>41.250000000000007</v>
      </c>
      <c r="J17" s="180">
        <f>IF(A17="","",ROUNDUP(G17/VLOOKUP(A17,bhpc_data[],9,FALSE),0))</f>
        <v>5</v>
      </c>
      <c r="K17" s="80" t="str">
        <f>IF(A17="","",VLOOKUP(A17,bhpc_data[],26,FALSE))</f>
        <v>SPAIN</v>
      </c>
    </row>
    <row r="18" spans="1:11">
      <c r="A18" s="73" t="str">
        <f>IF('ORDER ENTRY FORM'!A5="","",'ORDER ENTRY FORM'!A5)</f>
        <v>P06002</v>
      </c>
      <c r="B18" s="66" t="str">
        <f>IF('ORDER ENTRY FORM'!B5="","",'ORDER ENTRY FORM'!B5)</f>
        <v>BHPC PRESTIGE TOUR 100ML EDP MEN</v>
      </c>
      <c r="C18" s="74"/>
      <c r="D18" s="75"/>
      <c r="E18" s="76"/>
      <c r="F18" s="77" t="str">
        <f t="shared" si="0"/>
        <v>PC</v>
      </c>
      <c r="G18" s="78">
        <f>IF('ORDER ENTRY FORM'!C5="","",'ORDER ENTRY FORM'!C5)</f>
        <v>100</v>
      </c>
      <c r="H18" s="188">
        <f>IF(A18="","",G18/VLOOKUP(A18,bhpc_data[],9,FALSE)*VLOOKUP(A18,bhpc_data[],17,FALSE))</f>
        <v>39.500000000000007</v>
      </c>
      <c r="I18" s="183">
        <f>IF(A18="","",G18/VLOOKUP(A18,bhpc_data[],9,FALSE)*VLOOKUP(A18,bhpc_data[],18,FALSE))</f>
        <v>41.250000000000007</v>
      </c>
      <c r="J18" s="180">
        <f>IF(A18="","",ROUNDUP(G18/VLOOKUP(A18,bhpc_data[],9,FALSE),0))</f>
        <v>5</v>
      </c>
      <c r="K18" s="80" t="str">
        <f>IF(A18="","",VLOOKUP(A18,bhpc_data[],26,FALSE))</f>
        <v>SPAIN</v>
      </c>
    </row>
    <row r="19" spans="1:11">
      <c r="A19" s="73" t="str">
        <f>IF('ORDER ENTRY FORM'!A6="","",'ORDER ENTRY FORM'!A6)</f>
        <v>P06003</v>
      </c>
      <c r="B19" s="66" t="str">
        <f>IF('ORDER ENTRY FORM'!B6="","",'ORDER ENTRY FORM'!B6)</f>
        <v>BHPC PRESTIGE TITAN 100ML EDP MEN</v>
      </c>
      <c r="C19" s="74"/>
      <c r="D19" s="75"/>
      <c r="E19" s="76"/>
      <c r="F19" s="77" t="str">
        <f t="shared" si="0"/>
        <v>PC</v>
      </c>
      <c r="G19" s="78">
        <f>IF('ORDER ENTRY FORM'!C6="","",'ORDER ENTRY FORM'!C6)</f>
        <v>100</v>
      </c>
      <c r="H19" s="188">
        <f>IF(A19="","",G19/VLOOKUP(A19,bhpc_data[],9,FALSE)*VLOOKUP(A19,bhpc_data[],17,FALSE))</f>
        <v>39.500000000000007</v>
      </c>
      <c r="I19" s="183">
        <f>IF(A19="","",G19/VLOOKUP(A19,bhpc_data[],9,FALSE)*VLOOKUP(A19,bhpc_data[],18,FALSE))</f>
        <v>41.250000000000007</v>
      </c>
      <c r="J19" s="180">
        <f>IF(A19="","",ROUNDUP(G19/VLOOKUP(A19,bhpc_data[],9,FALSE),0))</f>
        <v>5</v>
      </c>
      <c r="K19" s="80" t="str">
        <f>IF(A19="","",VLOOKUP(A19,bhpc_data[],26,FALSE))</f>
        <v>SPAIN</v>
      </c>
    </row>
    <row r="20" spans="1:11">
      <c r="A20" s="73" t="str">
        <f>IF('ORDER ENTRY FORM'!A7="","",'ORDER ENTRY FORM'!A7)</f>
        <v>GS5004</v>
      </c>
      <c r="B20" s="66" t="str">
        <f>IF('ORDER ENTRY FORM'!B7="","",'ORDER ENTRY FORM'!B7)</f>
        <v>BHPC GIFT SET SPORT MEN 1 EDT 100ML + DEO 175ML</v>
      </c>
      <c r="C20" s="74"/>
      <c r="D20" s="75"/>
      <c r="E20" s="76"/>
      <c r="F20" s="77" t="str">
        <f t="shared" si="0"/>
        <v>PC</v>
      </c>
      <c r="G20" s="78">
        <f>IF('ORDER ENTRY FORM'!C7="","",'ORDER ENTRY FORM'!C7)</f>
        <v>100</v>
      </c>
      <c r="H20" s="188">
        <f>IF(A20="","",G20/VLOOKUP(A20,bhpc_data[],9,FALSE)*VLOOKUP(A20,bhpc_data[],17,FALSE))</f>
        <v>48.75</v>
      </c>
      <c r="I20" s="183">
        <f>IF(A20="","",G20/VLOOKUP(A20,bhpc_data[],9,FALSE)*VLOOKUP(A20,bhpc_data[],18,FALSE))</f>
        <v>55</v>
      </c>
      <c r="J20" s="180">
        <f>IF(A20="","",ROUNDUP(G20/VLOOKUP(A20,bhpc_data[],9,FALSE),0))</f>
        <v>9</v>
      </c>
      <c r="K20" s="80" t="str">
        <f>IF(A20="","",VLOOKUP(A20,bhpc_data[],26,FALSE))</f>
        <v>SPAIN</v>
      </c>
    </row>
    <row r="21" spans="1:11">
      <c r="A21" s="73" t="str">
        <f>IF('ORDER ENTRY FORM'!A8="","",'ORDER ENTRY FORM'!A8)</f>
        <v>GS5005</v>
      </c>
      <c r="B21" s="66" t="str">
        <f>IF('ORDER ENTRY FORM'!B8="","",'ORDER ENTRY FORM'!B8)</f>
        <v>BHPC GIFT SET SPORT MEN 9 EDT 100ML + DEO 175ML</v>
      </c>
      <c r="C21" s="74"/>
      <c r="D21" s="75"/>
      <c r="E21" s="76"/>
      <c r="F21" s="77" t="str">
        <f t="shared" si="0"/>
        <v>PC</v>
      </c>
      <c r="G21" s="78">
        <f>IF('ORDER ENTRY FORM'!C8="","",'ORDER ENTRY FORM'!C8)</f>
        <v>100</v>
      </c>
      <c r="H21" s="188">
        <f>IF(A21="","",G21/VLOOKUP(A21,bhpc_data[],9,FALSE)*VLOOKUP(A21,bhpc_data[],17,FALSE))</f>
        <v>48.75</v>
      </c>
      <c r="I21" s="183">
        <f>IF(A21="","",G21/VLOOKUP(A21,bhpc_data[],9,FALSE)*VLOOKUP(A21,bhpc_data[],18,FALSE))</f>
        <v>55</v>
      </c>
      <c r="J21" s="180">
        <f>IF(A21="","",ROUNDUP(G21/VLOOKUP(A21,bhpc_data[],9,FALSE),0))</f>
        <v>9</v>
      </c>
      <c r="K21" s="80" t="str">
        <f>IF(A21="","",VLOOKUP(A21,bhpc_data[],26,FALSE))</f>
        <v>SPAIN</v>
      </c>
    </row>
    <row r="22" spans="1:11">
      <c r="A22" s="73" t="str">
        <f>IF('ORDER ENTRY FORM'!A9="","",'ORDER ENTRY FORM'!A9)</f>
        <v>GS5006</v>
      </c>
      <c r="B22" s="66" t="str">
        <f>IF('ORDER ENTRY FORM'!B9="","",'ORDER ENTRY FORM'!B9)</f>
        <v>BHPC GIFT SET SPORT MEN 8 EDT 100ML + DEO 175ML</v>
      </c>
      <c r="C22" s="74"/>
      <c r="D22" s="75"/>
      <c r="E22" s="76"/>
      <c r="F22" s="77" t="str">
        <f t="shared" si="0"/>
        <v>PC</v>
      </c>
      <c r="G22" s="78">
        <f>IF('ORDER ENTRY FORM'!C9="","",'ORDER ENTRY FORM'!C9)</f>
        <v>100</v>
      </c>
      <c r="H22" s="188">
        <f>IF(A22="","",G22/VLOOKUP(A22,bhpc_data[],9,FALSE)*VLOOKUP(A22,bhpc_data[],17,FALSE))</f>
        <v>48.75</v>
      </c>
      <c r="I22" s="183">
        <f>IF(A22="","",G22/VLOOKUP(A22,bhpc_data[],9,FALSE)*VLOOKUP(A22,bhpc_data[],18,FALSE))</f>
        <v>55</v>
      </c>
      <c r="J22" s="180">
        <f>IF(A22="","",ROUNDUP(G22/VLOOKUP(A22,bhpc_data[],9,FALSE),0))</f>
        <v>9</v>
      </c>
      <c r="K22" s="80" t="str">
        <f>IF(A22="","",VLOOKUP(A22,bhpc_data[],26,FALSE))</f>
        <v>SPAIN</v>
      </c>
    </row>
    <row r="23" spans="1:11">
      <c r="A23" s="73" t="str">
        <f>IF('ORDER ENTRY FORM'!A10="","",'ORDER ENTRY FORM'!A10)</f>
        <v>GS5007</v>
      </c>
      <c r="B23" s="66" t="str">
        <f>IF('ORDER ENTRY FORM'!B10="","",'ORDER ENTRY FORM'!B10)</f>
        <v>BHPC GIFT SET SPORT MEN 2 EDT 100ML + DEO 175ML</v>
      </c>
      <c r="C23" s="74"/>
      <c r="D23" s="75"/>
      <c r="E23" s="76"/>
      <c r="F23" s="77" t="str">
        <f t="shared" si="0"/>
        <v>PC</v>
      </c>
      <c r="G23" s="78">
        <f>IF('ORDER ENTRY FORM'!C10="","",'ORDER ENTRY FORM'!C10)</f>
        <v>100</v>
      </c>
      <c r="H23" s="188">
        <f>IF(A23="","",G23/VLOOKUP(A23,bhpc_data[],9,FALSE)*VLOOKUP(A23,bhpc_data[],17,FALSE))</f>
        <v>48.75</v>
      </c>
      <c r="I23" s="183">
        <f>IF(A23="","",G23/VLOOKUP(A23,bhpc_data[],9,FALSE)*VLOOKUP(A23,bhpc_data[],18,FALSE))</f>
        <v>55</v>
      </c>
      <c r="J23" s="180">
        <f>IF(A23="","",ROUNDUP(G23/VLOOKUP(A23,bhpc_data[],9,FALSE),0))</f>
        <v>9</v>
      </c>
      <c r="K23" s="80" t="str">
        <f>IF(A23="","",VLOOKUP(A23,bhpc_data[],26,FALSE))</f>
        <v>SPAIN</v>
      </c>
    </row>
    <row r="24" spans="1:11">
      <c r="A24" s="73" t="str">
        <f>IF('ORDER ENTRY FORM'!A11="","",'ORDER ENTRY FORM'!A11)</f>
        <v>GSTRO3</v>
      </c>
      <c r="B24" s="66" t="str">
        <f>IF('ORDER ENTRY FORM'!B11="","",'ORDER ENTRY FORM'!B11)</f>
        <v xml:space="preserve">BHPC GIFTSET PRESTIGE TROPHY EDP100ML + DEO 300ML </v>
      </c>
      <c r="C24" s="74"/>
      <c r="D24" s="75"/>
      <c r="E24" s="76"/>
      <c r="F24" s="77" t="str">
        <f t="shared" si="0"/>
        <v>PC</v>
      </c>
      <c r="G24" s="78">
        <f>IF('ORDER ENTRY FORM'!C11="","",'ORDER ENTRY FORM'!C11)</f>
        <v>100</v>
      </c>
      <c r="H24" s="188">
        <f>IF(A24="","",G24/VLOOKUP(A24,bhpc_data[],9,FALSE)*VLOOKUP(A24,bhpc_data[],17,FALSE))</f>
        <v>73</v>
      </c>
      <c r="I24" s="183">
        <f>IF(A24="","",G24/VLOOKUP(A24,bhpc_data[],9,FALSE)*VLOOKUP(A24,bhpc_data[],18,FALSE))</f>
        <v>85.416666666666671</v>
      </c>
      <c r="J24" s="180">
        <f>IF(A24="","",ROUNDUP(G24/VLOOKUP(A24,bhpc_data[],9,FALSE),0))</f>
        <v>5</v>
      </c>
      <c r="K24" s="80" t="str">
        <f>IF(A24="","",VLOOKUP(A24,bhpc_data[],26,FALSE))</f>
        <v>SPAIN</v>
      </c>
    </row>
    <row r="25" spans="1:11">
      <c r="A25" s="73" t="str">
        <f>IF('ORDER ENTRY FORM'!A12="","",'ORDER ENTRY FORM'!A12)</f>
        <v/>
      </c>
      <c r="B25" s="66" t="str">
        <f>IF('ORDER ENTRY FORM'!B12="","",'ORDER ENTRY FORM'!B12)</f>
        <v/>
      </c>
      <c r="C25" s="74"/>
      <c r="D25" s="75"/>
      <c r="E25" s="76"/>
      <c r="F25" s="77" t="str">
        <f t="shared" si="0"/>
        <v/>
      </c>
      <c r="G25" s="78" t="str">
        <f>IF('ORDER ENTRY FORM'!C12="","",'ORDER ENTRY FORM'!C12)</f>
        <v/>
      </c>
      <c r="H25" s="188" t="str">
        <f>IF(A25="","",G25/VLOOKUP(A25,bhpc_data[],9,FALSE)*VLOOKUP(A25,bhpc_data[],17,FALSE))</f>
        <v/>
      </c>
      <c r="I25" s="183" t="str">
        <f>IF(A25="","",G25/VLOOKUP(A25,bhpc_data[],9,FALSE)*VLOOKUP(A25,bhpc_data[],18,FALSE))</f>
        <v/>
      </c>
      <c r="J25" s="180" t="str">
        <f>IF(A25="","",ROUNDUP(G25/VLOOKUP(A25,bhpc_data[],9,FALSE),0))</f>
        <v/>
      </c>
      <c r="K25" s="80" t="str">
        <f>IF(A25="","",VLOOKUP(A25,bhpc_data[],26,FALSE))</f>
        <v/>
      </c>
    </row>
    <row r="26" spans="1:11">
      <c r="A26" s="73" t="str">
        <f>IF('ORDER ENTRY FORM'!A13="","",'ORDER ENTRY FORM'!A13)</f>
        <v/>
      </c>
      <c r="B26" s="66" t="str">
        <f>IF('ORDER ENTRY FORM'!B13="","",'ORDER ENTRY FORM'!B13)</f>
        <v/>
      </c>
      <c r="C26" s="74"/>
      <c r="D26" s="75"/>
      <c r="E26" s="76"/>
      <c r="F26" s="77" t="str">
        <f t="shared" si="0"/>
        <v/>
      </c>
      <c r="G26" s="78" t="str">
        <f>IF('ORDER ENTRY FORM'!C13="","",'ORDER ENTRY FORM'!C13)</f>
        <v/>
      </c>
      <c r="H26" s="188" t="str">
        <f>IF(A26="","",G26/VLOOKUP(A26,bhpc_data[],9,FALSE)*VLOOKUP(A26,bhpc_data[],17,FALSE))</f>
        <v/>
      </c>
      <c r="I26" s="183" t="str">
        <f>IF(A26="","",G26/VLOOKUP(A26,bhpc_data[],9,FALSE)*VLOOKUP(A26,bhpc_data[],18,FALSE))</f>
        <v/>
      </c>
      <c r="J26" s="180" t="str">
        <f>IF(A26="","",ROUNDUP(G26/VLOOKUP(A26,bhpc_data[],9,FALSE),0))</f>
        <v/>
      </c>
      <c r="K26" s="80" t="str">
        <f>IF(A26="","",VLOOKUP(A26,bhpc_data[],26,FALSE))</f>
        <v/>
      </c>
    </row>
    <row r="27" spans="1:11">
      <c r="A27" s="73" t="str">
        <f>IF('ORDER ENTRY FORM'!A14="","",'ORDER ENTRY FORM'!A14)</f>
        <v/>
      </c>
      <c r="B27" s="66" t="str">
        <f>IF('ORDER ENTRY FORM'!B14="","",'ORDER ENTRY FORM'!B14)</f>
        <v/>
      </c>
      <c r="C27" s="74"/>
      <c r="D27" s="75"/>
      <c r="E27" s="76"/>
      <c r="F27" s="77" t="str">
        <f t="shared" si="0"/>
        <v/>
      </c>
      <c r="G27" s="78" t="str">
        <f>IF('ORDER ENTRY FORM'!C14="","",'ORDER ENTRY FORM'!C14)</f>
        <v/>
      </c>
      <c r="H27" s="188" t="str">
        <f>IF(A27="","",G27/VLOOKUP(A27,bhpc_data[],9,FALSE)*VLOOKUP(A27,bhpc_data[],17,FALSE))</f>
        <v/>
      </c>
      <c r="I27" s="183" t="str">
        <f>IF(A27="","",G27/VLOOKUP(A27,bhpc_data[],9,FALSE)*VLOOKUP(A27,bhpc_data[],18,FALSE))</f>
        <v/>
      </c>
      <c r="J27" s="180" t="str">
        <f>IF(A27="","",ROUNDUP(G27/VLOOKUP(A27,bhpc_data[],9,FALSE),0))</f>
        <v/>
      </c>
      <c r="K27" s="80" t="str">
        <f>IF(A27="","",VLOOKUP(A27,bhpc_data[],26,FALSE))</f>
        <v/>
      </c>
    </row>
    <row r="28" spans="1:11">
      <c r="A28" s="73" t="str">
        <f>IF('ORDER ENTRY FORM'!A15="","",'ORDER ENTRY FORM'!A15)</f>
        <v/>
      </c>
      <c r="B28" s="66" t="str">
        <f>IF('ORDER ENTRY FORM'!B15="","",'ORDER ENTRY FORM'!B15)</f>
        <v/>
      </c>
      <c r="C28" s="74"/>
      <c r="D28" s="75"/>
      <c r="E28" s="76"/>
      <c r="F28" s="77" t="str">
        <f t="shared" si="0"/>
        <v/>
      </c>
      <c r="G28" s="78" t="str">
        <f>IF('ORDER ENTRY FORM'!C15="","",'ORDER ENTRY FORM'!C15)</f>
        <v/>
      </c>
      <c r="H28" s="188" t="str">
        <f>IF(A28="","",G28/VLOOKUP(A28,bhpc_data[],9,FALSE)*VLOOKUP(A28,bhpc_data[],17,FALSE))</f>
        <v/>
      </c>
      <c r="I28" s="183" t="str">
        <f>IF(A28="","",G28/VLOOKUP(A28,bhpc_data[],9,FALSE)*VLOOKUP(A28,bhpc_data[],18,FALSE))</f>
        <v/>
      </c>
      <c r="J28" s="180" t="str">
        <f>IF(A28="","",ROUNDUP(G28/VLOOKUP(A28,bhpc_data[],9,FALSE),0))</f>
        <v/>
      </c>
      <c r="K28" s="80" t="str">
        <f>IF(A28="","",VLOOKUP(A28,bhpc_data[],26,FALSE))</f>
        <v/>
      </c>
    </row>
    <row r="29" spans="1:11">
      <c r="A29" s="73" t="str">
        <f>IF('ORDER ENTRY FORM'!A16="","",'ORDER ENTRY FORM'!A16)</f>
        <v/>
      </c>
      <c r="B29" s="66" t="str">
        <f>IF('ORDER ENTRY FORM'!B16="","",'ORDER ENTRY FORM'!B16)</f>
        <v/>
      </c>
      <c r="C29" s="74"/>
      <c r="D29" s="75"/>
      <c r="E29" s="76"/>
      <c r="F29" s="77" t="str">
        <f t="shared" si="0"/>
        <v/>
      </c>
      <c r="G29" s="78" t="str">
        <f>IF('ORDER ENTRY FORM'!C16="","",'ORDER ENTRY FORM'!C16)</f>
        <v/>
      </c>
      <c r="H29" s="188" t="str">
        <f>IF(A29="","",G29/VLOOKUP(A29,bhpc_data[],9,FALSE)*VLOOKUP(A29,bhpc_data[],17,FALSE))</f>
        <v/>
      </c>
      <c r="I29" s="183" t="str">
        <f>IF(A29="","",G29/VLOOKUP(A29,bhpc_data[],9,FALSE)*VLOOKUP(A29,bhpc_data[],18,FALSE))</f>
        <v/>
      </c>
      <c r="J29" s="180" t="str">
        <f>IF(A29="","",ROUNDUP(G29/VLOOKUP(A29,bhpc_data[],9,FALSE),0))</f>
        <v/>
      </c>
      <c r="K29" s="80" t="str">
        <f>IF(A29="","",VLOOKUP(A29,bhpc_data[],26,FALSE))</f>
        <v/>
      </c>
    </row>
    <row r="30" spans="1:11">
      <c r="A30" s="73" t="str">
        <f>IF('ORDER ENTRY FORM'!A17="","",'ORDER ENTRY FORM'!A17)</f>
        <v/>
      </c>
      <c r="B30" s="66" t="str">
        <f>IF('ORDER ENTRY FORM'!B17="","",'ORDER ENTRY FORM'!B17)</f>
        <v/>
      </c>
      <c r="C30" s="74"/>
      <c r="D30" s="75"/>
      <c r="E30" s="76"/>
      <c r="F30" s="77" t="str">
        <f t="shared" si="0"/>
        <v/>
      </c>
      <c r="G30" s="78" t="str">
        <f>IF('ORDER ENTRY FORM'!C17="","",'ORDER ENTRY FORM'!C17)</f>
        <v/>
      </c>
      <c r="H30" s="188" t="str">
        <f>IF(A30="","",G30/VLOOKUP(A30,bhpc_data[],9,FALSE)*VLOOKUP(A30,bhpc_data[],17,FALSE))</f>
        <v/>
      </c>
      <c r="I30" s="183" t="str">
        <f>IF(A30="","",G30/VLOOKUP(A30,bhpc_data[],9,FALSE)*VLOOKUP(A30,bhpc_data[],18,FALSE))</f>
        <v/>
      </c>
      <c r="J30" s="180" t="str">
        <f>IF(A30="","",ROUNDUP(G30/VLOOKUP(A30,bhpc_data[],9,FALSE),0))</f>
        <v/>
      </c>
      <c r="K30" s="80" t="str">
        <f>IF(A30="","",VLOOKUP(A30,bhpc_data[],26,FALSE))</f>
        <v/>
      </c>
    </row>
    <row r="31" spans="1:11">
      <c r="A31" s="73" t="str">
        <f>IF('ORDER ENTRY FORM'!A18="","",'ORDER ENTRY FORM'!A18)</f>
        <v/>
      </c>
      <c r="B31" s="66" t="str">
        <f>IF('ORDER ENTRY FORM'!B18="","",'ORDER ENTRY FORM'!B18)</f>
        <v/>
      </c>
      <c r="C31" s="74"/>
      <c r="D31" s="75"/>
      <c r="E31" s="76"/>
      <c r="F31" s="77" t="str">
        <f t="shared" si="0"/>
        <v/>
      </c>
      <c r="G31" s="78" t="str">
        <f>IF('ORDER ENTRY FORM'!C18="","",'ORDER ENTRY FORM'!C18)</f>
        <v/>
      </c>
      <c r="H31" s="188" t="str">
        <f>IF(A31="","",G31/VLOOKUP(A31,bhpc_data[],9,FALSE)*VLOOKUP(A31,bhpc_data[],17,FALSE))</f>
        <v/>
      </c>
      <c r="I31" s="183" t="str">
        <f>IF(A31="","",G31/VLOOKUP(A31,bhpc_data[],9,FALSE)*VLOOKUP(A31,bhpc_data[],18,FALSE))</f>
        <v/>
      </c>
      <c r="J31" s="180" t="str">
        <f>IF(A31="","",ROUNDUP(G31/VLOOKUP(A31,bhpc_data[],9,FALSE),0))</f>
        <v/>
      </c>
      <c r="K31" s="80" t="str">
        <f>IF(A31="","",VLOOKUP(A31,bhpc_data[],26,FALSE))</f>
        <v/>
      </c>
    </row>
    <row r="32" spans="1:11">
      <c r="A32" s="73" t="str">
        <f>IF('ORDER ENTRY FORM'!A19="","",'ORDER ENTRY FORM'!A19)</f>
        <v/>
      </c>
      <c r="B32" s="66" t="str">
        <f>IF('ORDER ENTRY FORM'!B19="","",'ORDER ENTRY FORM'!B19)</f>
        <v/>
      </c>
      <c r="C32" s="74"/>
      <c r="D32" s="75"/>
      <c r="E32" s="76"/>
      <c r="F32" s="77" t="str">
        <f t="shared" si="0"/>
        <v/>
      </c>
      <c r="G32" s="78" t="str">
        <f>IF('ORDER ENTRY FORM'!C19="","",'ORDER ENTRY FORM'!C19)</f>
        <v/>
      </c>
      <c r="H32" s="188" t="str">
        <f>IF(A32="","",G32/VLOOKUP(A32,bhpc_data[],9,FALSE)*VLOOKUP(A32,bhpc_data[],17,FALSE))</f>
        <v/>
      </c>
      <c r="I32" s="183" t="str">
        <f>IF(A32="","",G32/VLOOKUP(A32,bhpc_data[],9,FALSE)*VLOOKUP(A32,bhpc_data[],18,FALSE))</f>
        <v/>
      </c>
      <c r="J32" s="180" t="str">
        <f>IF(A32="","",ROUNDUP(G32/VLOOKUP(A32,bhpc_data[],9,FALSE),0))</f>
        <v/>
      </c>
      <c r="K32" s="80" t="str">
        <f>IF(A32="","",VLOOKUP(A32,bhpc_data[],26,FALSE))</f>
        <v/>
      </c>
    </row>
    <row r="33" spans="1:11">
      <c r="A33" s="73" t="str">
        <f>IF('ORDER ENTRY FORM'!A20="","",'ORDER ENTRY FORM'!A20)</f>
        <v/>
      </c>
      <c r="B33" s="66" t="str">
        <f>IF('ORDER ENTRY FORM'!B20="","",'ORDER ENTRY FORM'!B20)</f>
        <v/>
      </c>
      <c r="C33" s="74"/>
      <c r="D33" s="75"/>
      <c r="E33" s="76"/>
      <c r="F33" s="77" t="str">
        <f t="shared" si="0"/>
        <v/>
      </c>
      <c r="G33" s="78" t="str">
        <f>IF('ORDER ENTRY FORM'!C20="","",'ORDER ENTRY FORM'!C20)</f>
        <v/>
      </c>
      <c r="H33" s="188" t="str">
        <f>IF(A33="","",G33/VLOOKUP(A33,bhpc_data[],9,FALSE)*VLOOKUP(A33,bhpc_data[],17,FALSE))</f>
        <v/>
      </c>
      <c r="I33" s="183" t="str">
        <f>IF(A33="","",G33/VLOOKUP(A33,bhpc_data[],9,FALSE)*VLOOKUP(A33,bhpc_data[],18,FALSE))</f>
        <v/>
      </c>
      <c r="J33" s="180" t="str">
        <f>IF(A33="","",ROUNDUP(G33/VLOOKUP(A33,bhpc_data[],9,FALSE),0))</f>
        <v/>
      </c>
      <c r="K33" s="80" t="str">
        <f>IF(A33="","",VLOOKUP(A33,bhpc_data[],26,FALSE))</f>
        <v/>
      </c>
    </row>
    <row r="34" spans="1:11">
      <c r="A34" s="73" t="str">
        <f>IF('ORDER ENTRY FORM'!A21="","",'ORDER ENTRY FORM'!A21)</f>
        <v/>
      </c>
      <c r="B34" s="66" t="str">
        <f>IF('ORDER ENTRY FORM'!B21="","",'ORDER ENTRY FORM'!B21)</f>
        <v/>
      </c>
      <c r="C34" s="74"/>
      <c r="D34" s="75"/>
      <c r="E34" s="76"/>
      <c r="F34" s="77" t="str">
        <f t="shared" si="0"/>
        <v/>
      </c>
      <c r="G34" s="78" t="str">
        <f>IF('ORDER ENTRY FORM'!C21="","",'ORDER ENTRY FORM'!C21)</f>
        <v/>
      </c>
      <c r="H34" s="188" t="str">
        <f>IF(A34="","",G34/VLOOKUP(A34,bhpc_data[],9,FALSE)*VLOOKUP(A34,bhpc_data[],17,FALSE))</f>
        <v/>
      </c>
      <c r="I34" s="183" t="str">
        <f>IF(A34="","",G34/VLOOKUP(A34,bhpc_data[],9,FALSE)*VLOOKUP(A34,bhpc_data[],18,FALSE))</f>
        <v/>
      </c>
      <c r="J34" s="180" t="str">
        <f>IF(A34="","",ROUNDUP(G34/VLOOKUP(A34,bhpc_data[],9,FALSE),0))</f>
        <v/>
      </c>
      <c r="K34" s="80" t="str">
        <f>IF(A34="","",VLOOKUP(A34,bhpc_data[],26,FALSE))</f>
        <v/>
      </c>
    </row>
    <row r="35" spans="1:11">
      <c r="A35" s="73" t="str">
        <f>IF('ORDER ENTRY FORM'!A22="","",'ORDER ENTRY FORM'!A22)</f>
        <v/>
      </c>
      <c r="B35" s="66" t="str">
        <f>IF('ORDER ENTRY FORM'!B22="","",'ORDER ENTRY FORM'!B22)</f>
        <v/>
      </c>
      <c r="C35" s="74"/>
      <c r="D35" s="75"/>
      <c r="E35" s="76"/>
      <c r="F35" s="77" t="str">
        <f t="shared" si="0"/>
        <v/>
      </c>
      <c r="G35" s="78" t="str">
        <f>IF('ORDER ENTRY FORM'!C22="","",'ORDER ENTRY FORM'!C22)</f>
        <v/>
      </c>
      <c r="H35" s="188" t="str">
        <f>IF(A35="","",G35/VLOOKUP(A35,bhpc_data[],9,FALSE)*VLOOKUP(A35,bhpc_data[],17,FALSE))</f>
        <v/>
      </c>
      <c r="I35" s="183" t="str">
        <f>IF(A35="","",G35/VLOOKUP(A35,bhpc_data[],9,FALSE)*VLOOKUP(A35,bhpc_data[],18,FALSE))</f>
        <v/>
      </c>
      <c r="J35" s="180" t="str">
        <f>IF(A35="","",ROUNDUP(G35/VLOOKUP(A35,bhpc_data[],9,FALSE),0))</f>
        <v/>
      </c>
      <c r="K35" s="80" t="str">
        <f>IF(A35="","",VLOOKUP(A35,bhpc_data[],26,FALSE))</f>
        <v/>
      </c>
    </row>
    <row r="36" spans="1:11">
      <c r="A36" s="73" t="str">
        <f>IF('ORDER ENTRY FORM'!A23="","",'ORDER ENTRY FORM'!A23)</f>
        <v/>
      </c>
      <c r="B36" s="66" t="str">
        <f>IF('ORDER ENTRY FORM'!B23="","",'ORDER ENTRY FORM'!B23)</f>
        <v/>
      </c>
      <c r="C36" s="74"/>
      <c r="D36" s="75"/>
      <c r="E36" s="76"/>
      <c r="F36" s="77" t="str">
        <f t="shared" si="0"/>
        <v/>
      </c>
      <c r="G36" s="78" t="str">
        <f>IF('ORDER ENTRY FORM'!C23="","",'ORDER ENTRY FORM'!C23)</f>
        <v/>
      </c>
      <c r="H36" s="188" t="str">
        <f>IF(A36="","",G36/VLOOKUP(A36,bhpc_data[],9,FALSE)*VLOOKUP(A36,bhpc_data[],17,FALSE))</f>
        <v/>
      </c>
      <c r="I36" s="183" t="str">
        <f>IF(A36="","",G36/VLOOKUP(A36,bhpc_data[],9,FALSE)*VLOOKUP(A36,bhpc_data[],18,FALSE))</f>
        <v/>
      </c>
      <c r="J36" s="180" t="str">
        <f>IF(A36="","",ROUNDUP(G36/VLOOKUP(A36,bhpc_data[],9,FALSE),0))</f>
        <v/>
      </c>
      <c r="K36" s="80" t="str">
        <f>IF(A36="","",VLOOKUP(A36,bhpc_data[],26,FALSE))</f>
        <v/>
      </c>
    </row>
    <row r="37" spans="1:11">
      <c r="A37" s="73" t="str">
        <f>IF('ORDER ENTRY FORM'!A24="","",'ORDER ENTRY FORM'!A24)</f>
        <v/>
      </c>
      <c r="B37" s="66" t="str">
        <f>IF('ORDER ENTRY FORM'!B24="","",'ORDER ENTRY FORM'!B24)</f>
        <v/>
      </c>
      <c r="C37" s="74"/>
      <c r="D37" s="75"/>
      <c r="E37" s="76"/>
      <c r="F37" s="77" t="str">
        <f t="shared" si="0"/>
        <v/>
      </c>
      <c r="G37" s="78" t="str">
        <f>IF('ORDER ENTRY FORM'!C24="","",'ORDER ENTRY FORM'!C24)</f>
        <v/>
      </c>
      <c r="H37" s="188" t="str">
        <f>IF(A37="","",G37/VLOOKUP(A37,bhpc_data[],9,FALSE)*VLOOKUP(A37,bhpc_data[],17,FALSE))</f>
        <v/>
      </c>
      <c r="I37" s="183" t="str">
        <f>IF(A37="","",G37/VLOOKUP(A37,bhpc_data[],9,FALSE)*VLOOKUP(A37,bhpc_data[],18,FALSE))</f>
        <v/>
      </c>
      <c r="J37" s="180" t="str">
        <f>IF(A37="","",ROUNDUP(G37/VLOOKUP(A37,bhpc_data[],9,FALSE),0))</f>
        <v/>
      </c>
      <c r="K37" s="80" t="str">
        <f>IF(A37="","",VLOOKUP(A37,bhpc_data[],26,FALSE))</f>
        <v/>
      </c>
    </row>
    <row r="38" spans="1:11">
      <c r="A38" s="73" t="str">
        <f>IF('ORDER ENTRY FORM'!A25="","",'ORDER ENTRY FORM'!A25)</f>
        <v/>
      </c>
      <c r="B38" s="66" t="str">
        <f>IF('ORDER ENTRY FORM'!B25="","",'ORDER ENTRY FORM'!B25)</f>
        <v/>
      </c>
      <c r="C38" s="74"/>
      <c r="D38" s="75"/>
      <c r="E38" s="76"/>
      <c r="F38" s="77" t="str">
        <f t="shared" si="0"/>
        <v/>
      </c>
      <c r="G38" s="78" t="str">
        <f>IF('ORDER ENTRY FORM'!C25="","",'ORDER ENTRY FORM'!C25)</f>
        <v/>
      </c>
      <c r="H38" s="188" t="str">
        <f>IF(A38="","",G38/VLOOKUP(A38,bhpc_data[],9,FALSE)*VLOOKUP(A38,bhpc_data[],17,FALSE))</f>
        <v/>
      </c>
      <c r="I38" s="183" t="str">
        <f>IF(A38="","",G38/VLOOKUP(A38,bhpc_data[],9,FALSE)*VLOOKUP(A38,bhpc_data[],18,FALSE))</f>
        <v/>
      </c>
      <c r="J38" s="180" t="str">
        <f>IF(A38="","",ROUNDUP(G38/VLOOKUP(A38,bhpc_data[],9,FALSE),0))</f>
        <v/>
      </c>
      <c r="K38" s="80" t="str">
        <f>IF(A38="","",VLOOKUP(A38,bhpc_data[],26,FALSE))</f>
        <v/>
      </c>
    </row>
    <row r="39" spans="1:11">
      <c r="A39" s="73" t="str">
        <f>IF('ORDER ENTRY FORM'!A26="","",'ORDER ENTRY FORM'!A26)</f>
        <v/>
      </c>
      <c r="B39" s="66" t="str">
        <f>IF('ORDER ENTRY FORM'!B26="","",'ORDER ENTRY FORM'!B26)</f>
        <v/>
      </c>
      <c r="C39" s="74"/>
      <c r="D39" s="75"/>
      <c r="E39" s="76"/>
      <c r="F39" s="77" t="str">
        <f t="shared" si="0"/>
        <v/>
      </c>
      <c r="G39" s="78" t="str">
        <f>IF('ORDER ENTRY FORM'!C26="","",'ORDER ENTRY FORM'!C26)</f>
        <v/>
      </c>
      <c r="H39" s="188" t="str">
        <f>IF(A39="","",G39/VLOOKUP(A39,bhpc_data[],9,FALSE)*VLOOKUP(A39,bhpc_data[],17,FALSE))</f>
        <v/>
      </c>
      <c r="I39" s="183" t="str">
        <f>IF(A39="","",G39/VLOOKUP(A39,bhpc_data[],9,FALSE)*VLOOKUP(A39,bhpc_data[],18,FALSE))</f>
        <v/>
      </c>
      <c r="J39" s="180" t="str">
        <f>IF(A39="","",ROUNDUP(G39/VLOOKUP(A39,bhpc_data[],9,FALSE),0))</f>
        <v/>
      </c>
      <c r="K39" s="80" t="str">
        <f>IF(A39="","",VLOOKUP(A39,bhpc_data[],26,FALSE))</f>
        <v/>
      </c>
    </row>
    <row r="40" spans="1:11">
      <c r="A40" s="73" t="str">
        <f>IF('ORDER ENTRY FORM'!A27="","",'ORDER ENTRY FORM'!A27)</f>
        <v/>
      </c>
      <c r="B40" s="66" t="str">
        <f>IF('ORDER ENTRY FORM'!B27="","",'ORDER ENTRY FORM'!B27)</f>
        <v/>
      </c>
      <c r="C40" s="74"/>
      <c r="D40" s="75"/>
      <c r="E40" s="76"/>
      <c r="F40" s="77" t="str">
        <f t="shared" si="0"/>
        <v/>
      </c>
      <c r="G40" s="78" t="str">
        <f>IF('ORDER ENTRY FORM'!C27="","",'ORDER ENTRY FORM'!C27)</f>
        <v/>
      </c>
      <c r="H40" s="188" t="str">
        <f>IF(A40="","",G40/VLOOKUP(A40,bhpc_data[],9,FALSE)*VLOOKUP(A40,bhpc_data[],17,FALSE))</f>
        <v/>
      </c>
      <c r="I40" s="183" t="str">
        <f>IF(A40="","",G40/VLOOKUP(A40,bhpc_data[],9,FALSE)*VLOOKUP(A40,bhpc_data[],18,FALSE))</f>
        <v/>
      </c>
      <c r="J40" s="180" t="str">
        <f>IF(A40="","",ROUNDUP(G40/VLOOKUP(A40,bhpc_data[],9,FALSE),0))</f>
        <v/>
      </c>
      <c r="K40" s="80" t="str">
        <f>IF(A40="","",VLOOKUP(A40,bhpc_data[],26,FALSE))</f>
        <v/>
      </c>
    </row>
    <row r="41" spans="1:11">
      <c r="A41" s="73" t="str">
        <f>IF('ORDER ENTRY FORM'!A28="","",'ORDER ENTRY FORM'!A28)</f>
        <v/>
      </c>
      <c r="B41" s="66" t="str">
        <f>IF('ORDER ENTRY FORM'!B28="","",'ORDER ENTRY FORM'!B28)</f>
        <v/>
      </c>
      <c r="C41" s="74"/>
      <c r="D41" s="75"/>
      <c r="E41" s="76"/>
      <c r="F41" s="77" t="str">
        <f t="shared" si="0"/>
        <v/>
      </c>
      <c r="G41" s="78" t="str">
        <f>IF('ORDER ENTRY FORM'!C28="","",'ORDER ENTRY FORM'!C28)</f>
        <v/>
      </c>
      <c r="H41" s="188" t="str">
        <f>IF(A41="","",G41/VLOOKUP(A41,bhpc_data[],9,FALSE)*VLOOKUP(A41,bhpc_data[],17,FALSE))</f>
        <v/>
      </c>
      <c r="I41" s="183" t="str">
        <f>IF(A41="","",G41/VLOOKUP(A41,bhpc_data[],9,FALSE)*VLOOKUP(A41,bhpc_data[],18,FALSE))</f>
        <v/>
      </c>
      <c r="J41" s="180" t="str">
        <f>IF(A41="","",ROUNDUP(G41/VLOOKUP(A41,bhpc_data[],9,FALSE),0))</f>
        <v/>
      </c>
      <c r="K41" s="80" t="str">
        <f>IF(A41="","",VLOOKUP(A41,bhpc_data[],26,FALSE))</f>
        <v/>
      </c>
    </row>
    <row r="42" spans="1:11">
      <c r="A42" s="73" t="str">
        <f>IF('ORDER ENTRY FORM'!A29="","",'ORDER ENTRY FORM'!A29)</f>
        <v/>
      </c>
      <c r="B42" s="66" t="str">
        <f>IF('ORDER ENTRY FORM'!B29="","",'ORDER ENTRY FORM'!B29)</f>
        <v/>
      </c>
      <c r="C42" s="74"/>
      <c r="D42" s="75"/>
      <c r="E42" s="76"/>
      <c r="F42" s="77" t="str">
        <f t="shared" si="0"/>
        <v/>
      </c>
      <c r="G42" s="78" t="str">
        <f>IF('ORDER ENTRY FORM'!C29="","",'ORDER ENTRY FORM'!C29)</f>
        <v/>
      </c>
      <c r="H42" s="188" t="str">
        <f>IF(A42="","",G42/VLOOKUP(A42,bhpc_data[],9,FALSE)*VLOOKUP(A42,bhpc_data[],17,FALSE))</f>
        <v/>
      </c>
      <c r="I42" s="183" t="str">
        <f>IF(A42="","",G42/VLOOKUP(A42,bhpc_data[],9,FALSE)*VLOOKUP(A42,bhpc_data[],18,FALSE))</f>
        <v/>
      </c>
      <c r="J42" s="180" t="str">
        <f>IF(A42="","",ROUNDUP(G42/VLOOKUP(A42,bhpc_data[],9,FALSE),0))</f>
        <v/>
      </c>
      <c r="K42" s="80" t="str">
        <f>IF(A42="","",VLOOKUP(A42,bhpc_data[],26,FALSE))</f>
        <v/>
      </c>
    </row>
    <row r="43" spans="1:11">
      <c r="A43" s="73" t="str">
        <f>IF('ORDER ENTRY FORM'!A30="","",'ORDER ENTRY FORM'!A30)</f>
        <v/>
      </c>
      <c r="B43" s="66" t="str">
        <f>IF('ORDER ENTRY FORM'!B30="","",'ORDER ENTRY FORM'!B30)</f>
        <v/>
      </c>
      <c r="C43" s="74"/>
      <c r="D43" s="75"/>
      <c r="E43" s="76"/>
      <c r="F43" s="77" t="str">
        <f t="shared" si="0"/>
        <v/>
      </c>
      <c r="G43" s="78" t="str">
        <f>IF('ORDER ENTRY FORM'!C30="","",'ORDER ENTRY FORM'!C30)</f>
        <v/>
      </c>
      <c r="H43" s="188" t="str">
        <f>IF(A43="","",G43/VLOOKUP(A43,bhpc_data[],9,FALSE)*VLOOKUP(A43,bhpc_data[],17,FALSE))</f>
        <v/>
      </c>
      <c r="I43" s="183" t="str">
        <f>IF(A43="","",G43/VLOOKUP(A43,bhpc_data[],9,FALSE)*VLOOKUP(A43,bhpc_data[],18,FALSE))</f>
        <v/>
      </c>
      <c r="J43" s="180" t="str">
        <f>IF(A43="","",ROUNDUP(G43/VLOOKUP(A43,bhpc_data[],9,FALSE),0))</f>
        <v/>
      </c>
      <c r="K43" s="80" t="str">
        <f>IF(A43="","",VLOOKUP(A43,bhpc_data[],26,FALSE))</f>
        <v/>
      </c>
    </row>
    <row r="44" spans="1:11">
      <c r="A44" s="73" t="str">
        <f>IF('ORDER ENTRY FORM'!A31="","",'ORDER ENTRY FORM'!A31)</f>
        <v/>
      </c>
      <c r="B44" s="66" t="str">
        <f>IF('ORDER ENTRY FORM'!B31="","",'ORDER ENTRY FORM'!B31)</f>
        <v/>
      </c>
      <c r="C44" s="74"/>
      <c r="D44" s="75"/>
      <c r="E44" s="76"/>
      <c r="F44" s="77" t="str">
        <f t="shared" si="0"/>
        <v/>
      </c>
      <c r="G44" s="78" t="str">
        <f>IF('ORDER ENTRY FORM'!C31="","",'ORDER ENTRY FORM'!C31)</f>
        <v/>
      </c>
      <c r="H44" s="188" t="str">
        <f>IF(A44="","",G44/VLOOKUP(A44,bhpc_data[],9,FALSE)*VLOOKUP(A44,bhpc_data[],17,FALSE))</f>
        <v/>
      </c>
      <c r="I44" s="183" t="str">
        <f>IF(A44="","",G44/VLOOKUP(A44,bhpc_data[],9,FALSE)*VLOOKUP(A44,bhpc_data[],18,FALSE))</f>
        <v/>
      </c>
      <c r="J44" s="180" t="str">
        <f>IF(A44="","",ROUNDUP(G44/VLOOKUP(A44,bhpc_data[],9,FALSE),0))</f>
        <v/>
      </c>
      <c r="K44" s="80" t="str">
        <f>IF(A44="","",VLOOKUP(A44,bhpc_data[],26,FALSE))</f>
        <v/>
      </c>
    </row>
    <row r="45" spans="1:11">
      <c r="A45" s="73" t="str">
        <f>IF('ORDER ENTRY FORM'!A32="","",'ORDER ENTRY FORM'!A32)</f>
        <v/>
      </c>
      <c r="B45" s="66" t="str">
        <f>IF('ORDER ENTRY FORM'!B32="","",'ORDER ENTRY FORM'!B32)</f>
        <v/>
      </c>
      <c r="C45" s="74"/>
      <c r="D45" s="75"/>
      <c r="E45" s="76"/>
      <c r="F45" s="77" t="str">
        <f t="shared" si="0"/>
        <v/>
      </c>
      <c r="G45" s="78" t="str">
        <f>IF('ORDER ENTRY FORM'!C32="","",'ORDER ENTRY FORM'!C32)</f>
        <v/>
      </c>
      <c r="H45" s="188" t="str">
        <f>IF(A45="","",G45/VLOOKUP(A45,bhpc_data[],9,FALSE)*VLOOKUP(A45,bhpc_data[],17,FALSE))</f>
        <v/>
      </c>
      <c r="I45" s="183" t="str">
        <f>IF(A45="","",G45/VLOOKUP(A45,bhpc_data[],9,FALSE)*VLOOKUP(A45,bhpc_data[],18,FALSE))</f>
        <v/>
      </c>
      <c r="J45" s="180" t="str">
        <f>IF(A45="","",ROUNDUP(G45/VLOOKUP(A45,bhpc_data[],9,FALSE),0))</f>
        <v/>
      </c>
      <c r="K45" s="80" t="str">
        <f>IF(A45="","",VLOOKUP(A45,bhpc_data[],26,FALSE))</f>
        <v/>
      </c>
    </row>
    <row r="46" spans="1:11">
      <c r="A46" s="73" t="str">
        <f>IF('ORDER ENTRY FORM'!A33="","",'ORDER ENTRY FORM'!A33)</f>
        <v/>
      </c>
      <c r="B46" s="66" t="str">
        <f>IF('ORDER ENTRY FORM'!B33="","",'ORDER ENTRY FORM'!B33)</f>
        <v/>
      </c>
      <c r="C46" s="74"/>
      <c r="D46" s="75"/>
      <c r="E46" s="76"/>
      <c r="F46" s="77" t="str">
        <f t="shared" si="0"/>
        <v/>
      </c>
      <c r="G46" s="78" t="str">
        <f>IF('ORDER ENTRY FORM'!C33="","",'ORDER ENTRY FORM'!C33)</f>
        <v/>
      </c>
      <c r="H46" s="188" t="str">
        <f>IF(A46="","",G46/VLOOKUP(A46,bhpc_data[],9,FALSE)*VLOOKUP(A46,bhpc_data[],17,FALSE))</f>
        <v/>
      </c>
      <c r="I46" s="183" t="str">
        <f>IF(A46="","",G46/VLOOKUP(A46,bhpc_data[],9,FALSE)*VLOOKUP(A46,bhpc_data[],18,FALSE))</f>
        <v/>
      </c>
      <c r="J46" s="180" t="str">
        <f>IF(A46="","",ROUNDUP(G46/VLOOKUP(A46,bhpc_data[],9,FALSE),0))</f>
        <v/>
      </c>
      <c r="K46" s="80" t="str">
        <f>IF(A46="","",VLOOKUP(A46,bhpc_data[],26,FALSE))</f>
        <v/>
      </c>
    </row>
    <row r="47" spans="1:11">
      <c r="A47" s="73" t="str">
        <f>IF('ORDER ENTRY FORM'!A34="","",'ORDER ENTRY FORM'!A34)</f>
        <v/>
      </c>
      <c r="B47" s="66" t="str">
        <f>IF('ORDER ENTRY FORM'!B34="","",'ORDER ENTRY FORM'!B34)</f>
        <v/>
      </c>
      <c r="C47" s="74"/>
      <c r="D47" s="75"/>
      <c r="E47" s="76"/>
      <c r="F47" s="77" t="str">
        <f t="shared" si="0"/>
        <v/>
      </c>
      <c r="G47" s="78" t="str">
        <f>IF('ORDER ENTRY FORM'!C34="","",'ORDER ENTRY FORM'!C34)</f>
        <v/>
      </c>
      <c r="H47" s="188" t="str">
        <f>IF(A47="","",G47/VLOOKUP(A47,bhpc_data[],9,FALSE)*VLOOKUP(A47,bhpc_data[],17,FALSE))</f>
        <v/>
      </c>
      <c r="I47" s="183" t="str">
        <f>IF(A47="","",G47/VLOOKUP(A47,bhpc_data[],9,FALSE)*VLOOKUP(A47,bhpc_data[],18,FALSE))</f>
        <v/>
      </c>
      <c r="J47" s="180" t="str">
        <f>IF(A47="","",ROUNDUP(G47/VLOOKUP(A47,bhpc_data[],9,FALSE),0))</f>
        <v/>
      </c>
      <c r="K47" s="80" t="str">
        <f>IF(A47="","",VLOOKUP(A47,bhpc_data[],26,FALSE))</f>
        <v/>
      </c>
    </row>
    <row r="48" spans="1:11">
      <c r="A48" s="73" t="str">
        <f>IF('ORDER ENTRY FORM'!A35="","",'ORDER ENTRY FORM'!A35)</f>
        <v/>
      </c>
      <c r="B48" s="66" t="str">
        <f>IF('ORDER ENTRY FORM'!B35="","",'ORDER ENTRY FORM'!B35)</f>
        <v/>
      </c>
      <c r="C48" s="74"/>
      <c r="D48" s="75"/>
      <c r="E48" s="76"/>
      <c r="F48" s="77" t="str">
        <f t="shared" si="0"/>
        <v/>
      </c>
      <c r="G48" s="78" t="str">
        <f>IF('ORDER ENTRY FORM'!C35="","",'ORDER ENTRY FORM'!C35)</f>
        <v/>
      </c>
      <c r="H48" s="188" t="str">
        <f>IF(A48="","",G48/VLOOKUP(A48,bhpc_data[],9,FALSE)*VLOOKUP(A48,bhpc_data[],17,FALSE))</f>
        <v/>
      </c>
      <c r="I48" s="183" t="str">
        <f>IF(A48="","",G48/VLOOKUP(A48,bhpc_data[],9,FALSE)*VLOOKUP(A48,bhpc_data[],18,FALSE))</f>
        <v/>
      </c>
      <c r="J48" s="180" t="str">
        <f>IF(A48="","",ROUNDUP(G48/VLOOKUP(A48,bhpc_data[],9,FALSE),0))</f>
        <v/>
      </c>
      <c r="K48" s="80" t="str">
        <f>IF(A48="","",VLOOKUP(A48,bhpc_data[],26,FALSE))</f>
        <v/>
      </c>
    </row>
    <row r="49" spans="1:11">
      <c r="A49" s="73" t="str">
        <f>IF('ORDER ENTRY FORM'!A36="","",'ORDER ENTRY FORM'!A36)</f>
        <v/>
      </c>
      <c r="B49" s="66" t="str">
        <f>IF('ORDER ENTRY FORM'!B36="","",'ORDER ENTRY FORM'!B36)</f>
        <v/>
      </c>
      <c r="C49" s="74"/>
      <c r="D49" s="75"/>
      <c r="E49" s="76"/>
      <c r="F49" s="77" t="str">
        <f t="shared" si="0"/>
        <v/>
      </c>
      <c r="G49" s="78" t="str">
        <f>IF('ORDER ENTRY FORM'!C36="","",'ORDER ENTRY FORM'!C36)</f>
        <v/>
      </c>
      <c r="H49" s="188" t="str">
        <f>IF(A49="","",G49/VLOOKUP(A49,bhpc_data[],9,FALSE)*VLOOKUP(A49,bhpc_data[],17,FALSE))</f>
        <v/>
      </c>
      <c r="I49" s="183" t="str">
        <f>IF(A49="","",G49/VLOOKUP(A49,bhpc_data[],9,FALSE)*VLOOKUP(A49,bhpc_data[],18,FALSE))</f>
        <v/>
      </c>
      <c r="J49" s="180" t="str">
        <f>IF(A49="","",ROUNDUP(G49/VLOOKUP(A49,bhpc_data[],9,FALSE),0))</f>
        <v/>
      </c>
      <c r="K49" s="80" t="str">
        <f>IF(A49="","",VLOOKUP(A49,bhpc_data[],26,FALSE))</f>
        <v/>
      </c>
    </row>
    <row r="50" spans="1:11">
      <c r="A50" s="73" t="str">
        <f>IF('ORDER ENTRY FORM'!A37="","",'ORDER ENTRY FORM'!A37)</f>
        <v/>
      </c>
      <c r="B50" s="66" t="str">
        <f>IF('ORDER ENTRY FORM'!B37="","",'ORDER ENTRY FORM'!B37)</f>
        <v/>
      </c>
      <c r="C50" s="74"/>
      <c r="D50" s="75"/>
      <c r="E50" s="76"/>
      <c r="F50" s="77" t="str">
        <f t="shared" si="0"/>
        <v/>
      </c>
      <c r="G50" s="78" t="str">
        <f>IF('ORDER ENTRY FORM'!C37="","",'ORDER ENTRY FORM'!C37)</f>
        <v/>
      </c>
      <c r="H50" s="188" t="str">
        <f>IF(A50="","",G50/VLOOKUP(A50,bhpc_data[],9,FALSE)*VLOOKUP(A50,bhpc_data[],17,FALSE))</f>
        <v/>
      </c>
      <c r="I50" s="183" t="str">
        <f>IF(A50="","",G50/VLOOKUP(A50,bhpc_data[],9,FALSE)*VLOOKUP(A50,bhpc_data[],18,FALSE))</f>
        <v/>
      </c>
      <c r="J50" s="180" t="str">
        <f>IF(A50="","",ROUNDUP(G50/VLOOKUP(A50,bhpc_data[],9,FALSE),0))</f>
        <v/>
      </c>
      <c r="K50" s="80" t="str">
        <f>IF(A50="","",VLOOKUP(A50,bhpc_data[],26,FALSE))</f>
        <v/>
      </c>
    </row>
    <row r="51" spans="1:11">
      <c r="A51" s="73" t="str">
        <f>IF('ORDER ENTRY FORM'!A38="","",'ORDER ENTRY FORM'!A38)</f>
        <v/>
      </c>
      <c r="B51" s="66" t="str">
        <f>IF('ORDER ENTRY FORM'!B38="","",'ORDER ENTRY FORM'!B38)</f>
        <v/>
      </c>
      <c r="C51" s="74"/>
      <c r="D51" s="75"/>
      <c r="E51" s="76"/>
      <c r="F51" s="77" t="str">
        <f t="shared" si="0"/>
        <v/>
      </c>
      <c r="G51" s="78" t="str">
        <f>IF('ORDER ENTRY FORM'!C38="","",'ORDER ENTRY FORM'!C38)</f>
        <v/>
      </c>
      <c r="H51" s="188" t="str">
        <f>IF(A51="","",G51/VLOOKUP(A51,bhpc_data[],9,FALSE)*VLOOKUP(A51,bhpc_data[],17,FALSE))</f>
        <v/>
      </c>
      <c r="I51" s="183" t="str">
        <f>IF(A51="","",G51/VLOOKUP(A51,bhpc_data[],9,FALSE)*VLOOKUP(A51,bhpc_data[],18,FALSE))</f>
        <v/>
      </c>
      <c r="J51" s="180" t="str">
        <f>IF(A51="","",ROUNDUP(G51/VLOOKUP(A51,bhpc_data[],9,FALSE),0))</f>
        <v/>
      </c>
      <c r="K51" s="80" t="str">
        <f>IF(A51="","",VLOOKUP(A51,bhpc_data[],26,FALSE))</f>
        <v/>
      </c>
    </row>
    <row r="52" spans="1:11">
      <c r="A52" s="73" t="str">
        <f>IF('ORDER ENTRY FORM'!A39="","",'ORDER ENTRY FORM'!A39)</f>
        <v/>
      </c>
      <c r="B52" s="66" t="str">
        <f>IF('ORDER ENTRY FORM'!B39="","",'ORDER ENTRY FORM'!B39)</f>
        <v/>
      </c>
      <c r="C52" s="74"/>
      <c r="D52" s="75"/>
      <c r="E52" s="76"/>
      <c r="F52" s="77" t="str">
        <f t="shared" si="0"/>
        <v/>
      </c>
      <c r="G52" s="78" t="str">
        <f>IF('ORDER ENTRY FORM'!C39="","",'ORDER ENTRY FORM'!C39)</f>
        <v/>
      </c>
      <c r="H52" s="188" t="str">
        <f>IF(A52="","",G52/VLOOKUP(A52,bhpc_data[],9,FALSE)*VLOOKUP(A52,bhpc_data[],17,FALSE))</f>
        <v/>
      </c>
      <c r="I52" s="183" t="str">
        <f>IF(A52="","",G52/VLOOKUP(A52,bhpc_data[],9,FALSE)*VLOOKUP(A52,bhpc_data[],18,FALSE))</f>
        <v/>
      </c>
      <c r="J52" s="180" t="str">
        <f>IF(A52="","",ROUNDUP(G52/VLOOKUP(A52,bhpc_data[],9,FALSE),0))</f>
        <v/>
      </c>
      <c r="K52" s="80" t="str">
        <f>IF(A52="","",VLOOKUP(A52,bhpc_data[],26,FALSE))</f>
        <v/>
      </c>
    </row>
    <row r="53" spans="1:11">
      <c r="A53" s="73" t="str">
        <f>IF('ORDER ENTRY FORM'!A40="","",'ORDER ENTRY FORM'!A40)</f>
        <v/>
      </c>
      <c r="B53" s="66" t="str">
        <f>IF('ORDER ENTRY FORM'!B40="","",'ORDER ENTRY FORM'!B40)</f>
        <v/>
      </c>
      <c r="C53" s="74"/>
      <c r="D53" s="75"/>
      <c r="E53" s="76"/>
      <c r="F53" s="77" t="str">
        <f t="shared" si="0"/>
        <v/>
      </c>
      <c r="G53" s="78" t="str">
        <f>IF('ORDER ENTRY FORM'!C40="","",'ORDER ENTRY FORM'!C40)</f>
        <v/>
      </c>
      <c r="H53" s="188" t="str">
        <f>IF(A53="","",G53/VLOOKUP(A53,bhpc_data[],9,FALSE)*VLOOKUP(A53,bhpc_data[],17,FALSE))</f>
        <v/>
      </c>
      <c r="I53" s="183" t="str">
        <f>IF(A53="","",G53/VLOOKUP(A53,bhpc_data[],9,FALSE)*VLOOKUP(A53,bhpc_data[],18,FALSE))</f>
        <v/>
      </c>
      <c r="J53" s="180" t="str">
        <f>IF(A53="","",ROUNDUP(G53/VLOOKUP(A53,bhpc_data[],9,FALSE),0))</f>
        <v/>
      </c>
      <c r="K53" s="80" t="str">
        <f>IF(A53="","",VLOOKUP(A53,bhpc_data[],26,FALSE))</f>
        <v/>
      </c>
    </row>
    <row r="54" spans="1:11">
      <c r="A54" s="73" t="str">
        <f>IF('ORDER ENTRY FORM'!A41="","",'ORDER ENTRY FORM'!A41)</f>
        <v/>
      </c>
      <c r="B54" s="66" t="str">
        <f>IF('ORDER ENTRY FORM'!B41="","",'ORDER ENTRY FORM'!B41)</f>
        <v/>
      </c>
      <c r="C54" s="74"/>
      <c r="D54" s="75"/>
      <c r="E54" s="76"/>
      <c r="F54" s="77" t="str">
        <f t="shared" si="0"/>
        <v/>
      </c>
      <c r="G54" s="78" t="str">
        <f>IF('ORDER ENTRY FORM'!C41="","",'ORDER ENTRY FORM'!C41)</f>
        <v/>
      </c>
      <c r="H54" s="188" t="str">
        <f>IF(A54="","",G54/VLOOKUP(A54,bhpc_data[],9,FALSE)*VLOOKUP(A54,bhpc_data[],17,FALSE))</f>
        <v/>
      </c>
      <c r="I54" s="183" t="str">
        <f>IF(A54="","",G54/VLOOKUP(A54,bhpc_data[],9,FALSE)*VLOOKUP(A54,bhpc_data[],18,FALSE))</f>
        <v/>
      </c>
      <c r="J54" s="180" t="str">
        <f>IF(A54="","",ROUNDUP(G54/VLOOKUP(A54,bhpc_data[],9,FALSE),0))</f>
        <v/>
      </c>
      <c r="K54" s="80" t="str">
        <f>IF(A54="","",VLOOKUP(A54,bhpc_data[],26,FALSE))</f>
        <v/>
      </c>
    </row>
    <row r="55" spans="1:11">
      <c r="A55" s="73" t="str">
        <f>IF('ORDER ENTRY FORM'!A42="","",'ORDER ENTRY FORM'!A42)</f>
        <v/>
      </c>
      <c r="B55" s="66" t="str">
        <f>IF('ORDER ENTRY FORM'!B42="","",'ORDER ENTRY FORM'!B42)</f>
        <v/>
      </c>
      <c r="C55" s="74"/>
      <c r="D55" s="75"/>
      <c r="E55" s="76"/>
      <c r="F55" s="77" t="str">
        <f t="shared" si="0"/>
        <v/>
      </c>
      <c r="G55" s="78" t="str">
        <f>IF('ORDER ENTRY FORM'!C42="","",'ORDER ENTRY FORM'!C42)</f>
        <v/>
      </c>
      <c r="H55" s="188" t="str">
        <f>IF(A55="","",G55/VLOOKUP(A55,bhpc_data[],9,FALSE)*VLOOKUP(A55,bhpc_data[],17,FALSE))</f>
        <v/>
      </c>
      <c r="I55" s="183" t="str">
        <f>IF(A55="","",G55/VLOOKUP(A55,bhpc_data[],9,FALSE)*VLOOKUP(A55,bhpc_data[],18,FALSE))</f>
        <v/>
      </c>
      <c r="J55" s="180" t="str">
        <f>IF(A55="","",ROUNDUP(G55/VLOOKUP(A55,bhpc_data[],9,FALSE),0))</f>
        <v/>
      </c>
      <c r="K55" s="80" t="str">
        <f>IF(A55="","",VLOOKUP(A55,bhpc_data[],26,FALSE))</f>
        <v/>
      </c>
    </row>
    <row r="56" spans="1:11">
      <c r="A56" s="73" t="str">
        <f>IF('ORDER ENTRY FORM'!A43="","",'ORDER ENTRY FORM'!A43)</f>
        <v/>
      </c>
      <c r="B56" s="66" t="str">
        <f>IF('ORDER ENTRY FORM'!B43="","",'ORDER ENTRY FORM'!B43)</f>
        <v/>
      </c>
      <c r="C56" s="74"/>
      <c r="D56" s="75"/>
      <c r="E56" s="76"/>
      <c r="F56" s="77" t="str">
        <f t="shared" si="0"/>
        <v/>
      </c>
      <c r="G56" s="78" t="str">
        <f>IF('ORDER ENTRY FORM'!C43="","",'ORDER ENTRY FORM'!C43)</f>
        <v/>
      </c>
      <c r="H56" s="188" t="str">
        <f>IF(A56="","",G56/VLOOKUP(A56,bhpc_data[],9,FALSE)*VLOOKUP(A56,bhpc_data[],17,FALSE))</f>
        <v/>
      </c>
      <c r="I56" s="183" t="str">
        <f>IF(A56="","",G56/VLOOKUP(A56,bhpc_data[],9,FALSE)*VLOOKUP(A56,bhpc_data[],18,FALSE))</f>
        <v/>
      </c>
      <c r="J56" s="180" t="str">
        <f>IF(A56="","",ROUNDUP(G56/VLOOKUP(A56,bhpc_data[],9,FALSE),0))</f>
        <v/>
      </c>
      <c r="K56" s="80" t="str">
        <f>IF(A56="","",VLOOKUP(A56,bhpc_data[],26,FALSE))</f>
        <v/>
      </c>
    </row>
    <row r="57" spans="1:11">
      <c r="A57" s="73" t="str">
        <f>IF('ORDER ENTRY FORM'!A44="","",'ORDER ENTRY FORM'!A44)</f>
        <v/>
      </c>
      <c r="B57" s="66" t="str">
        <f>IF('ORDER ENTRY FORM'!B44="","",'ORDER ENTRY FORM'!B44)</f>
        <v/>
      </c>
      <c r="C57" s="74"/>
      <c r="D57" s="75"/>
      <c r="E57" s="76"/>
      <c r="F57" s="77" t="str">
        <f t="shared" si="0"/>
        <v/>
      </c>
      <c r="G57" s="78" t="str">
        <f>IF('ORDER ENTRY FORM'!C44="","",'ORDER ENTRY FORM'!C44)</f>
        <v/>
      </c>
      <c r="H57" s="188" t="str">
        <f>IF(A57="","",G57/VLOOKUP(A57,bhpc_data[],9,FALSE)*VLOOKUP(A57,bhpc_data[],17,FALSE))</f>
        <v/>
      </c>
      <c r="I57" s="183" t="str">
        <f>IF(A57="","",G57/VLOOKUP(A57,bhpc_data[],9,FALSE)*VLOOKUP(A57,bhpc_data[],18,FALSE))</f>
        <v/>
      </c>
      <c r="J57" s="180" t="str">
        <f>IF(A57="","",ROUNDUP(G57/VLOOKUP(A57,bhpc_data[],9,FALSE),0))</f>
        <v/>
      </c>
      <c r="K57" s="80" t="str">
        <f>IF(A57="","",VLOOKUP(A57,bhpc_data[],26,FALSE))</f>
        <v/>
      </c>
    </row>
    <row r="58" spans="1:11">
      <c r="A58" s="73" t="str">
        <f>IF('ORDER ENTRY FORM'!A45="","",'ORDER ENTRY FORM'!A45)</f>
        <v/>
      </c>
      <c r="B58" s="66" t="str">
        <f>IF('ORDER ENTRY FORM'!B45="","",'ORDER ENTRY FORM'!B45)</f>
        <v/>
      </c>
      <c r="C58" s="74"/>
      <c r="D58" s="75"/>
      <c r="E58" s="76"/>
      <c r="F58" s="77" t="str">
        <f t="shared" si="0"/>
        <v/>
      </c>
      <c r="G58" s="78" t="str">
        <f>IF('ORDER ENTRY FORM'!C45="","",'ORDER ENTRY FORM'!C45)</f>
        <v/>
      </c>
      <c r="H58" s="188" t="str">
        <f>IF(A58="","",G58/VLOOKUP(A58,bhpc_data[],9,FALSE)*VLOOKUP(A58,bhpc_data[],17,FALSE))</f>
        <v/>
      </c>
      <c r="I58" s="183" t="str">
        <f>IF(A58="","",G58/VLOOKUP(A58,bhpc_data[],9,FALSE)*VLOOKUP(A58,bhpc_data[],18,FALSE))</f>
        <v/>
      </c>
      <c r="J58" s="180" t="str">
        <f>IF(A58="","",ROUNDUP(G58/VLOOKUP(A58,bhpc_data[],9,FALSE),0))</f>
        <v/>
      </c>
      <c r="K58" s="80" t="str">
        <f>IF(A58="","",VLOOKUP(A58,bhpc_data[],26,FALSE))</f>
        <v/>
      </c>
    </row>
    <row r="59" spans="1:11">
      <c r="A59" s="73" t="str">
        <f>IF('ORDER ENTRY FORM'!A46="","",'ORDER ENTRY FORM'!A46)</f>
        <v/>
      </c>
      <c r="B59" s="66" t="str">
        <f>IF('ORDER ENTRY FORM'!B46="","",'ORDER ENTRY FORM'!B46)</f>
        <v/>
      </c>
      <c r="C59" s="74"/>
      <c r="D59" s="75"/>
      <c r="E59" s="76"/>
      <c r="F59" s="77" t="str">
        <f t="shared" si="0"/>
        <v/>
      </c>
      <c r="G59" s="78" t="str">
        <f>IF('ORDER ENTRY FORM'!C46="","",'ORDER ENTRY FORM'!C46)</f>
        <v/>
      </c>
      <c r="H59" s="188" t="str">
        <f>IF(A59="","",G59/VLOOKUP(A59,bhpc_data[],9,FALSE)*VLOOKUP(A59,bhpc_data[],17,FALSE))</f>
        <v/>
      </c>
      <c r="I59" s="183" t="str">
        <f>IF(A59="","",G59/VLOOKUP(A59,bhpc_data[],9,FALSE)*VLOOKUP(A59,bhpc_data[],18,FALSE))</f>
        <v/>
      </c>
      <c r="J59" s="180" t="str">
        <f>IF(A59="","",ROUNDUP(G59/VLOOKUP(A59,bhpc_data[],9,FALSE),0))</f>
        <v/>
      </c>
      <c r="K59" s="80" t="str">
        <f>IF(A59="","",VLOOKUP(A59,bhpc_data[],26,FALSE))</f>
        <v/>
      </c>
    </row>
    <row r="60" spans="1:11">
      <c r="A60" s="73" t="str">
        <f>IF('ORDER ENTRY FORM'!A47="","",'ORDER ENTRY FORM'!A47)</f>
        <v/>
      </c>
      <c r="B60" s="66" t="str">
        <f>IF('ORDER ENTRY FORM'!B47="","",'ORDER ENTRY FORM'!B47)</f>
        <v/>
      </c>
      <c r="C60" s="74"/>
      <c r="D60" s="75"/>
      <c r="E60" s="76"/>
      <c r="F60" s="77" t="str">
        <f t="shared" si="0"/>
        <v/>
      </c>
      <c r="G60" s="78" t="str">
        <f>IF('ORDER ENTRY FORM'!C47="","",'ORDER ENTRY FORM'!C47)</f>
        <v/>
      </c>
      <c r="H60" s="188" t="str">
        <f>IF(A60="","",G60/VLOOKUP(A60,bhpc_data[],9,FALSE)*VLOOKUP(A60,bhpc_data[],17,FALSE))</f>
        <v/>
      </c>
      <c r="I60" s="183" t="str">
        <f>IF(A60="","",G60/VLOOKUP(A60,bhpc_data[],9,FALSE)*VLOOKUP(A60,bhpc_data[],18,FALSE))</f>
        <v/>
      </c>
      <c r="J60" s="180" t="str">
        <f>IF(A60="","",ROUNDUP(G60/VLOOKUP(A60,bhpc_data[],9,FALSE),0))</f>
        <v/>
      </c>
      <c r="K60" s="80" t="str">
        <f>IF(A60="","",VLOOKUP(A60,bhpc_data[],26,FALSE))</f>
        <v/>
      </c>
    </row>
    <row r="61" spans="1:11">
      <c r="A61" s="73" t="str">
        <f>IF('ORDER ENTRY FORM'!A48="","",'ORDER ENTRY FORM'!A48)</f>
        <v/>
      </c>
      <c r="B61" s="66" t="str">
        <f>IF('ORDER ENTRY FORM'!B48="","",'ORDER ENTRY FORM'!B48)</f>
        <v/>
      </c>
      <c r="C61" s="74"/>
      <c r="D61" s="75"/>
      <c r="E61" s="76"/>
      <c r="F61" s="77" t="str">
        <f t="shared" si="0"/>
        <v/>
      </c>
      <c r="G61" s="78" t="str">
        <f>IF('ORDER ENTRY FORM'!C48="","",'ORDER ENTRY FORM'!C48)</f>
        <v/>
      </c>
      <c r="H61" s="188" t="str">
        <f>IF(A61="","",G61/VLOOKUP(A61,bhpc_data[],9,FALSE)*VLOOKUP(A61,bhpc_data[],17,FALSE))</f>
        <v/>
      </c>
      <c r="I61" s="183" t="str">
        <f>IF(A61="","",G61/VLOOKUP(A61,bhpc_data[],9,FALSE)*VLOOKUP(A61,bhpc_data[],18,FALSE))</f>
        <v/>
      </c>
      <c r="J61" s="180" t="str">
        <f>IF(A61="","",ROUNDUP(G61/VLOOKUP(A61,bhpc_data[],9,FALSE),0))</f>
        <v/>
      </c>
      <c r="K61" s="80" t="str">
        <f>IF(A61="","",VLOOKUP(A61,bhpc_data[],26,FALSE))</f>
        <v/>
      </c>
    </row>
    <row r="62" spans="1:11">
      <c r="A62" s="73" t="str">
        <f>IF('ORDER ENTRY FORM'!A49="","",'ORDER ENTRY FORM'!A49)</f>
        <v/>
      </c>
      <c r="B62" s="66" t="str">
        <f>IF('ORDER ENTRY FORM'!B49="","",'ORDER ENTRY FORM'!B49)</f>
        <v/>
      </c>
      <c r="C62" s="74"/>
      <c r="D62" s="75"/>
      <c r="E62" s="76"/>
      <c r="F62" s="77" t="str">
        <f t="shared" si="0"/>
        <v/>
      </c>
      <c r="G62" s="78" t="str">
        <f>IF('ORDER ENTRY FORM'!C49="","",'ORDER ENTRY FORM'!C49)</f>
        <v/>
      </c>
      <c r="H62" s="188" t="str">
        <f>IF(A62="","",G62/VLOOKUP(A62,bhpc_data[],9,FALSE)*VLOOKUP(A62,bhpc_data[],17,FALSE))</f>
        <v/>
      </c>
      <c r="I62" s="183" t="str">
        <f>IF(A62="","",G62/VLOOKUP(A62,bhpc_data[],9,FALSE)*VLOOKUP(A62,bhpc_data[],18,FALSE))</f>
        <v/>
      </c>
      <c r="J62" s="180" t="str">
        <f>IF(A62="","",ROUNDUP(G62/VLOOKUP(A62,bhpc_data[],9,FALSE),0))</f>
        <v/>
      </c>
      <c r="K62" s="80" t="str">
        <f>IF(A62="","",VLOOKUP(A62,bhpc_data[],26,FALSE))</f>
        <v/>
      </c>
    </row>
    <row r="63" spans="1:11">
      <c r="A63" s="73" t="str">
        <f>IF('ORDER ENTRY FORM'!A50="","",'ORDER ENTRY FORM'!A50)</f>
        <v/>
      </c>
      <c r="B63" s="66" t="str">
        <f>IF('ORDER ENTRY FORM'!B50="","",'ORDER ENTRY FORM'!B50)</f>
        <v/>
      </c>
      <c r="C63" s="74"/>
      <c r="D63" s="75"/>
      <c r="E63" s="76"/>
      <c r="F63" s="77" t="str">
        <f t="shared" si="0"/>
        <v/>
      </c>
      <c r="G63" s="78" t="str">
        <f>IF('ORDER ENTRY FORM'!C50="","",'ORDER ENTRY FORM'!C50)</f>
        <v/>
      </c>
      <c r="H63" s="188" t="str">
        <f>IF(A63="","",G63/VLOOKUP(A63,bhpc_data[],9,FALSE)*VLOOKUP(A63,bhpc_data[],17,FALSE))</f>
        <v/>
      </c>
      <c r="I63" s="183" t="str">
        <f>IF(A63="","",G63/VLOOKUP(A63,bhpc_data[],9,FALSE)*VLOOKUP(A63,bhpc_data[],18,FALSE))</f>
        <v/>
      </c>
      <c r="J63" s="180" t="str">
        <f>IF(A63="","",ROUNDUP(G63/VLOOKUP(A63,bhpc_data[],9,FALSE),0))</f>
        <v/>
      </c>
      <c r="K63" s="80" t="str">
        <f>IF(A63="","",VLOOKUP(A63,bhpc_data[],26,FALSE))</f>
        <v/>
      </c>
    </row>
    <row r="64" spans="1:11">
      <c r="A64" s="73" t="str">
        <f>IF('ORDER ENTRY FORM'!A51="","",'ORDER ENTRY FORM'!A51)</f>
        <v/>
      </c>
      <c r="B64" s="66" t="str">
        <f>IF('ORDER ENTRY FORM'!B51="","",'ORDER ENTRY FORM'!B51)</f>
        <v/>
      </c>
      <c r="C64" s="74"/>
      <c r="D64" s="75"/>
      <c r="E64" s="76"/>
      <c r="F64" s="77" t="str">
        <f t="shared" si="0"/>
        <v/>
      </c>
      <c r="G64" s="78" t="str">
        <f>IF('ORDER ENTRY FORM'!C51="","",'ORDER ENTRY FORM'!C51)</f>
        <v/>
      </c>
      <c r="H64" s="188" t="str">
        <f>IF(A64="","",G64/VLOOKUP(A64,bhpc_data[],9,FALSE)*VLOOKUP(A64,bhpc_data[],17,FALSE))</f>
        <v/>
      </c>
      <c r="I64" s="183" t="str">
        <f>IF(A64="","",G64/VLOOKUP(A64,bhpc_data[],9,FALSE)*VLOOKUP(A64,bhpc_data[],18,FALSE))</f>
        <v/>
      </c>
      <c r="J64" s="180" t="str">
        <f>IF(A64="","",ROUNDUP(G64/VLOOKUP(A64,bhpc_data[],9,FALSE),0))</f>
        <v/>
      </c>
      <c r="K64" s="80" t="str">
        <f>IF(A64="","",VLOOKUP(A64,bhpc_data[],26,FALSE))</f>
        <v/>
      </c>
    </row>
    <row r="65" spans="1:11">
      <c r="A65" s="73" t="str">
        <f>IF('ORDER ENTRY FORM'!A52="","",'ORDER ENTRY FORM'!A52)</f>
        <v/>
      </c>
      <c r="B65" s="66" t="str">
        <f>IF('ORDER ENTRY FORM'!B52="","",'ORDER ENTRY FORM'!B52)</f>
        <v/>
      </c>
      <c r="C65" s="74"/>
      <c r="D65" s="75"/>
      <c r="E65" s="76"/>
      <c r="F65" s="77" t="str">
        <f t="shared" si="0"/>
        <v/>
      </c>
      <c r="G65" s="78" t="str">
        <f>IF('ORDER ENTRY FORM'!C52="","",'ORDER ENTRY FORM'!C52)</f>
        <v/>
      </c>
      <c r="H65" s="188" t="str">
        <f>IF(A65="","",G65/VLOOKUP(A65,bhpc_data[],9,FALSE)*VLOOKUP(A65,bhpc_data[],17,FALSE))</f>
        <v/>
      </c>
      <c r="I65" s="183" t="str">
        <f>IF(A65="","",G65/VLOOKUP(A65,bhpc_data[],9,FALSE)*VLOOKUP(A65,bhpc_data[],18,FALSE))</f>
        <v/>
      </c>
      <c r="J65" s="180" t="str">
        <f>IF(A65="","",ROUNDUP(G65/VLOOKUP(A65,bhpc_data[],9,FALSE),0))</f>
        <v/>
      </c>
      <c r="K65" s="80" t="str">
        <f>IF(A65="","",VLOOKUP(A65,bhpc_data[],26,FALSE))</f>
        <v/>
      </c>
    </row>
    <row r="66" spans="1:11">
      <c r="A66" s="73" t="str">
        <f>IF('ORDER ENTRY FORM'!A53="","",'ORDER ENTRY FORM'!A53)</f>
        <v/>
      </c>
      <c r="B66" s="66" t="str">
        <f>IF('ORDER ENTRY FORM'!B53="","",'ORDER ENTRY FORM'!B53)</f>
        <v/>
      </c>
      <c r="C66" s="74"/>
      <c r="D66" s="75"/>
      <c r="E66" s="76"/>
      <c r="F66" s="77" t="str">
        <f t="shared" si="0"/>
        <v/>
      </c>
      <c r="G66" s="78" t="str">
        <f>IF('ORDER ENTRY FORM'!C53="","",'ORDER ENTRY FORM'!C53)</f>
        <v/>
      </c>
      <c r="H66" s="188" t="str">
        <f>IF(A66="","",G66/VLOOKUP(A66,bhpc_data[],9,FALSE)*VLOOKUP(A66,bhpc_data[],17,FALSE))</f>
        <v/>
      </c>
      <c r="I66" s="183" t="str">
        <f>IF(A66="","",G66/VLOOKUP(A66,bhpc_data[],9,FALSE)*VLOOKUP(A66,bhpc_data[],18,FALSE))</f>
        <v/>
      </c>
      <c r="J66" s="180" t="str">
        <f>IF(A66="","",ROUNDUP(G66/VLOOKUP(A66,bhpc_data[],9,FALSE),0))</f>
        <v/>
      </c>
      <c r="K66" s="80" t="str">
        <f>IF(A66="","",VLOOKUP(A66,bhpc_data[],26,FALSE))</f>
        <v/>
      </c>
    </row>
    <row r="67" spans="1:11">
      <c r="A67" s="73" t="str">
        <f>IF('ORDER ENTRY FORM'!A54="","",'ORDER ENTRY FORM'!A54)</f>
        <v/>
      </c>
      <c r="B67" s="66" t="str">
        <f>IF('ORDER ENTRY FORM'!B54="","",'ORDER ENTRY FORM'!B54)</f>
        <v/>
      </c>
      <c r="C67" s="74"/>
      <c r="D67" s="75"/>
      <c r="E67" s="76"/>
      <c r="F67" s="77" t="str">
        <f t="shared" si="0"/>
        <v/>
      </c>
      <c r="G67" s="78" t="str">
        <f>IF('ORDER ENTRY FORM'!C54="","",'ORDER ENTRY FORM'!C54)</f>
        <v/>
      </c>
      <c r="H67" s="188" t="str">
        <f>IF(A67="","",G67/VLOOKUP(A67,bhpc_data[],9,FALSE)*VLOOKUP(A67,bhpc_data[],17,FALSE))</f>
        <v/>
      </c>
      <c r="I67" s="183" t="str">
        <f>IF(A67="","",G67/VLOOKUP(A67,bhpc_data[],9,FALSE)*VLOOKUP(A67,bhpc_data[],18,FALSE))</f>
        <v/>
      </c>
      <c r="J67" s="180" t="str">
        <f>IF(A67="","",ROUNDUP(G67/VLOOKUP(A67,bhpc_data[],9,FALSE),0))</f>
        <v/>
      </c>
      <c r="K67" s="80" t="str">
        <f>IF(A67="","",VLOOKUP(A67,bhpc_data[],26,FALSE))</f>
        <v/>
      </c>
    </row>
    <row r="68" spans="1:11">
      <c r="A68" s="73" t="str">
        <f>IF('ORDER ENTRY FORM'!A55="","",'ORDER ENTRY FORM'!A55)</f>
        <v/>
      </c>
      <c r="B68" s="66" t="str">
        <f>IF('ORDER ENTRY FORM'!B55="","",'ORDER ENTRY FORM'!B55)</f>
        <v/>
      </c>
      <c r="C68" s="74"/>
      <c r="D68" s="75"/>
      <c r="E68" s="76"/>
      <c r="F68" s="77" t="str">
        <f t="shared" si="0"/>
        <v/>
      </c>
      <c r="G68" s="78" t="str">
        <f>IF('ORDER ENTRY FORM'!C55="","",'ORDER ENTRY FORM'!C55)</f>
        <v/>
      </c>
      <c r="H68" s="188" t="str">
        <f>IF(A68="","",G68/VLOOKUP(A68,bhpc_data[],9,FALSE)*VLOOKUP(A68,bhpc_data[],17,FALSE))</f>
        <v/>
      </c>
      <c r="I68" s="183" t="str">
        <f>IF(A68="","",G68/VLOOKUP(A68,bhpc_data[],9,FALSE)*VLOOKUP(A68,bhpc_data[],18,FALSE))</f>
        <v/>
      </c>
      <c r="J68" s="180" t="str">
        <f>IF(A68="","",ROUNDUP(G68/VLOOKUP(A68,bhpc_data[],9,FALSE),0))</f>
        <v/>
      </c>
      <c r="K68" s="80" t="str">
        <f>IF(A68="","",VLOOKUP(A68,bhpc_data[],26,FALSE))</f>
        <v/>
      </c>
    </row>
    <row r="69" spans="1:11">
      <c r="A69" s="73" t="str">
        <f>IF('ORDER ENTRY FORM'!A56="","",'ORDER ENTRY FORM'!A56)</f>
        <v/>
      </c>
      <c r="B69" s="66" t="str">
        <f>IF('ORDER ENTRY FORM'!B56="","",'ORDER ENTRY FORM'!B56)</f>
        <v/>
      </c>
      <c r="C69" s="74"/>
      <c r="D69" s="75"/>
      <c r="E69" s="76"/>
      <c r="F69" s="77" t="str">
        <f t="shared" si="0"/>
        <v/>
      </c>
      <c r="G69" s="78" t="str">
        <f>IF('ORDER ENTRY FORM'!C56="","",'ORDER ENTRY FORM'!C56)</f>
        <v/>
      </c>
      <c r="H69" s="188" t="str">
        <f>IF(A69="","",G69/VLOOKUP(A69,bhpc_data[],9,FALSE)*VLOOKUP(A69,bhpc_data[],17,FALSE))</f>
        <v/>
      </c>
      <c r="I69" s="183" t="str">
        <f>IF(A69="","",G69/VLOOKUP(A69,bhpc_data[],9,FALSE)*VLOOKUP(A69,bhpc_data[],18,FALSE))</f>
        <v/>
      </c>
      <c r="J69" s="180" t="str">
        <f>IF(A69="","",ROUNDUP(G69/VLOOKUP(A69,bhpc_data[],9,FALSE),0))</f>
        <v/>
      </c>
      <c r="K69" s="80" t="str">
        <f>IF(A69="","",VLOOKUP(A69,bhpc_data[],26,FALSE))</f>
        <v/>
      </c>
    </row>
    <row r="70" spans="1:11">
      <c r="A70" s="73" t="str">
        <f>IF('ORDER ENTRY FORM'!A57="","",'ORDER ENTRY FORM'!A57)</f>
        <v/>
      </c>
      <c r="B70" s="66" t="str">
        <f>IF('ORDER ENTRY FORM'!B57="","",'ORDER ENTRY FORM'!B57)</f>
        <v/>
      </c>
      <c r="C70" s="74"/>
      <c r="D70" s="75"/>
      <c r="E70" s="76"/>
      <c r="F70" s="77" t="str">
        <f t="shared" si="0"/>
        <v/>
      </c>
      <c r="G70" s="78" t="str">
        <f>IF('ORDER ENTRY FORM'!C57="","",'ORDER ENTRY FORM'!C57)</f>
        <v/>
      </c>
      <c r="H70" s="188" t="str">
        <f>IF(A70="","",G70/VLOOKUP(A70,bhpc_data[],9,FALSE)*VLOOKUP(A70,bhpc_data[],17,FALSE))</f>
        <v/>
      </c>
      <c r="I70" s="183" t="str">
        <f>IF(A70="","",G70/VLOOKUP(A70,bhpc_data[],9,FALSE)*VLOOKUP(A70,bhpc_data[],18,FALSE))</f>
        <v/>
      </c>
      <c r="J70" s="180" t="str">
        <f>IF(A70="","",ROUNDUP(G70/VLOOKUP(A70,bhpc_data[],9,FALSE),0))</f>
        <v/>
      </c>
      <c r="K70" s="80" t="str">
        <f>IF(A70="","",VLOOKUP(A70,bhpc_data[],26,FALSE))</f>
        <v/>
      </c>
    </row>
    <row r="71" spans="1:11">
      <c r="A71" s="73" t="str">
        <f>IF('ORDER ENTRY FORM'!A58="","",'ORDER ENTRY FORM'!A58)</f>
        <v/>
      </c>
      <c r="B71" s="66" t="str">
        <f>IF('ORDER ENTRY FORM'!B58="","",'ORDER ENTRY FORM'!B58)</f>
        <v/>
      </c>
      <c r="C71" s="74"/>
      <c r="D71" s="75"/>
      <c r="E71" s="76"/>
      <c r="F71" s="77" t="str">
        <f t="shared" si="0"/>
        <v/>
      </c>
      <c r="G71" s="78" t="str">
        <f>IF('ORDER ENTRY FORM'!C58="","",'ORDER ENTRY FORM'!C58)</f>
        <v/>
      </c>
      <c r="H71" s="188" t="str">
        <f>IF(A71="","",G71/VLOOKUP(A71,bhpc_data[],9,FALSE)*VLOOKUP(A71,bhpc_data[],17,FALSE))</f>
        <v/>
      </c>
      <c r="I71" s="183" t="str">
        <f>IF(A71="","",G71/VLOOKUP(A71,bhpc_data[],9,FALSE)*VLOOKUP(A71,bhpc_data[],18,FALSE))</f>
        <v/>
      </c>
      <c r="J71" s="180" t="str">
        <f>IF(A71="","",ROUNDUP(G71/VLOOKUP(A71,bhpc_data[],9,FALSE),0))</f>
        <v/>
      </c>
      <c r="K71" s="80" t="str">
        <f>IF(A71="","",VLOOKUP(A71,bhpc_data[],26,FALSE))</f>
        <v/>
      </c>
    </row>
    <row r="72" spans="1:11" ht="13">
      <c r="A72" s="73" t="str">
        <f>IF('ORDER ENTRY FORM'!A59="","",'ORDER ENTRY FORM'!A59)</f>
        <v/>
      </c>
      <c r="B72" s="67" t="str">
        <f>IF('ORDER ENTRY FORM'!B59="","",'ORDER ENTRY FORM'!B59)</f>
        <v/>
      </c>
      <c r="C72" s="74"/>
      <c r="D72" s="75"/>
      <c r="E72" s="76"/>
      <c r="F72" s="77" t="str">
        <f t="shared" si="0"/>
        <v/>
      </c>
      <c r="G72" s="78" t="str">
        <f>IF('ORDER ENTRY FORM'!C59="","",'ORDER ENTRY FORM'!C59)</f>
        <v/>
      </c>
      <c r="H72" s="188" t="str">
        <f>IF(A72="","",G72/VLOOKUP(A72,bhpc_data[],9,FALSE)*VLOOKUP(A72,bhpc_data[],17,FALSE))</f>
        <v/>
      </c>
      <c r="I72" s="183" t="str">
        <f>IF(A72="","",G72/VLOOKUP(A72,bhpc_data[],9,FALSE)*VLOOKUP(A72,bhpc_data[],18,FALSE))</f>
        <v/>
      </c>
      <c r="J72" s="180" t="str">
        <f>IF(A72="","",ROUNDUP(G72/VLOOKUP(A72,bhpc_data[],9,FALSE),0))</f>
        <v/>
      </c>
      <c r="K72" s="80" t="str">
        <f>IF(A72="","",VLOOKUP(A72,bhpc_data[],26,FALSE))</f>
        <v/>
      </c>
    </row>
    <row r="73" spans="1:11">
      <c r="A73" s="73" t="str">
        <f>IF('ORDER ENTRY FORM'!A60="","",'ORDER ENTRY FORM'!A60)</f>
        <v/>
      </c>
      <c r="B73" s="66" t="str">
        <f>IF('ORDER ENTRY FORM'!B60="","",'ORDER ENTRY FORM'!B60)</f>
        <v/>
      </c>
      <c r="C73" s="74"/>
      <c r="D73" s="75"/>
      <c r="E73" s="76"/>
      <c r="F73" s="77" t="str">
        <f t="shared" si="0"/>
        <v/>
      </c>
      <c r="G73" s="78" t="str">
        <f>IF('ORDER ENTRY FORM'!C60="","",'ORDER ENTRY FORM'!C60)</f>
        <v/>
      </c>
      <c r="H73" s="188" t="str">
        <f>IF(A73="","",G73/VLOOKUP(A73,bhpc_data[],9,FALSE)*VLOOKUP(A73,bhpc_data[],17,FALSE))</f>
        <v/>
      </c>
      <c r="I73" s="183" t="str">
        <f>IF(A73="","",G73/VLOOKUP(A73,bhpc_data[],9,FALSE)*VLOOKUP(A73,bhpc_data[],18,FALSE))</f>
        <v/>
      </c>
      <c r="J73" s="180" t="str">
        <f>IF(A73="","",ROUNDUP(G73/VLOOKUP(A73,bhpc_data[],9,FALSE),0))</f>
        <v/>
      </c>
      <c r="K73" s="80" t="str">
        <f>IF(A73="","",VLOOKUP(A73,bhpc_data[],26,FALSE))</f>
        <v/>
      </c>
    </row>
    <row r="74" spans="1:11">
      <c r="A74" s="73"/>
      <c r="B74" s="66"/>
      <c r="C74" s="74"/>
      <c r="D74" s="75"/>
      <c r="E74" s="76"/>
      <c r="F74" s="77"/>
      <c r="G74" s="78"/>
      <c r="H74" s="188"/>
      <c r="I74" s="183"/>
      <c r="J74" s="180"/>
      <c r="K74" s="80"/>
    </row>
    <row r="75" spans="1:11" ht="13">
      <c r="A75" s="73"/>
      <c r="B75" s="67" t="s">
        <v>274</v>
      </c>
      <c r="C75" s="74"/>
      <c r="D75" s="75"/>
      <c r="E75" s="76"/>
      <c r="F75" s="77"/>
      <c r="G75" s="78"/>
      <c r="H75" s="188"/>
      <c r="I75" s="183"/>
      <c r="J75" s="180"/>
      <c r="K75" s="80"/>
    </row>
    <row r="76" spans="1:11">
      <c r="A76" s="73"/>
      <c r="B76" s="66"/>
      <c r="C76" s="74"/>
      <c r="D76" s="75"/>
      <c r="E76" s="76"/>
      <c r="F76" s="77"/>
      <c r="G76" s="78"/>
      <c r="H76" s="188"/>
      <c r="I76" s="183"/>
      <c r="J76" s="180"/>
      <c r="K76" s="80"/>
    </row>
    <row r="77" spans="1:11">
      <c r="A77" s="73"/>
      <c r="B77" s="66"/>
      <c r="C77" s="74"/>
      <c r="D77" s="75"/>
      <c r="E77" s="76"/>
      <c r="F77" s="77"/>
      <c r="G77" s="78"/>
      <c r="H77" s="188"/>
      <c r="I77" s="183"/>
      <c r="J77" s="180"/>
      <c r="K77" s="80"/>
    </row>
    <row r="78" spans="1:11">
      <c r="A78" s="73"/>
      <c r="B78" s="66"/>
      <c r="C78" s="74"/>
      <c r="D78" s="75"/>
      <c r="E78" s="76"/>
      <c r="F78" s="77"/>
      <c r="G78" s="78"/>
      <c r="H78" s="188"/>
      <c r="I78" s="183"/>
      <c r="J78" s="180"/>
      <c r="K78" s="80"/>
    </row>
    <row r="79" spans="1:11">
      <c r="A79" s="73"/>
      <c r="B79" s="66"/>
      <c r="C79" s="74"/>
      <c r="D79" s="75"/>
      <c r="E79" s="76"/>
      <c r="F79" s="77"/>
      <c r="G79" s="78"/>
      <c r="H79" s="188"/>
      <c r="I79" s="183"/>
      <c r="J79" s="180"/>
      <c r="K79" s="80"/>
    </row>
    <row r="80" spans="1:11">
      <c r="A80" s="73"/>
      <c r="B80" s="66"/>
      <c r="C80" s="74"/>
      <c r="D80" s="75"/>
      <c r="E80" s="76"/>
      <c r="F80" s="77"/>
      <c r="G80" s="78"/>
      <c r="H80" s="188"/>
      <c r="I80" s="183"/>
      <c r="J80" s="180"/>
      <c r="K80" s="80"/>
    </row>
    <row r="81" spans="1:11">
      <c r="A81" s="73"/>
      <c r="B81" s="66"/>
      <c r="C81" s="74"/>
      <c r="D81" s="75"/>
      <c r="E81" s="76"/>
      <c r="F81" s="77"/>
      <c r="G81" s="78"/>
      <c r="H81" s="188"/>
      <c r="I81" s="183"/>
      <c r="J81" s="180"/>
      <c r="K81" s="80"/>
    </row>
    <row r="82" spans="1:11">
      <c r="A82" s="73"/>
      <c r="B82" s="66"/>
      <c r="C82" s="74"/>
      <c r="D82" s="75"/>
      <c r="E82" s="76"/>
      <c r="F82" s="77"/>
      <c r="G82" s="78"/>
      <c r="H82" s="188"/>
      <c r="I82" s="183"/>
      <c r="J82" s="180"/>
      <c r="K82" s="80"/>
    </row>
    <row r="83" spans="1:11">
      <c r="A83" s="73"/>
      <c r="B83" s="66"/>
      <c r="C83" s="74"/>
      <c r="D83" s="75"/>
      <c r="E83" s="76"/>
      <c r="F83" s="77"/>
      <c r="G83" s="78"/>
      <c r="H83" s="188"/>
      <c r="I83" s="183"/>
      <c r="J83" s="180"/>
      <c r="K83" s="80"/>
    </row>
    <row r="84" spans="1:11">
      <c r="A84" s="73"/>
      <c r="B84" s="66"/>
      <c r="C84" s="74"/>
      <c r="D84" s="75"/>
      <c r="E84" s="76"/>
      <c r="F84" s="77"/>
      <c r="G84" s="78"/>
      <c r="H84" s="188"/>
      <c r="I84" s="183"/>
      <c r="J84" s="180"/>
      <c r="K84" s="80"/>
    </row>
    <row r="85" spans="1:11">
      <c r="A85" s="73"/>
      <c r="B85" s="66"/>
      <c r="C85" s="74"/>
      <c r="D85" s="75"/>
      <c r="E85" s="76"/>
      <c r="F85" s="77"/>
      <c r="G85" s="78"/>
      <c r="H85" s="188"/>
      <c r="I85" s="183"/>
      <c r="J85" s="180"/>
      <c r="K85" s="80"/>
    </row>
    <row r="86" spans="1:11">
      <c r="A86" s="73"/>
      <c r="B86" s="66"/>
      <c r="C86" s="74"/>
      <c r="D86" s="75"/>
      <c r="E86" s="76"/>
      <c r="F86" s="77"/>
      <c r="G86" s="78"/>
      <c r="H86" s="188"/>
      <c r="I86" s="183"/>
      <c r="J86" s="180"/>
      <c r="K86" s="80"/>
    </row>
    <row r="87" spans="1:11">
      <c r="A87" s="73"/>
      <c r="B87" s="66"/>
      <c r="C87" s="74"/>
      <c r="D87" s="75"/>
      <c r="E87" s="76"/>
      <c r="F87" s="77"/>
      <c r="G87" s="78"/>
      <c r="H87" s="188"/>
      <c r="I87" s="183"/>
      <c r="J87" s="180"/>
      <c r="K87" s="80"/>
    </row>
    <row r="88" spans="1:11">
      <c r="A88" s="73"/>
      <c r="B88" s="66"/>
      <c r="C88" s="74"/>
      <c r="D88" s="75"/>
      <c r="E88" s="76"/>
      <c r="F88" s="77"/>
      <c r="G88" s="78"/>
      <c r="H88" s="188"/>
      <c r="I88" s="183"/>
      <c r="J88" s="180"/>
      <c r="K88" s="80"/>
    </row>
    <row r="89" spans="1:11">
      <c r="A89" s="73"/>
      <c r="B89" s="66"/>
      <c r="C89" s="74"/>
      <c r="D89" s="75"/>
      <c r="E89" s="76"/>
      <c r="F89" s="77"/>
      <c r="G89" s="78"/>
      <c r="H89" s="188"/>
      <c r="I89" s="183"/>
      <c r="J89" s="180"/>
      <c r="K89" s="80"/>
    </row>
    <row r="90" spans="1:11">
      <c r="A90" s="73"/>
      <c r="B90" s="66"/>
      <c r="C90" s="74"/>
      <c r="D90" s="75"/>
      <c r="E90" s="76"/>
      <c r="F90" s="77"/>
      <c r="G90" s="78"/>
      <c r="H90" s="188"/>
      <c r="I90" s="183"/>
      <c r="J90" s="180"/>
      <c r="K90" s="80"/>
    </row>
    <row r="91" spans="1:11">
      <c r="A91" s="73"/>
      <c r="B91" s="66"/>
      <c r="C91" s="74"/>
      <c r="D91" s="75"/>
      <c r="E91" s="76"/>
      <c r="F91" s="77"/>
      <c r="G91" s="78"/>
      <c r="H91" s="188"/>
      <c r="I91" s="183"/>
      <c r="J91" s="180"/>
      <c r="K91" s="80"/>
    </row>
    <row r="92" spans="1:11">
      <c r="A92" s="73"/>
      <c r="B92" s="66"/>
      <c r="C92" s="74"/>
      <c r="D92" s="75"/>
      <c r="E92" s="76"/>
      <c r="F92" s="77"/>
      <c r="G92" s="78"/>
      <c r="H92" s="188"/>
      <c r="I92" s="183"/>
      <c r="J92" s="180"/>
      <c r="K92" s="80"/>
    </row>
    <row r="93" spans="1:11">
      <c r="A93" s="73"/>
      <c r="B93" s="66"/>
      <c r="C93" s="74"/>
      <c r="D93" s="75"/>
      <c r="E93" s="76"/>
      <c r="F93" s="77"/>
      <c r="G93" s="78"/>
      <c r="H93" s="188"/>
      <c r="I93" s="183"/>
      <c r="J93" s="180"/>
      <c r="K93" s="80"/>
    </row>
    <row r="94" spans="1:11">
      <c r="A94" s="73"/>
      <c r="B94" s="66"/>
      <c r="C94" s="74"/>
      <c r="D94" s="75"/>
      <c r="E94" s="76"/>
      <c r="F94" s="77"/>
      <c r="G94" s="78"/>
      <c r="H94" s="188"/>
      <c r="I94" s="183"/>
      <c r="J94" s="180"/>
      <c r="K94" s="80"/>
    </row>
    <row r="95" spans="1:11">
      <c r="A95" s="73"/>
      <c r="B95" s="66"/>
      <c r="C95" s="74"/>
      <c r="D95" s="75"/>
      <c r="E95" s="76"/>
      <c r="F95" s="77"/>
      <c r="G95" s="78"/>
      <c r="H95" s="188"/>
      <c r="I95" s="183"/>
      <c r="J95" s="180"/>
      <c r="K95" s="80"/>
    </row>
    <row r="96" spans="1:11">
      <c r="A96" s="73"/>
      <c r="B96" s="66"/>
      <c r="C96" s="74"/>
      <c r="D96" s="75"/>
      <c r="E96" s="76"/>
      <c r="F96" s="77"/>
      <c r="G96" s="78"/>
      <c r="H96" s="188"/>
      <c r="I96" s="183"/>
      <c r="J96" s="180"/>
      <c r="K96" s="80"/>
    </row>
    <row r="97" spans="1:11">
      <c r="A97" s="73"/>
      <c r="B97" s="66"/>
      <c r="C97" s="74"/>
      <c r="D97" s="75"/>
      <c r="E97" s="76"/>
      <c r="F97" s="77"/>
      <c r="G97" s="78"/>
      <c r="H97" s="188"/>
      <c r="I97" s="183"/>
      <c r="J97" s="180"/>
      <c r="K97" s="80"/>
    </row>
    <row r="98" spans="1:11">
      <c r="A98" s="73"/>
      <c r="B98" s="66"/>
      <c r="C98" s="74"/>
      <c r="D98" s="75"/>
      <c r="E98" s="76"/>
      <c r="F98" s="77"/>
      <c r="G98" s="78"/>
      <c r="H98" s="188"/>
      <c r="I98" s="183"/>
      <c r="J98" s="180"/>
      <c r="K98" s="80"/>
    </row>
    <row r="99" spans="1:11">
      <c r="A99" s="73"/>
      <c r="B99" s="66"/>
      <c r="C99" s="74"/>
      <c r="D99" s="75"/>
      <c r="E99" s="76"/>
      <c r="F99" s="77"/>
      <c r="G99" s="78"/>
      <c r="H99" s="188"/>
      <c r="I99" s="183"/>
      <c r="J99" s="180"/>
      <c r="K99" s="80"/>
    </row>
    <row r="100" spans="1:11">
      <c r="A100" s="73"/>
      <c r="B100" s="66"/>
      <c r="C100" s="74"/>
      <c r="D100" s="75"/>
      <c r="E100" s="76"/>
      <c r="F100" s="77"/>
      <c r="G100" s="78"/>
      <c r="H100" s="188"/>
      <c r="I100" s="183"/>
      <c r="J100" s="180"/>
      <c r="K100" s="80"/>
    </row>
    <row r="101" spans="1:11">
      <c r="A101" s="73"/>
      <c r="B101" s="66"/>
      <c r="C101" s="74"/>
      <c r="D101" s="75"/>
      <c r="E101" s="76"/>
      <c r="F101" s="77"/>
      <c r="G101" s="78"/>
      <c r="H101" s="188"/>
      <c r="I101" s="183"/>
      <c r="J101" s="180"/>
      <c r="K101" s="80"/>
    </row>
    <row r="102" spans="1:11">
      <c r="A102" s="73"/>
      <c r="B102" s="66"/>
      <c r="C102" s="74"/>
      <c r="D102" s="75"/>
      <c r="E102" s="76"/>
      <c r="F102" s="77"/>
      <c r="G102" s="78"/>
      <c r="H102" s="188"/>
      <c r="I102" s="183"/>
      <c r="J102" s="180"/>
      <c r="K102" s="80"/>
    </row>
    <row r="103" spans="1:11">
      <c r="A103" s="73"/>
      <c r="B103" s="66"/>
      <c r="C103" s="74"/>
      <c r="D103" s="75"/>
      <c r="E103" s="76"/>
      <c r="F103" s="77"/>
      <c r="G103" s="78"/>
      <c r="H103" s="188"/>
      <c r="I103" s="183"/>
      <c r="J103" s="180"/>
      <c r="K103" s="80"/>
    </row>
    <row r="104" spans="1:11">
      <c r="A104" s="73"/>
      <c r="B104" s="66"/>
      <c r="C104" s="74"/>
      <c r="D104" s="75"/>
      <c r="E104" s="76"/>
      <c r="F104" s="77"/>
      <c r="G104" s="78"/>
      <c r="H104" s="188"/>
      <c r="I104" s="183"/>
      <c r="J104" s="180"/>
      <c r="K104" s="80"/>
    </row>
    <row r="105" spans="1:11">
      <c r="A105" s="73"/>
      <c r="B105" s="66"/>
      <c r="C105" s="74"/>
      <c r="D105" s="75"/>
      <c r="E105" s="76"/>
      <c r="F105" s="77"/>
      <c r="G105" s="78"/>
      <c r="H105" s="188"/>
      <c r="I105" s="183"/>
      <c r="J105" s="180"/>
      <c r="K105" s="80"/>
    </row>
    <row r="106" spans="1:11">
      <c r="A106" s="73"/>
      <c r="B106" s="66"/>
      <c r="C106" s="74"/>
      <c r="D106" s="75"/>
      <c r="E106" s="76"/>
      <c r="F106" s="77"/>
      <c r="G106" s="78"/>
      <c r="H106" s="188"/>
      <c r="I106" s="183"/>
      <c r="J106" s="180"/>
      <c r="K106" s="80"/>
    </row>
    <row r="107" spans="1:11">
      <c r="A107" s="73"/>
      <c r="B107" s="66"/>
      <c r="C107" s="74"/>
      <c r="D107" s="75"/>
      <c r="E107" s="76"/>
      <c r="F107" s="77"/>
      <c r="G107" s="78"/>
      <c r="H107" s="188"/>
      <c r="I107" s="183"/>
      <c r="J107" s="180"/>
      <c r="K107" s="80"/>
    </row>
    <row r="108" spans="1:11">
      <c r="A108" s="73"/>
      <c r="B108" s="66"/>
      <c r="C108" s="74"/>
      <c r="D108" s="75"/>
      <c r="E108" s="76"/>
      <c r="F108" s="77"/>
      <c r="G108" s="78"/>
      <c r="H108" s="188"/>
      <c r="I108" s="183"/>
      <c r="J108" s="180"/>
      <c r="K108" s="80"/>
    </row>
    <row r="109" spans="1:11">
      <c r="A109" s="73"/>
      <c r="B109" s="66"/>
      <c r="C109" s="74"/>
      <c r="D109" s="75"/>
      <c r="E109" s="76"/>
      <c r="F109" s="77"/>
      <c r="G109" s="78"/>
      <c r="H109" s="188"/>
      <c r="I109" s="183"/>
      <c r="J109" s="180"/>
      <c r="K109" s="80"/>
    </row>
    <row r="110" spans="1:11">
      <c r="A110" s="73"/>
      <c r="B110" s="66"/>
      <c r="C110" s="74"/>
      <c r="D110" s="75"/>
      <c r="E110" s="76"/>
      <c r="F110" s="77"/>
      <c r="G110" s="78"/>
      <c r="H110" s="188"/>
      <c r="I110" s="183"/>
      <c r="J110" s="180"/>
      <c r="K110" s="80"/>
    </row>
    <row r="111" spans="1:11">
      <c r="A111" s="73"/>
      <c r="B111" s="66"/>
      <c r="C111" s="74"/>
      <c r="D111" s="75"/>
      <c r="E111" s="76"/>
      <c r="F111" s="77"/>
      <c r="G111" s="78"/>
      <c r="H111" s="188"/>
      <c r="I111" s="183"/>
      <c r="J111" s="180"/>
      <c r="K111" s="80"/>
    </row>
    <row r="112" spans="1:11">
      <c r="A112" s="73"/>
      <c r="B112" s="66"/>
      <c r="C112" s="74"/>
      <c r="D112" s="75"/>
      <c r="E112" s="76"/>
      <c r="F112" s="77"/>
      <c r="G112" s="78"/>
      <c r="H112" s="188"/>
      <c r="I112" s="183"/>
      <c r="J112" s="180"/>
      <c r="K112" s="80"/>
    </row>
    <row r="113" spans="1:11">
      <c r="A113" s="73"/>
      <c r="B113" s="66"/>
      <c r="C113" s="74"/>
      <c r="D113" s="75"/>
      <c r="E113" s="76"/>
      <c r="F113" s="77"/>
      <c r="G113" s="78"/>
      <c r="H113" s="188"/>
      <c r="I113" s="183"/>
      <c r="J113" s="180"/>
      <c r="K113" s="80"/>
    </row>
    <row r="114" spans="1:11">
      <c r="A114" s="73"/>
      <c r="B114" s="66"/>
      <c r="C114" s="74"/>
      <c r="D114" s="75"/>
      <c r="E114" s="76"/>
      <c r="F114" s="77"/>
      <c r="G114" s="78"/>
      <c r="H114" s="188"/>
      <c r="I114" s="183"/>
      <c r="J114" s="180"/>
      <c r="K114" s="80"/>
    </row>
    <row r="115" spans="1:11">
      <c r="A115" s="73"/>
      <c r="B115" s="66"/>
      <c r="C115" s="74"/>
      <c r="D115" s="75"/>
      <c r="E115" s="76"/>
      <c r="F115" s="77"/>
      <c r="G115" s="78"/>
      <c r="H115" s="188"/>
      <c r="I115" s="183"/>
      <c r="J115" s="180"/>
      <c r="K115" s="80"/>
    </row>
    <row r="116" spans="1:11">
      <c r="A116" s="73"/>
      <c r="B116" s="66"/>
      <c r="C116" s="74"/>
      <c r="D116" s="75"/>
      <c r="E116" s="76"/>
      <c r="F116" s="77"/>
      <c r="G116" s="78"/>
      <c r="H116" s="188"/>
      <c r="I116" s="183"/>
      <c r="J116" s="180"/>
      <c r="K116" s="80"/>
    </row>
    <row r="117" spans="1:11" ht="13">
      <c r="A117" s="73"/>
      <c r="B117" s="67" t="s">
        <v>352</v>
      </c>
      <c r="C117" s="74"/>
      <c r="D117" s="75"/>
      <c r="E117" s="76"/>
      <c r="F117" s="77"/>
      <c r="G117" s="78"/>
      <c r="H117" s="188"/>
      <c r="I117" s="183"/>
      <c r="J117" s="180"/>
      <c r="K117" s="80"/>
    </row>
    <row r="118" spans="1:11">
      <c r="A118" s="73"/>
      <c r="B118" s="66"/>
      <c r="C118" s="74"/>
      <c r="D118" s="75"/>
      <c r="E118" s="76"/>
      <c r="F118" s="77"/>
      <c r="G118" s="78"/>
      <c r="H118" s="188"/>
      <c r="I118" s="183"/>
      <c r="J118" s="180"/>
      <c r="K118" s="80"/>
    </row>
    <row r="119" spans="1:11">
      <c r="A119" s="73"/>
      <c r="B119" s="66"/>
      <c r="C119" s="74"/>
      <c r="D119" s="75"/>
      <c r="E119" s="76"/>
      <c r="F119" s="77"/>
      <c r="G119" s="78"/>
      <c r="H119" s="188"/>
      <c r="I119" s="183"/>
      <c r="J119" s="180"/>
      <c r="K119" s="80"/>
    </row>
    <row r="120" spans="1:11">
      <c r="A120" s="73"/>
      <c r="B120" s="66"/>
      <c r="C120" s="74"/>
      <c r="D120" s="75"/>
      <c r="E120" s="76"/>
      <c r="F120" s="77"/>
      <c r="G120" s="78"/>
      <c r="H120" s="188"/>
      <c r="I120" s="183"/>
      <c r="J120" s="180"/>
      <c r="K120" s="80"/>
    </row>
    <row r="121" spans="1:11">
      <c r="A121" s="73"/>
      <c r="B121" s="66"/>
      <c r="C121" s="74"/>
      <c r="D121" s="75"/>
      <c r="E121" s="76"/>
      <c r="F121" s="77"/>
      <c r="G121" s="78"/>
      <c r="H121" s="188"/>
      <c r="I121" s="183"/>
      <c r="J121" s="180"/>
      <c r="K121" s="80"/>
    </row>
    <row r="122" spans="1:11">
      <c r="A122" s="73"/>
      <c r="B122" s="66"/>
      <c r="C122" s="74"/>
      <c r="D122" s="75"/>
      <c r="E122" s="76"/>
      <c r="F122" s="77"/>
      <c r="G122" s="78"/>
      <c r="H122" s="188"/>
      <c r="I122" s="183"/>
      <c r="J122" s="180"/>
      <c r="K122" s="80"/>
    </row>
    <row r="123" spans="1:11">
      <c r="A123" s="73"/>
      <c r="B123" s="66"/>
      <c r="C123" s="74"/>
      <c r="D123" s="75"/>
      <c r="E123" s="76"/>
      <c r="F123" s="77"/>
      <c r="G123" s="78"/>
      <c r="H123" s="188"/>
      <c r="I123" s="183"/>
      <c r="J123" s="180"/>
      <c r="K123" s="80"/>
    </row>
    <row r="124" spans="1:11">
      <c r="A124" s="73"/>
      <c r="B124" s="66"/>
      <c r="C124" s="74"/>
      <c r="D124" s="75"/>
      <c r="E124" s="76"/>
      <c r="F124" s="77"/>
      <c r="G124" s="78"/>
      <c r="H124" s="188"/>
      <c r="I124" s="183"/>
      <c r="J124" s="180"/>
      <c r="K124" s="80"/>
    </row>
    <row r="125" spans="1:11">
      <c r="A125" s="73"/>
      <c r="B125" s="66"/>
      <c r="C125" s="74"/>
      <c r="D125" s="75"/>
      <c r="E125" s="76"/>
      <c r="F125" s="77"/>
      <c r="G125" s="78"/>
      <c r="H125" s="188"/>
      <c r="I125" s="183"/>
      <c r="J125" s="180"/>
      <c r="K125" s="80"/>
    </row>
    <row r="126" spans="1:11">
      <c r="A126" s="73"/>
      <c r="B126" s="66"/>
      <c r="C126" s="74"/>
      <c r="D126" s="75"/>
      <c r="E126" s="76"/>
      <c r="F126" s="77"/>
      <c r="G126" s="78"/>
      <c r="H126" s="188"/>
      <c r="I126" s="183"/>
      <c r="J126" s="180"/>
      <c r="K126" s="80"/>
    </row>
    <row r="127" spans="1:11">
      <c r="A127" s="73"/>
      <c r="B127" s="66"/>
      <c r="C127" s="74"/>
      <c r="D127" s="75"/>
      <c r="E127" s="76"/>
      <c r="F127" s="77"/>
      <c r="G127" s="78"/>
      <c r="H127" s="188"/>
      <c r="I127" s="183"/>
      <c r="J127" s="180"/>
      <c r="K127" s="80"/>
    </row>
    <row r="128" spans="1:11">
      <c r="A128" s="73"/>
      <c r="B128" s="66"/>
      <c r="C128" s="74"/>
      <c r="D128" s="75"/>
      <c r="E128" s="76"/>
      <c r="F128" s="77"/>
      <c r="G128" s="78"/>
      <c r="H128" s="188"/>
      <c r="I128" s="183"/>
      <c r="J128" s="180"/>
      <c r="K128" s="80"/>
    </row>
    <row r="129" spans="1:11">
      <c r="A129" s="73"/>
      <c r="B129" s="66"/>
      <c r="C129" s="74"/>
      <c r="D129" s="75"/>
      <c r="E129" s="76"/>
      <c r="F129" s="77"/>
      <c r="G129" s="78"/>
      <c r="H129" s="188"/>
      <c r="I129" s="183"/>
      <c r="J129" s="180"/>
      <c r="K129" s="80"/>
    </row>
    <row r="130" spans="1:11">
      <c r="A130" s="73"/>
      <c r="B130" s="66"/>
      <c r="C130" s="74"/>
      <c r="D130" s="75"/>
      <c r="E130" s="76"/>
      <c r="F130" s="77"/>
      <c r="G130" s="78"/>
      <c r="H130" s="188"/>
      <c r="I130" s="183"/>
      <c r="J130" s="180"/>
      <c r="K130" s="80"/>
    </row>
    <row r="131" spans="1:11">
      <c r="A131" s="73"/>
      <c r="B131" s="66"/>
      <c r="C131" s="74"/>
      <c r="D131" s="75"/>
      <c r="E131" s="76"/>
      <c r="F131" s="77"/>
      <c r="G131" s="78"/>
      <c r="H131" s="188"/>
      <c r="I131" s="183"/>
      <c r="J131" s="180"/>
      <c r="K131" s="80"/>
    </row>
    <row r="132" spans="1:11">
      <c r="A132" s="73"/>
      <c r="B132" s="66"/>
      <c r="C132" s="74"/>
      <c r="D132" s="75"/>
      <c r="E132" s="76"/>
      <c r="F132" s="77"/>
      <c r="G132" s="78"/>
      <c r="H132" s="188"/>
      <c r="I132" s="183"/>
      <c r="J132" s="180"/>
      <c r="K132" s="80"/>
    </row>
    <row r="133" spans="1:11">
      <c r="A133" s="73"/>
      <c r="B133" s="66"/>
      <c r="C133" s="74"/>
      <c r="D133" s="75"/>
      <c r="E133" s="76"/>
      <c r="F133" s="77"/>
      <c r="G133" s="78"/>
      <c r="H133" s="188"/>
      <c r="I133" s="183"/>
      <c r="J133" s="180"/>
      <c r="K133" s="80"/>
    </row>
    <row r="134" spans="1:11">
      <c r="A134" s="73"/>
      <c r="B134" s="66"/>
      <c r="C134" s="74"/>
      <c r="D134" s="75"/>
      <c r="E134" s="76"/>
      <c r="F134" s="77"/>
      <c r="G134" s="78"/>
      <c r="H134" s="188"/>
      <c r="I134" s="183"/>
      <c r="J134" s="180"/>
      <c r="K134" s="80"/>
    </row>
    <row r="135" spans="1:11">
      <c r="A135" s="73"/>
      <c r="B135" s="66"/>
      <c r="C135" s="74"/>
      <c r="D135" s="75"/>
      <c r="E135" s="76"/>
      <c r="F135" s="77"/>
      <c r="G135" s="78"/>
      <c r="H135" s="188"/>
      <c r="I135" s="183"/>
      <c r="J135" s="180"/>
      <c r="K135" s="80"/>
    </row>
    <row r="136" spans="1:11">
      <c r="A136" s="73"/>
      <c r="B136" s="66"/>
      <c r="C136" s="74"/>
      <c r="D136" s="75"/>
      <c r="E136" s="76"/>
      <c r="F136" s="77"/>
      <c r="G136" s="78"/>
      <c r="H136" s="188"/>
      <c r="I136" s="183"/>
      <c r="J136" s="180"/>
      <c r="K136" s="80"/>
    </row>
    <row r="137" spans="1:11">
      <c r="A137" s="73"/>
      <c r="B137" s="66"/>
      <c r="C137" s="74"/>
      <c r="D137" s="75"/>
      <c r="E137" s="76"/>
      <c r="F137" s="77"/>
      <c r="G137" s="78"/>
      <c r="H137" s="188"/>
      <c r="I137" s="183"/>
      <c r="J137" s="180"/>
      <c r="K137" s="80"/>
    </row>
    <row r="138" spans="1:11">
      <c r="A138" s="73"/>
      <c r="B138" s="66"/>
      <c r="C138" s="74"/>
      <c r="D138" s="75"/>
      <c r="E138" s="76"/>
      <c r="F138" s="77"/>
      <c r="G138" s="78"/>
      <c r="H138" s="188"/>
      <c r="I138" s="183"/>
      <c r="J138" s="180"/>
      <c r="K138" s="80"/>
    </row>
    <row r="139" spans="1:11">
      <c r="A139" s="73"/>
      <c r="B139" s="66"/>
      <c r="C139" s="74"/>
      <c r="D139" s="75"/>
      <c r="E139" s="76"/>
      <c r="F139" s="77"/>
      <c r="G139" s="78"/>
      <c r="H139" s="188"/>
      <c r="I139" s="183"/>
      <c r="J139" s="180"/>
      <c r="K139" s="80"/>
    </row>
    <row r="140" spans="1:11">
      <c r="A140" s="73"/>
      <c r="B140" s="66"/>
      <c r="C140" s="74"/>
      <c r="D140" s="75"/>
      <c r="E140" s="76"/>
      <c r="F140" s="77"/>
      <c r="G140" s="78"/>
      <c r="H140" s="188"/>
      <c r="I140" s="183"/>
      <c r="J140" s="180"/>
      <c r="K140" s="80"/>
    </row>
    <row r="141" spans="1:11">
      <c r="A141" s="73"/>
      <c r="B141" s="66"/>
      <c r="C141" s="74"/>
      <c r="D141" s="75"/>
      <c r="E141" s="76"/>
      <c r="F141" s="77"/>
      <c r="G141" s="78"/>
      <c r="H141" s="188"/>
      <c r="I141" s="183"/>
      <c r="J141" s="180"/>
      <c r="K141" s="80"/>
    </row>
    <row r="142" spans="1:11">
      <c r="A142" s="73"/>
      <c r="B142" s="81"/>
      <c r="C142" s="74"/>
      <c r="D142" s="75"/>
      <c r="E142" s="76"/>
      <c r="F142" s="77"/>
      <c r="G142" s="78"/>
      <c r="H142" s="188"/>
      <c r="I142" s="183"/>
      <c r="J142" s="180"/>
      <c r="K142" s="80"/>
    </row>
    <row r="143" spans="1:11">
      <c r="A143" s="73"/>
      <c r="B143" s="66"/>
      <c r="C143" s="74"/>
      <c r="D143" s="75"/>
      <c r="E143" s="76"/>
      <c r="F143" s="77"/>
      <c r="G143" s="78"/>
      <c r="H143" s="188"/>
      <c r="I143" s="183"/>
      <c r="J143" s="180"/>
      <c r="K143" s="80"/>
    </row>
    <row r="144" spans="1:11">
      <c r="A144" s="73"/>
      <c r="B144" s="66"/>
      <c r="C144" s="74"/>
      <c r="D144" s="75"/>
      <c r="E144" s="76"/>
      <c r="F144" s="77"/>
      <c r="G144" s="78"/>
      <c r="H144" s="188"/>
      <c r="I144" s="183"/>
      <c r="J144" s="180"/>
      <c r="K144" s="80"/>
    </row>
    <row r="145" spans="1:11">
      <c r="A145" s="73"/>
      <c r="B145" s="66"/>
      <c r="C145" s="74"/>
      <c r="D145" s="75"/>
      <c r="E145" s="76"/>
      <c r="F145" s="77"/>
      <c r="G145" s="78"/>
      <c r="H145" s="188"/>
      <c r="I145" s="183"/>
      <c r="J145" s="180"/>
      <c r="K145" s="80"/>
    </row>
    <row r="146" spans="1:11">
      <c r="A146" s="73"/>
      <c r="B146" s="66"/>
      <c r="C146" s="74"/>
      <c r="D146" s="75"/>
      <c r="E146" s="76"/>
      <c r="F146" s="77"/>
      <c r="G146" s="78"/>
      <c r="H146" s="188"/>
      <c r="I146" s="183"/>
      <c r="J146" s="180"/>
      <c r="K146" s="80"/>
    </row>
    <row r="147" spans="1:11">
      <c r="A147" s="73"/>
      <c r="B147" s="66"/>
      <c r="C147" s="74"/>
      <c r="D147" s="75"/>
      <c r="E147" s="76"/>
      <c r="F147" s="77"/>
      <c r="G147" s="78"/>
      <c r="H147" s="188"/>
      <c r="I147" s="183"/>
      <c r="J147" s="180"/>
      <c r="K147" s="80"/>
    </row>
    <row r="148" spans="1:11">
      <c r="A148" s="73"/>
      <c r="B148" s="66"/>
      <c r="C148" s="74"/>
      <c r="D148" s="75"/>
      <c r="E148" s="76"/>
      <c r="F148" s="77"/>
      <c r="G148" s="78"/>
      <c r="H148" s="188"/>
      <c r="I148" s="183"/>
      <c r="J148" s="180"/>
      <c r="K148" s="80"/>
    </row>
    <row r="149" spans="1:11">
      <c r="A149" s="73"/>
      <c r="B149" s="66"/>
      <c r="C149" s="74"/>
      <c r="D149" s="75"/>
      <c r="E149" s="76"/>
      <c r="F149" s="77"/>
      <c r="G149" s="78"/>
      <c r="H149" s="188"/>
      <c r="I149" s="183"/>
      <c r="J149" s="180"/>
      <c r="K149" s="80"/>
    </row>
    <row r="150" spans="1:11">
      <c r="A150" s="73"/>
      <c r="B150" s="66"/>
      <c r="C150" s="74"/>
      <c r="D150" s="75"/>
      <c r="E150" s="76"/>
      <c r="F150" s="77"/>
      <c r="G150" s="78"/>
      <c r="H150" s="188"/>
      <c r="I150" s="183"/>
      <c r="J150" s="180"/>
      <c r="K150" s="80"/>
    </row>
    <row r="151" spans="1:11">
      <c r="A151" s="73"/>
      <c r="B151" s="66"/>
      <c r="C151" s="74"/>
      <c r="D151" s="75"/>
      <c r="E151" s="76"/>
      <c r="F151" s="77"/>
      <c r="G151" s="78"/>
      <c r="H151" s="188"/>
      <c r="I151" s="183"/>
      <c r="J151" s="180"/>
      <c r="K151" s="80"/>
    </row>
    <row r="152" spans="1:11">
      <c r="A152" s="73"/>
      <c r="B152" s="66"/>
      <c r="C152" s="74"/>
      <c r="D152" s="75"/>
      <c r="E152" s="76"/>
      <c r="F152" s="77"/>
      <c r="G152" s="78"/>
      <c r="H152" s="188"/>
      <c r="I152" s="183"/>
      <c r="J152" s="180"/>
      <c r="K152" s="80"/>
    </row>
    <row r="153" spans="1:11">
      <c r="A153" s="73"/>
      <c r="B153" s="66"/>
      <c r="C153" s="74"/>
      <c r="D153" s="75"/>
      <c r="E153" s="76"/>
      <c r="F153" s="77"/>
      <c r="G153" s="78"/>
      <c r="H153" s="188"/>
      <c r="I153" s="183"/>
      <c r="J153" s="180"/>
      <c r="K153" s="80"/>
    </row>
    <row r="154" spans="1:11">
      <c r="A154" s="73"/>
      <c r="B154" s="66"/>
      <c r="C154" s="74"/>
      <c r="D154" s="75"/>
      <c r="E154" s="76"/>
      <c r="F154" s="77"/>
      <c r="G154" s="78"/>
      <c r="H154" s="188"/>
      <c r="I154" s="183"/>
      <c r="J154" s="180"/>
      <c r="K154" s="80"/>
    </row>
    <row r="155" spans="1:11">
      <c r="A155" s="73"/>
      <c r="B155" s="66"/>
      <c r="C155" s="74"/>
      <c r="D155" s="75"/>
      <c r="E155" s="76"/>
      <c r="F155" s="77"/>
      <c r="G155" s="78"/>
      <c r="H155" s="188"/>
      <c r="I155" s="183"/>
      <c r="J155" s="180"/>
      <c r="K155" s="80"/>
    </row>
    <row r="156" spans="1:11">
      <c r="A156" s="73"/>
      <c r="B156" s="66"/>
      <c r="C156" s="74"/>
      <c r="D156" s="75"/>
      <c r="E156" s="76"/>
      <c r="F156" s="82"/>
      <c r="G156" s="78"/>
      <c r="H156" s="184"/>
      <c r="I156" s="182"/>
      <c r="J156" s="180"/>
      <c r="K156" s="80"/>
    </row>
    <row r="157" spans="1:11" ht="13">
      <c r="A157" s="66"/>
      <c r="B157" s="67"/>
      <c r="C157" s="74"/>
      <c r="D157" s="75"/>
      <c r="E157" s="76"/>
      <c r="F157" s="82"/>
      <c r="G157" s="78"/>
      <c r="H157" s="184"/>
      <c r="I157" s="182"/>
      <c r="J157" s="180"/>
      <c r="K157" s="80"/>
    </row>
    <row r="158" spans="1:11">
      <c r="A158" s="83"/>
      <c r="B158" s="81"/>
      <c r="C158" s="74"/>
      <c r="D158" s="75"/>
      <c r="E158" s="76"/>
      <c r="F158" s="77"/>
      <c r="G158" s="78"/>
      <c r="H158" s="188"/>
      <c r="I158" s="185"/>
      <c r="J158" s="180"/>
      <c r="K158" s="80"/>
    </row>
    <row r="159" spans="1:11">
      <c r="A159" s="83"/>
      <c r="B159" s="81"/>
      <c r="C159" s="74"/>
      <c r="D159" s="75"/>
      <c r="E159" s="76"/>
      <c r="F159" s="77"/>
      <c r="G159" s="78"/>
      <c r="H159" s="188"/>
      <c r="I159" s="185"/>
      <c r="J159" s="180"/>
      <c r="K159" s="80"/>
    </row>
    <row r="160" spans="1:11">
      <c r="A160" s="83"/>
      <c r="B160" s="81"/>
      <c r="C160" s="74"/>
      <c r="D160" s="75"/>
      <c r="E160" s="76"/>
      <c r="F160" s="77"/>
      <c r="G160" s="78"/>
      <c r="H160" s="188"/>
      <c r="I160" s="185"/>
      <c r="J160" s="180"/>
      <c r="K160" s="80"/>
    </row>
    <row r="161" spans="1:14">
      <c r="A161" s="83"/>
      <c r="B161" s="81"/>
      <c r="C161" s="74"/>
      <c r="D161" s="75"/>
      <c r="E161" s="76"/>
      <c r="F161" s="77"/>
      <c r="G161" s="78"/>
      <c r="H161" s="188"/>
      <c r="I161" s="185"/>
      <c r="J161" s="180"/>
      <c r="K161" s="80"/>
    </row>
    <row r="162" spans="1:14" ht="13">
      <c r="A162" s="72"/>
      <c r="B162" s="85"/>
      <c r="C162" s="64"/>
      <c r="D162" s="86"/>
      <c r="E162" s="65"/>
      <c r="F162" s="87"/>
      <c r="G162" s="87"/>
      <c r="H162" s="186"/>
      <c r="I162" s="187"/>
      <c r="J162" s="181"/>
      <c r="K162" s="89"/>
    </row>
    <row r="163" spans="1:14">
      <c r="A163" s="99" t="s">
        <v>287</v>
      </c>
      <c r="B163" s="100"/>
      <c r="C163" s="103"/>
      <c r="D163" s="101"/>
      <c r="E163" s="103"/>
      <c r="F163" s="170"/>
      <c r="G163" s="99" t="s">
        <v>288</v>
      </c>
      <c r="H163" s="100"/>
      <c r="I163" s="99" t="s">
        <v>289</v>
      </c>
      <c r="J163" s="100"/>
      <c r="K163" s="105"/>
    </row>
    <row r="164" spans="1:14" s="259" customFormat="1" ht="15" customHeight="1">
      <c r="A164" s="268"/>
      <c r="B164" s="269"/>
      <c r="C164" s="269"/>
      <c r="D164" s="270"/>
      <c r="E164" s="269"/>
      <c r="F164" s="271"/>
      <c r="G164" s="472"/>
      <c r="H164" s="473"/>
      <c r="I164" s="469"/>
      <c r="J164" s="470"/>
      <c r="K164" s="471"/>
    </row>
    <row r="165" spans="1:14" s="91" customFormat="1">
      <c r="A165" s="171" t="s">
        <v>290</v>
      </c>
      <c r="B165" s="172"/>
      <c r="C165" s="173" t="s">
        <v>291</v>
      </c>
      <c r="D165" s="174"/>
      <c r="E165" s="102" t="s">
        <v>292</v>
      </c>
      <c r="F165" s="175"/>
      <c r="G165" s="102" t="s">
        <v>293</v>
      </c>
      <c r="H165" s="103"/>
      <c r="I165" s="102" t="s">
        <v>294</v>
      </c>
      <c r="J165" s="103"/>
      <c r="K165" s="104"/>
      <c r="M165" s="40"/>
      <c r="N165" s="40"/>
    </row>
    <row r="166" spans="1:14" s="259" customFormat="1" ht="15" customHeight="1">
      <c r="A166" s="472">
        <f>SUM($G$15:$G$162)</f>
        <v>900</v>
      </c>
      <c r="B166" s="473"/>
      <c r="C166" s="476">
        <f>SUM($J$15:$J$162)</f>
        <v>61</v>
      </c>
      <c r="D166" s="473"/>
      <c r="E166" s="472">
        <v>8</v>
      </c>
      <c r="F166" s="473"/>
      <c r="G166" s="472" t="s">
        <v>464</v>
      </c>
      <c r="H166" s="473"/>
      <c r="I166" s="469"/>
      <c r="J166" s="470"/>
      <c r="K166" s="471"/>
    </row>
    <row r="167" spans="1:14" s="91" customFormat="1">
      <c r="A167" s="99" t="s">
        <v>295</v>
      </c>
      <c r="B167" s="105"/>
      <c r="C167" s="102" t="s">
        <v>296</v>
      </c>
      <c r="D167" s="106"/>
      <c r="E167" s="173" t="s">
        <v>404</v>
      </c>
      <c r="G167" s="102" t="s">
        <v>297</v>
      </c>
      <c r="H167" s="103"/>
      <c r="I167" s="103"/>
      <c r="J167" s="100"/>
      <c r="K167" s="105"/>
      <c r="M167" s="40"/>
      <c r="N167" s="40"/>
    </row>
    <row r="168" spans="1:14" s="259" customFormat="1" ht="15" customHeight="1">
      <c r="A168" s="474">
        <f>SUM(H15:$H$162)</f>
        <v>426</v>
      </c>
      <c r="B168" s="475"/>
      <c r="C168" s="474">
        <f>SUM($I$15:$I$162)</f>
        <v>470.41666666666669</v>
      </c>
      <c r="D168" s="475"/>
      <c r="E168" s="474">
        <f>SUM(I13:I59)+IF($G$166="80X120",20*$E$166,25*$E$166)</f>
        <v>670.41666666666674</v>
      </c>
      <c r="F168" s="475"/>
      <c r="G168" s="260"/>
      <c r="H168" s="261"/>
      <c r="I168" s="262"/>
      <c r="J168" s="262"/>
      <c r="K168" s="263"/>
    </row>
    <row r="169" spans="1:14" ht="15.5">
      <c r="A169" s="102" t="s">
        <v>298</v>
      </c>
      <c r="B169" s="103"/>
      <c r="C169" s="103"/>
      <c r="D169" s="103"/>
      <c r="E169" s="98"/>
      <c r="F169" s="38"/>
      <c r="G169" s="260"/>
      <c r="H169" s="261"/>
      <c r="I169" s="261"/>
      <c r="J169" s="272"/>
      <c r="K169" s="273"/>
    </row>
    <row r="170" spans="1:14" ht="15.5">
      <c r="A170" s="264"/>
      <c r="B170" s="265"/>
      <c r="C170" s="261"/>
      <c r="D170" s="262"/>
      <c r="E170" s="261"/>
      <c r="F170" s="266"/>
      <c r="G170" s="260"/>
      <c r="H170" s="261"/>
      <c r="I170" s="261"/>
      <c r="J170" s="261"/>
      <c r="K170" s="273"/>
    </row>
    <row r="171" spans="1:14" ht="15.5">
      <c r="A171" s="264"/>
      <c r="B171" s="261"/>
      <c r="C171" s="261"/>
      <c r="D171" s="267"/>
      <c r="E171" s="261"/>
      <c r="F171" s="266"/>
      <c r="G171" s="260"/>
      <c r="H171" s="261"/>
      <c r="I171" s="262"/>
      <c r="J171" s="262"/>
      <c r="K171" s="273"/>
    </row>
    <row r="172" spans="1:14" ht="15.5">
      <c r="A172" s="268"/>
      <c r="B172" s="269"/>
      <c r="C172" s="269"/>
      <c r="D172" s="270"/>
      <c r="E172" s="269"/>
      <c r="F172" s="271"/>
      <c r="G172" s="274"/>
      <c r="H172" s="269"/>
      <c r="I172" s="275"/>
      <c r="J172" s="275"/>
      <c r="K172" s="276"/>
    </row>
    <row r="173" spans="1:14">
      <c r="A173" s="396" t="s">
        <v>277</v>
      </c>
      <c r="B173" s="397"/>
      <c r="C173" s="397"/>
      <c r="D173" s="397"/>
      <c r="E173" s="397"/>
      <c r="F173" s="397"/>
      <c r="G173" s="397"/>
      <c r="H173" s="397"/>
      <c r="I173" s="397"/>
      <c r="J173" s="397"/>
      <c r="K173" s="398"/>
    </row>
    <row r="174" spans="1:14" s="91" customFormat="1" ht="10.5" customHeight="1">
      <c r="A174" s="399" t="s">
        <v>278</v>
      </c>
      <c r="B174" s="400"/>
      <c r="C174" s="400"/>
      <c r="D174" s="400"/>
      <c r="E174" s="400"/>
      <c r="F174" s="400"/>
      <c r="G174" s="400"/>
      <c r="H174" s="400"/>
      <c r="I174" s="400"/>
      <c r="J174" s="400"/>
      <c r="K174" s="401"/>
      <c r="M174" s="40"/>
      <c r="N174" s="40"/>
    </row>
    <row r="175" spans="1:14" s="93" customFormat="1" ht="7.5" customHeight="1">
      <c r="A175" s="396" t="s">
        <v>279</v>
      </c>
      <c r="B175" s="403" t="s">
        <v>280</v>
      </c>
      <c r="C175" s="403"/>
      <c r="D175" s="403"/>
      <c r="E175" s="403"/>
      <c r="F175" s="403"/>
      <c r="G175" s="403"/>
      <c r="H175" s="403"/>
      <c r="I175" s="403"/>
      <c r="J175" s="403"/>
      <c r="K175" s="404"/>
      <c r="M175" s="40"/>
      <c r="N175" s="40"/>
    </row>
    <row r="176" spans="1:14">
      <c r="A176" s="402"/>
      <c r="B176" s="405"/>
      <c r="C176" s="405"/>
      <c r="D176" s="405"/>
      <c r="E176" s="405"/>
      <c r="F176" s="405"/>
      <c r="G176" s="405"/>
      <c r="H176" s="405"/>
      <c r="I176" s="405"/>
      <c r="J176" s="405"/>
      <c r="K176" s="406"/>
    </row>
    <row r="177" spans="1:11" s="93" customFormat="1" ht="10">
      <c r="A177" s="389" t="s">
        <v>281</v>
      </c>
      <c r="B177" s="389"/>
      <c r="C177" s="389"/>
      <c r="D177" s="389"/>
      <c r="E177" s="389"/>
      <c r="F177" s="389"/>
      <c r="G177" s="389"/>
      <c r="H177" s="389"/>
      <c r="I177" s="389"/>
      <c r="J177" s="389"/>
      <c r="K177" s="389"/>
    </row>
    <row r="178" spans="1:11">
      <c r="A178" s="390" t="s">
        <v>282</v>
      </c>
      <c r="B178" s="390"/>
      <c r="C178" s="390"/>
      <c r="D178" s="390"/>
      <c r="E178" s="390"/>
      <c r="F178" s="390"/>
      <c r="G178" s="390"/>
      <c r="H178" s="390"/>
      <c r="I178" s="390"/>
      <c r="J178" s="390"/>
      <c r="K178" s="390"/>
    </row>
    <row r="179" spans="1:11">
      <c r="A179" s="390" t="s">
        <v>283</v>
      </c>
      <c r="B179" s="391"/>
      <c r="C179" s="391"/>
      <c r="D179" s="391"/>
      <c r="E179" s="391"/>
      <c r="F179" s="391"/>
      <c r="G179" s="391"/>
      <c r="H179" s="391"/>
      <c r="I179" s="391"/>
      <c r="J179" s="391"/>
      <c r="K179" s="391"/>
    </row>
    <row r="181" spans="1:11" s="51" customFormat="1">
      <c r="A181" s="40"/>
      <c r="B181" s="40"/>
      <c r="C181" s="40"/>
      <c r="D181" s="94"/>
      <c r="E181" s="40"/>
      <c r="F181" s="95"/>
      <c r="G181" s="40"/>
      <c r="H181" s="40"/>
      <c r="I181" s="53"/>
      <c r="J181" s="96"/>
      <c r="K181" s="97"/>
    </row>
    <row r="182" spans="1:11" s="51" customFormat="1">
      <c r="A182" s="40"/>
      <c r="B182" s="40"/>
      <c r="C182" s="40"/>
      <c r="D182" s="94"/>
      <c r="E182" s="40"/>
      <c r="F182" s="95"/>
      <c r="G182" s="40"/>
      <c r="I182" s="53"/>
      <c r="J182" s="96"/>
      <c r="K182" s="40"/>
    </row>
    <row r="183" spans="1:11" s="51" customFormat="1">
      <c r="A183" s="40"/>
      <c r="B183" s="40"/>
      <c r="C183" s="40"/>
      <c r="D183" s="94"/>
      <c r="E183" s="40"/>
      <c r="F183" s="95"/>
      <c r="G183" s="40"/>
      <c r="I183" s="53"/>
      <c r="J183" s="96"/>
      <c r="K183" s="40"/>
    </row>
    <row r="184" spans="1:11" s="51" customFormat="1">
      <c r="A184" s="40"/>
      <c r="B184" s="40"/>
      <c r="C184" s="40"/>
      <c r="D184" s="94"/>
      <c r="E184" s="40"/>
      <c r="F184" s="95"/>
      <c r="G184" s="40"/>
      <c r="I184" s="53"/>
      <c r="J184" s="96"/>
      <c r="K184" s="40"/>
    </row>
    <row r="185" spans="1:11" s="51" customFormat="1">
      <c r="A185" s="40"/>
      <c r="B185" s="40"/>
      <c r="C185" s="40"/>
      <c r="D185" s="94"/>
      <c r="E185" s="40"/>
      <c r="F185" s="95"/>
      <c r="G185" s="40"/>
      <c r="I185" s="53"/>
      <c r="J185" s="96"/>
      <c r="K185" s="40"/>
    </row>
    <row r="186" spans="1:11" s="51" customFormat="1">
      <c r="A186" s="40"/>
      <c r="B186" s="40"/>
      <c r="C186" s="40"/>
      <c r="D186" s="94"/>
      <c r="E186" s="40"/>
      <c r="F186" s="95"/>
      <c r="G186" s="40"/>
      <c r="I186" s="53"/>
      <c r="J186" s="96"/>
      <c r="K186" s="40"/>
    </row>
    <row r="187" spans="1:11" s="51" customFormat="1">
      <c r="A187" s="40"/>
      <c r="B187" s="40"/>
      <c r="C187" s="40"/>
      <c r="D187" s="94"/>
      <c r="E187" s="40"/>
      <c r="F187" s="95"/>
      <c r="G187" s="40"/>
      <c r="I187" s="53"/>
      <c r="J187" s="96"/>
      <c r="K187" s="40"/>
    </row>
    <row r="188" spans="1:11" s="51" customFormat="1">
      <c r="A188" s="40"/>
      <c r="B188" s="40"/>
      <c r="C188" s="40"/>
      <c r="D188" s="94"/>
      <c r="E188" s="40"/>
      <c r="F188" s="95"/>
      <c r="G188" s="40"/>
      <c r="I188" s="53"/>
      <c r="J188" s="96"/>
      <c r="K188" s="40"/>
    </row>
    <row r="189" spans="1:11" s="51" customFormat="1">
      <c r="A189" s="40"/>
      <c r="B189" s="40"/>
      <c r="C189" s="40"/>
      <c r="D189" s="94"/>
      <c r="E189" s="40"/>
      <c r="F189" s="95"/>
      <c r="G189" s="40"/>
      <c r="I189" s="53"/>
      <c r="J189" s="96"/>
      <c r="K189" s="40"/>
    </row>
    <row r="190" spans="1:11" s="51" customFormat="1">
      <c r="A190" s="40"/>
      <c r="B190" s="40"/>
      <c r="C190" s="40"/>
      <c r="D190" s="94"/>
      <c r="E190" s="40"/>
      <c r="F190" s="95"/>
      <c r="G190" s="40"/>
      <c r="I190" s="53"/>
      <c r="J190" s="96"/>
      <c r="K190" s="40"/>
    </row>
    <row r="191" spans="1:11" s="51" customFormat="1">
      <c r="A191" s="40"/>
      <c r="B191" s="40"/>
      <c r="C191" s="40"/>
      <c r="D191" s="94"/>
      <c r="E191" s="40"/>
      <c r="F191" s="95"/>
      <c r="G191" s="40"/>
      <c r="I191" s="53"/>
      <c r="J191" s="96"/>
      <c r="K191" s="40"/>
    </row>
    <row r="192" spans="1:11">
      <c r="K192" s="40"/>
    </row>
  </sheetData>
  <mergeCells count="36">
    <mergeCell ref="I166:K166"/>
    <mergeCell ref="I164:K164"/>
    <mergeCell ref="G164:H164"/>
    <mergeCell ref="A168:B168"/>
    <mergeCell ref="G166:H166"/>
    <mergeCell ref="C168:D168"/>
    <mergeCell ref="E168:F168"/>
    <mergeCell ref="E166:F166"/>
    <mergeCell ref="C166:D166"/>
    <mergeCell ref="A166:B166"/>
    <mergeCell ref="A177:K177"/>
    <mergeCell ref="A178:K178"/>
    <mergeCell ref="A179:K179"/>
    <mergeCell ref="A173:K173"/>
    <mergeCell ref="A174:K174"/>
    <mergeCell ref="A175:A176"/>
    <mergeCell ref="B175:K176"/>
    <mergeCell ref="J12:J14"/>
    <mergeCell ref="K12:K14"/>
    <mergeCell ref="A12:A14"/>
    <mergeCell ref="B12:E14"/>
    <mergeCell ref="F12:F14"/>
    <mergeCell ref="G12:G14"/>
    <mergeCell ref="H12:H14"/>
    <mergeCell ref="I12:I14"/>
    <mergeCell ref="A9:B9"/>
    <mergeCell ref="C9:D9"/>
    <mergeCell ref="E9:F9"/>
    <mergeCell ref="G9:I9"/>
    <mergeCell ref="J9:K9"/>
    <mergeCell ref="A1:B1"/>
    <mergeCell ref="H1:J1"/>
    <mergeCell ref="A8:B8"/>
    <mergeCell ref="C8:D8"/>
    <mergeCell ref="G8:I8"/>
    <mergeCell ref="J8:K8"/>
  </mergeCells>
  <conditionalFormatting sqref="A15:K162">
    <cfRule type="expression" dxfId="42" priority="1">
      <formula>MOD(ROW(),2)=0</formula>
    </cfRule>
  </conditionalFormatting>
  <dataValidations count="2">
    <dataValidation type="list" allowBlank="1" showInputMessage="1" showErrorMessage="1" sqref="E9:F9">
      <formula1>"GROUND,SEA,AIR"</formula1>
    </dataValidation>
    <dataValidation type="list" allowBlank="1" showInputMessage="1" showErrorMessage="1" sqref="G166:H166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9">
    <pageSetUpPr fitToPage="1"/>
  </sheetPr>
  <dimension ref="A1:K71"/>
  <sheetViews>
    <sheetView topLeftCell="A19" workbookViewId="0">
      <selection activeCell="K6" sqref="K6"/>
    </sheetView>
  </sheetViews>
  <sheetFormatPr defaultColWidth="9.1796875" defaultRowHeight="14.5"/>
  <cols>
    <col min="1" max="1" width="8.26953125" style="109" customWidth="1"/>
    <col min="2" max="2" width="31.81640625" style="109" customWidth="1"/>
    <col min="3" max="3" width="19.54296875" style="109" customWidth="1"/>
    <col min="4" max="4" width="10" style="109" customWidth="1"/>
    <col min="5" max="6" width="8.81640625" style="109" customWidth="1"/>
    <col min="7" max="7" width="15.81640625" style="109" customWidth="1"/>
    <col min="8" max="9" width="16.7265625" style="109" customWidth="1"/>
    <col min="10" max="10" width="5.7265625" style="109" customWidth="1"/>
    <col min="11" max="16384" width="9.1796875" style="109"/>
  </cols>
  <sheetData>
    <row r="1" spans="1:11" ht="20">
      <c r="A1" s="107"/>
      <c r="B1" s="108"/>
      <c r="C1" s="108"/>
      <c r="D1" s="108"/>
      <c r="E1" s="550" t="s">
        <v>68</v>
      </c>
      <c r="F1" s="551"/>
      <c r="G1" s="551"/>
      <c r="H1" s="551"/>
      <c r="I1" s="551"/>
      <c r="J1" s="108"/>
      <c r="K1" s="108"/>
    </row>
    <row r="2" spans="1:11" ht="12.75" customHeight="1">
      <c r="A2" s="107"/>
      <c r="B2" s="108" t="s">
        <v>69</v>
      </c>
      <c r="C2" s="108"/>
      <c r="D2" s="108"/>
      <c r="E2" s="110"/>
      <c r="F2" s="111"/>
      <c r="G2" s="111"/>
      <c r="H2" s="111"/>
      <c r="I2" s="111"/>
      <c r="J2" s="108"/>
      <c r="K2" s="108"/>
    </row>
    <row r="3" spans="1:11" ht="12.75" customHeight="1">
      <c r="A3" s="107"/>
      <c r="B3" s="483" t="s">
        <v>70</v>
      </c>
      <c r="C3" s="485"/>
      <c r="D3" s="484"/>
      <c r="E3" s="483" t="s">
        <v>71</v>
      </c>
      <c r="F3" s="485"/>
      <c r="G3" s="485"/>
      <c r="H3" s="485"/>
      <c r="I3" s="484"/>
      <c r="J3" s="552" t="s">
        <v>72</v>
      </c>
      <c r="K3" s="108"/>
    </row>
    <row r="4" spans="1:11" ht="20.5">
      <c r="A4" s="107"/>
      <c r="B4" s="112" t="s">
        <v>73</v>
      </c>
      <c r="C4" s="113"/>
      <c r="D4" s="114"/>
      <c r="E4" s="521"/>
      <c r="F4" s="529"/>
      <c r="G4" s="529"/>
      <c r="H4" s="529"/>
      <c r="I4" s="522"/>
      <c r="J4" s="552"/>
      <c r="K4" s="108"/>
    </row>
    <row r="5" spans="1:11" ht="20.5">
      <c r="A5" s="107"/>
      <c r="B5" s="112" t="s">
        <v>136</v>
      </c>
      <c r="C5" s="113"/>
      <c r="D5" s="114"/>
      <c r="E5" s="555" t="s">
        <v>74</v>
      </c>
      <c r="F5" s="485"/>
      <c r="G5" s="484"/>
      <c r="H5" s="115" t="s">
        <v>75</v>
      </c>
      <c r="I5" s="116"/>
      <c r="J5" s="552"/>
      <c r="K5" s="108"/>
    </row>
    <row r="6" spans="1:11" ht="20.5">
      <c r="A6" s="107"/>
      <c r="B6" s="112" t="s">
        <v>137</v>
      </c>
      <c r="C6" s="113"/>
      <c r="D6" s="114"/>
      <c r="E6" s="117" t="s">
        <v>76</v>
      </c>
      <c r="F6" s="118">
        <v>1</v>
      </c>
      <c r="G6" s="119" t="s">
        <v>77</v>
      </c>
      <c r="H6" s="497"/>
      <c r="I6" s="493"/>
      <c r="J6" s="552"/>
      <c r="K6" s="108"/>
    </row>
    <row r="7" spans="1:11" ht="20.5">
      <c r="A7" s="107"/>
      <c r="B7" s="112" t="s">
        <v>138</v>
      </c>
      <c r="C7" s="113"/>
      <c r="D7" s="114"/>
      <c r="E7" s="483" t="s">
        <v>78</v>
      </c>
      <c r="F7" s="485"/>
      <c r="G7" s="484"/>
      <c r="H7" s="115" t="s">
        <v>79</v>
      </c>
      <c r="I7" s="116"/>
      <c r="J7" s="552"/>
      <c r="K7" s="108"/>
    </row>
    <row r="8" spans="1:11">
      <c r="A8" s="107"/>
      <c r="B8" s="483" t="s">
        <v>80</v>
      </c>
      <c r="C8" s="485"/>
      <c r="D8" s="484"/>
      <c r="E8" s="483" t="s">
        <v>81</v>
      </c>
      <c r="F8" s="485"/>
      <c r="G8" s="485"/>
      <c r="H8" s="485"/>
      <c r="I8" s="484"/>
      <c r="J8" s="552"/>
      <c r="K8" s="108"/>
    </row>
    <row r="9" spans="1:11" ht="20.5">
      <c r="A9" s="107"/>
      <c r="B9" s="112"/>
      <c r="C9" s="113"/>
      <c r="D9" s="114"/>
      <c r="E9" s="526"/>
      <c r="F9" s="527"/>
      <c r="G9" s="527"/>
      <c r="H9" s="527"/>
      <c r="I9" s="528"/>
      <c r="J9" s="552"/>
      <c r="K9" s="108"/>
    </row>
    <row r="10" spans="1:11" ht="20.5">
      <c r="A10" s="107"/>
      <c r="B10" s="112"/>
      <c r="C10" s="113"/>
      <c r="D10" s="114"/>
      <c r="E10" s="526"/>
      <c r="F10" s="527"/>
      <c r="G10" s="527"/>
      <c r="H10" s="527"/>
      <c r="I10" s="528"/>
      <c r="J10" s="552"/>
      <c r="K10" s="108"/>
    </row>
    <row r="11" spans="1:11" ht="20.5">
      <c r="A11" s="107"/>
      <c r="B11" s="112"/>
      <c r="C11" s="113"/>
      <c r="D11" s="114"/>
      <c r="E11" s="526"/>
      <c r="F11" s="527"/>
      <c r="G11" s="527"/>
      <c r="H11" s="527"/>
      <c r="I11" s="528"/>
      <c r="J11" s="552"/>
      <c r="K11" s="108"/>
    </row>
    <row r="12" spans="1:11" ht="20.5">
      <c r="A12" s="107"/>
      <c r="B12" s="112"/>
      <c r="C12" s="113"/>
      <c r="D12" s="114"/>
      <c r="E12" s="526"/>
      <c r="F12" s="527"/>
      <c r="G12" s="527"/>
      <c r="H12" s="527"/>
      <c r="I12" s="528"/>
      <c r="J12" s="552"/>
      <c r="K12" s="108"/>
    </row>
    <row r="13" spans="1:11" ht="20.5">
      <c r="A13" s="107"/>
      <c r="B13" s="112"/>
      <c r="C13" s="113"/>
      <c r="D13" s="114"/>
      <c r="E13" s="523" t="s">
        <v>82</v>
      </c>
      <c r="F13" s="524"/>
      <c r="G13" s="524"/>
      <c r="H13" s="524"/>
      <c r="I13" s="559"/>
      <c r="J13" s="552"/>
      <c r="K13" s="108"/>
    </row>
    <row r="14" spans="1:11">
      <c r="A14" s="107"/>
      <c r="B14" s="483" t="s">
        <v>83</v>
      </c>
      <c r="C14" s="485"/>
      <c r="D14" s="484"/>
      <c r="E14" s="556" t="s">
        <v>84</v>
      </c>
      <c r="F14" s="557"/>
      <c r="G14" s="557"/>
      <c r="H14" s="557"/>
      <c r="I14" s="558"/>
      <c r="J14" s="552"/>
      <c r="K14" s="108"/>
    </row>
    <row r="15" spans="1:11">
      <c r="A15" s="107"/>
      <c r="B15" s="526"/>
      <c r="C15" s="527"/>
      <c r="D15" s="528"/>
      <c r="E15" s="560" t="s">
        <v>85</v>
      </c>
      <c r="F15" s="561"/>
      <c r="G15" s="561"/>
      <c r="H15" s="561"/>
      <c r="I15" s="562"/>
      <c r="J15" s="552"/>
      <c r="K15" s="108"/>
    </row>
    <row r="16" spans="1:11">
      <c r="A16" s="107"/>
      <c r="B16" s="526"/>
      <c r="C16" s="527"/>
      <c r="D16" s="528"/>
      <c r="E16" s="560"/>
      <c r="F16" s="561"/>
      <c r="G16" s="561"/>
      <c r="H16" s="561"/>
      <c r="I16" s="562"/>
      <c r="J16" s="552"/>
      <c r="K16" s="108"/>
    </row>
    <row r="17" spans="1:11">
      <c r="A17" s="107"/>
      <c r="B17" s="526"/>
      <c r="C17" s="527"/>
      <c r="D17" s="528"/>
      <c r="E17" s="560"/>
      <c r="F17" s="561"/>
      <c r="G17" s="561"/>
      <c r="H17" s="561"/>
      <c r="I17" s="562"/>
      <c r="J17" s="552"/>
      <c r="K17" s="108"/>
    </row>
    <row r="18" spans="1:11">
      <c r="A18" s="107"/>
      <c r="B18" s="521"/>
      <c r="C18" s="529"/>
      <c r="D18" s="522"/>
      <c r="E18" s="563"/>
      <c r="F18" s="564"/>
      <c r="G18" s="564"/>
      <c r="H18" s="564"/>
      <c r="I18" s="565"/>
      <c r="J18" s="552"/>
      <c r="K18" s="108"/>
    </row>
    <row r="19" spans="1:11">
      <c r="A19" s="533" t="s">
        <v>86</v>
      </c>
      <c r="B19" s="483" t="s">
        <v>87</v>
      </c>
      <c r="C19" s="485"/>
      <c r="D19" s="484"/>
      <c r="E19" s="535" t="s">
        <v>88</v>
      </c>
      <c r="F19" s="536"/>
      <c r="G19" s="536"/>
      <c r="H19" s="536"/>
      <c r="I19" s="537"/>
      <c r="J19" s="552"/>
      <c r="K19" s="108"/>
    </row>
    <row r="20" spans="1:11">
      <c r="A20" s="534"/>
      <c r="B20" s="526"/>
      <c r="C20" s="527"/>
      <c r="D20" s="528"/>
      <c r="E20" s="526"/>
      <c r="F20" s="527"/>
      <c r="G20" s="527"/>
      <c r="H20" s="527"/>
      <c r="I20" s="528"/>
      <c r="J20" s="552"/>
      <c r="K20" s="108"/>
    </row>
    <row r="21" spans="1:11" ht="15.5">
      <c r="A21" s="534"/>
      <c r="B21" s="526"/>
      <c r="C21" s="527"/>
      <c r="D21" s="528"/>
      <c r="E21" s="538" t="s">
        <v>89</v>
      </c>
      <c r="F21" s="539"/>
      <c r="G21" s="539"/>
      <c r="H21" s="539"/>
      <c r="I21" s="540"/>
      <c r="J21" s="552"/>
      <c r="K21" s="108"/>
    </row>
    <row r="22" spans="1:11">
      <c r="A22" s="534"/>
      <c r="B22" s="521"/>
      <c r="C22" s="529"/>
      <c r="D22" s="522"/>
      <c r="E22" s="526"/>
      <c r="F22" s="527"/>
      <c r="G22" s="527"/>
      <c r="H22" s="527"/>
      <c r="I22" s="528"/>
      <c r="J22" s="552"/>
      <c r="K22" s="108"/>
    </row>
    <row r="23" spans="1:11" ht="12.75" customHeight="1">
      <c r="A23" s="534"/>
      <c r="B23" s="120" t="s">
        <v>90</v>
      </c>
      <c r="C23" s="483" t="s">
        <v>91</v>
      </c>
      <c r="D23" s="484"/>
      <c r="E23" s="526"/>
      <c r="F23" s="527"/>
      <c r="G23" s="527"/>
      <c r="H23" s="527"/>
      <c r="I23" s="528"/>
      <c r="J23" s="552"/>
      <c r="K23" s="108"/>
    </row>
    <row r="24" spans="1:11">
      <c r="A24" s="534"/>
      <c r="B24" s="121"/>
      <c r="C24" s="546" t="s">
        <v>139</v>
      </c>
      <c r="D24" s="547"/>
      <c r="E24" s="526"/>
      <c r="F24" s="527"/>
      <c r="G24" s="527"/>
      <c r="H24" s="548" t="s">
        <v>299</v>
      </c>
      <c r="I24" s="549"/>
      <c r="J24" s="552"/>
      <c r="K24" s="108"/>
    </row>
    <row r="25" spans="1:11">
      <c r="A25" s="534"/>
      <c r="B25" s="120" t="s">
        <v>92</v>
      </c>
      <c r="C25" s="483" t="s">
        <v>93</v>
      </c>
      <c r="D25" s="484"/>
      <c r="E25" s="530" t="s">
        <v>94</v>
      </c>
      <c r="F25" s="531"/>
      <c r="G25" s="531"/>
      <c r="H25" s="531"/>
      <c r="I25" s="532"/>
      <c r="J25" s="552"/>
      <c r="K25" s="108"/>
    </row>
    <row r="26" spans="1:11" ht="20.25" customHeight="1">
      <c r="A26" s="534"/>
      <c r="B26" s="122"/>
      <c r="C26" s="521"/>
      <c r="D26" s="522"/>
      <c r="E26" s="523" t="s">
        <v>95</v>
      </c>
      <c r="F26" s="524"/>
      <c r="G26" s="123" t="s">
        <v>96</v>
      </c>
      <c r="H26" s="123" t="s">
        <v>97</v>
      </c>
      <c r="I26" s="119" t="s">
        <v>98</v>
      </c>
      <c r="J26" s="552"/>
      <c r="K26" s="108"/>
    </row>
    <row r="27" spans="1:11" ht="12.75" customHeight="1">
      <c r="A27" s="534"/>
      <c r="B27" s="124" t="s">
        <v>99</v>
      </c>
      <c r="C27" s="525" t="s">
        <v>100</v>
      </c>
      <c r="D27" s="525"/>
      <c r="E27" s="525"/>
      <c r="F27" s="525"/>
      <c r="G27" s="125" t="s">
        <v>101</v>
      </c>
      <c r="H27" s="125" t="s">
        <v>102</v>
      </c>
      <c r="I27" s="126" t="s">
        <v>103</v>
      </c>
      <c r="J27" s="552"/>
      <c r="K27" s="108"/>
    </row>
    <row r="28" spans="1:11">
      <c r="A28" s="534"/>
      <c r="B28" s="127"/>
      <c r="C28" s="128"/>
      <c r="D28" s="128"/>
      <c r="E28" s="128"/>
      <c r="F28" s="129"/>
      <c r="G28" s="130"/>
      <c r="H28" s="130"/>
      <c r="I28" s="131"/>
      <c r="J28" s="552"/>
      <c r="K28" s="108"/>
    </row>
    <row r="29" spans="1:11" ht="15.5">
      <c r="A29" s="534"/>
      <c r="B29" s="277" t="s">
        <v>104</v>
      </c>
      <c r="C29" s="133"/>
      <c r="D29" s="133"/>
      <c r="E29" s="133"/>
      <c r="F29" s="134"/>
      <c r="G29" s="135"/>
      <c r="H29" s="135"/>
      <c r="I29" s="136"/>
      <c r="J29" s="552"/>
      <c r="K29" s="108"/>
    </row>
    <row r="30" spans="1:11" ht="15.5">
      <c r="A30" s="534"/>
      <c r="B30" s="277" t="s">
        <v>105</v>
      </c>
      <c r="C30" s="133"/>
      <c r="D30" s="133"/>
      <c r="E30" s="133"/>
      <c r="F30" s="134"/>
      <c r="G30" s="135"/>
      <c r="H30" s="135"/>
      <c r="I30" s="136"/>
      <c r="J30" s="552"/>
      <c r="K30" s="108"/>
    </row>
    <row r="31" spans="1:11" ht="15.5">
      <c r="A31" s="534"/>
      <c r="B31" s="277" t="str">
        <f>CONCATENATE([1]dgn_calculation!E6," FIBREBOARD BOXES")</f>
        <v>24 FIBREBOARD BOXES</v>
      </c>
      <c r="C31" s="133"/>
      <c r="D31" s="133"/>
      <c r="E31" s="133"/>
      <c r="F31" s="134"/>
      <c r="G31" s="135"/>
      <c r="H31" s="135"/>
      <c r="I31" s="136"/>
      <c r="J31" s="552"/>
      <c r="K31" s="108"/>
    </row>
    <row r="32" spans="1:11" ht="15.5">
      <c r="A32" s="534"/>
      <c r="B32" s="277" t="e">
        <f>CONCATENATE(dgn_calculation!C10," GLASS BOTTLES BY 50ML")</f>
        <v>#REF!</v>
      </c>
      <c r="C32" s="133"/>
      <c r="D32" s="133"/>
      <c r="E32" s="133"/>
      <c r="F32" s="134"/>
      <c r="G32" s="280" t="e">
        <f>dgn_calculation!D10</f>
        <v>#REF!</v>
      </c>
      <c r="H32" s="280" t="e">
        <f>dgn_calculation!E10</f>
        <v>#REF!</v>
      </c>
      <c r="I32" s="281" t="e">
        <f>dgn_calculation!F10</f>
        <v>#REF!</v>
      </c>
      <c r="J32" s="552"/>
      <c r="K32" s="108"/>
    </row>
    <row r="33" spans="1:11" ht="15.5">
      <c r="A33" s="534"/>
      <c r="B33" s="277" t="e">
        <f>CONCATENATE(dgn_calculation!C11," GLASS BOTTLES BY 100ML")</f>
        <v>#REF!</v>
      </c>
      <c r="C33" s="133"/>
      <c r="D33" s="133"/>
      <c r="E33" s="133"/>
      <c r="F33" s="134"/>
      <c r="G33" s="280" t="e">
        <f>dgn_calculation!D11</f>
        <v>#REF!</v>
      </c>
      <c r="H33" s="280" t="e">
        <f>dgn_calculation!E11</f>
        <v>#REF!</v>
      </c>
      <c r="I33" s="281" t="e">
        <f>dgn_calculation!F11</f>
        <v>#REF!</v>
      </c>
      <c r="J33" s="552"/>
      <c r="K33" s="108"/>
    </row>
    <row r="34" spans="1:11" ht="15.5">
      <c r="A34" s="534"/>
      <c r="B34" s="278"/>
      <c r="C34" s="133"/>
      <c r="D34" s="133"/>
      <c r="E34" s="133"/>
      <c r="F34" s="134"/>
      <c r="G34" s="280"/>
      <c r="H34" s="280"/>
      <c r="I34" s="281"/>
      <c r="J34" s="552"/>
      <c r="K34" s="108"/>
    </row>
    <row r="35" spans="1:11" ht="15.5">
      <c r="A35" s="534"/>
      <c r="B35" s="278" t="s">
        <v>141</v>
      </c>
      <c r="C35" s="133"/>
      <c r="D35" s="133"/>
      <c r="E35" s="133"/>
      <c r="F35" s="134"/>
      <c r="G35" s="280"/>
      <c r="H35" s="280"/>
      <c r="I35" s="281"/>
      <c r="J35" s="552"/>
      <c r="K35" s="108"/>
    </row>
    <row r="36" spans="1:11" ht="15.5">
      <c r="A36" s="534"/>
      <c r="B36" s="278" t="s">
        <v>106</v>
      </c>
      <c r="C36" s="133"/>
      <c r="D36" s="133"/>
      <c r="E36" s="133"/>
      <c r="F36" s="134"/>
      <c r="G36" s="280"/>
      <c r="H36" s="280"/>
      <c r="I36" s="281"/>
      <c r="J36" s="552"/>
      <c r="K36" s="108"/>
    </row>
    <row r="37" spans="1:11" ht="15.5">
      <c r="A37" s="534"/>
      <c r="B37" s="278" t="e">
        <f>CONCATENATE(dgn_calculation!I6," FIBREBOARD BOXES")</f>
        <v>#REF!</v>
      </c>
      <c r="C37" s="133"/>
      <c r="D37" s="133"/>
      <c r="E37" s="133"/>
      <c r="F37" s="134"/>
      <c r="G37" s="280"/>
      <c r="H37" s="280"/>
      <c r="I37" s="281"/>
      <c r="J37" s="552"/>
      <c r="K37" s="108"/>
    </row>
    <row r="38" spans="1:11" ht="15.5">
      <c r="A38" s="534"/>
      <c r="B38" s="278" t="e">
        <f>CONCATENATE(dgn_calculation!G14," GLASS BOTTLES BY 200ML")</f>
        <v>#REF!</v>
      </c>
      <c r="C38" s="133"/>
      <c r="D38" s="133"/>
      <c r="E38" s="133"/>
      <c r="F38" s="134"/>
      <c r="G38" s="280" t="e">
        <f>dgn_calculation!H14</f>
        <v>#REF!</v>
      </c>
      <c r="H38" s="280" t="e">
        <f>dgn_calculation!I14</f>
        <v>#REF!</v>
      </c>
      <c r="I38" s="281" t="e">
        <f>dgn_calculation!J14</f>
        <v>#REF!</v>
      </c>
      <c r="J38" s="552"/>
      <c r="K38" s="108"/>
    </row>
    <row r="39" spans="1:11" ht="15.5">
      <c r="A39" s="534"/>
      <c r="B39" s="279"/>
      <c r="C39" s="138"/>
      <c r="D39" s="138"/>
      <c r="E39" s="138"/>
      <c r="F39" s="139"/>
      <c r="G39" s="280"/>
      <c r="H39" s="280"/>
      <c r="I39" s="281"/>
      <c r="J39" s="552"/>
      <c r="K39" s="108"/>
    </row>
    <row r="40" spans="1:11" ht="15.5">
      <c r="A40" s="534"/>
      <c r="B40" s="278" t="s">
        <v>140</v>
      </c>
      <c r="C40" s="133"/>
      <c r="D40" s="133"/>
      <c r="E40" s="133"/>
      <c r="F40" s="134"/>
      <c r="G40" s="280"/>
      <c r="H40" s="280"/>
      <c r="I40" s="281"/>
      <c r="J40" s="552"/>
      <c r="K40" s="108"/>
    </row>
    <row r="41" spans="1:11" ht="15.5">
      <c r="A41" s="534"/>
      <c r="B41" s="278" t="s">
        <v>106</v>
      </c>
      <c r="C41" s="140"/>
      <c r="D41" s="140"/>
      <c r="E41" s="140"/>
      <c r="F41" s="134"/>
      <c r="G41" s="280"/>
      <c r="H41" s="280"/>
      <c r="I41" s="281"/>
      <c r="J41" s="552"/>
      <c r="K41" s="108"/>
    </row>
    <row r="42" spans="1:11" ht="15.5">
      <c r="A42" s="534"/>
      <c r="B42" s="278" t="e">
        <f>CONCATENATE(dgn_calculation!M6," FIBREBOARD BOXES")</f>
        <v>#REF!</v>
      </c>
      <c r="C42" s="133"/>
      <c r="D42" s="133"/>
      <c r="E42" s="133"/>
      <c r="F42" s="134"/>
      <c r="G42" s="280"/>
      <c r="H42" s="280"/>
      <c r="I42" s="281"/>
      <c r="J42" s="552"/>
      <c r="K42" s="108"/>
    </row>
    <row r="43" spans="1:11" ht="15.5">
      <c r="A43" s="534"/>
      <c r="B43" s="278" t="e">
        <f>CONCATENATE(dgn_calculation!K12," GLASS BOTTLES BY 150ML")</f>
        <v>#REF!</v>
      </c>
      <c r="C43" s="133"/>
      <c r="D43" s="133"/>
      <c r="E43" s="133"/>
      <c r="F43" s="134"/>
      <c r="G43" s="280" t="e">
        <f>dgn_calculation!L12</f>
        <v>#REF!</v>
      </c>
      <c r="H43" s="280" t="e">
        <f>dgn_calculation!M12</f>
        <v>#REF!</v>
      </c>
      <c r="I43" s="281" t="e">
        <f>dgn_calculation!N12</f>
        <v>#REF!</v>
      </c>
      <c r="J43" s="552"/>
      <c r="K43" s="108"/>
    </row>
    <row r="44" spans="1:11" ht="15.5">
      <c r="A44" s="534"/>
      <c r="B44" s="278" t="e">
        <f>CONCATENATE(dgn_calculation!K13," GLASS BOTTLES BY 175ML")</f>
        <v>#REF!</v>
      </c>
      <c r="C44" s="133"/>
      <c r="D44" s="133"/>
      <c r="E44" s="133"/>
      <c r="F44" s="134"/>
      <c r="G44" s="280" t="e">
        <f>dgn_calculation!L13</f>
        <v>#REF!</v>
      </c>
      <c r="H44" s="280" t="e">
        <f>dgn_calculation!M13</f>
        <v>#REF!</v>
      </c>
      <c r="I44" s="281" t="e">
        <f>dgn_calculation!N13</f>
        <v>#REF!</v>
      </c>
      <c r="J44" s="552"/>
      <c r="K44" s="108"/>
    </row>
    <row r="45" spans="1:11" ht="15.5">
      <c r="A45" s="534"/>
      <c r="B45" s="278" t="e">
        <f>CONCATENATE(dgn_calculation!K15," GLASS BOTTLES BY 250ML")</f>
        <v>#REF!</v>
      </c>
      <c r="C45" s="133"/>
      <c r="D45" s="133"/>
      <c r="E45" s="133"/>
      <c r="F45" s="134"/>
      <c r="G45" s="280" t="e">
        <f>dgn_calculation!L15</f>
        <v>#REF!</v>
      </c>
      <c r="H45" s="280" t="e">
        <f>dgn_calculation!M15</f>
        <v>#REF!</v>
      </c>
      <c r="I45" s="281" t="e">
        <f>dgn_calculation!N15</f>
        <v>#REF!</v>
      </c>
      <c r="J45" s="552"/>
      <c r="K45" s="108"/>
    </row>
    <row r="46" spans="1:11" ht="15.5">
      <c r="A46" s="534"/>
      <c r="B46" s="278" t="e">
        <f>CONCATENATE(dgn_calculation!K16," GLASS BOTTLES BY 300ML")</f>
        <v>#REF!</v>
      </c>
      <c r="C46" s="138"/>
      <c r="D46" s="138"/>
      <c r="E46" s="138"/>
      <c r="F46" s="139"/>
      <c r="G46" s="280" t="e">
        <f>dgn_calculation!L16</f>
        <v>#REF!</v>
      </c>
      <c r="H46" s="280" t="e">
        <f>dgn_calculation!M16</f>
        <v>#REF!</v>
      </c>
      <c r="I46" s="281" t="e">
        <f>dgn_calculation!N16</f>
        <v>#REF!</v>
      </c>
      <c r="J46" s="552"/>
      <c r="K46" s="108"/>
    </row>
    <row r="47" spans="1:11" ht="15.5">
      <c r="A47" s="534"/>
      <c r="B47" s="279"/>
      <c r="C47" s="138"/>
      <c r="D47" s="138"/>
      <c r="E47" s="138"/>
      <c r="F47" s="139"/>
      <c r="G47" s="135"/>
      <c r="H47" s="135"/>
      <c r="I47" s="136"/>
      <c r="J47" s="552"/>
      <c r="K47" s="108"/>
    </row>
    <row r="48" spans="1:11" ht="15.5">
      <c r="A48" s="534"/>
      <c r="B48" s="279"/>
      <c r="C48" s="138"/>
      <c r="D48" s="138"/>
      <c r="E48" s="138"/>
      <c r="F48" s="139"/>
      <c r="G48" s="135"/>
      <c r="H48" s="135"/>
      <c r="I48" s="136"/>
      <c r="J48" s="552"/>
      <c r="K48" s="108"/>
    </row>
    <row r="49" spans="1:11" ht="15.5">
      <c r="A49" s="534"/>
      <c r="B49" s="279" t="s">
        <v>107</v>
      </c>
      <c r="C49" s="138"/>
      <c r="D49" s="138"/>
      <c r="E49" s="138"/>
      <c r="F49" s="139"/>
      <c r="G49" s="135"/>
      <c r="H49" s="135"/>
      <c r="I49" s="136"/>
      <c r="J49" s="552"/>
      <c r="K49" s="108"/>
    </row>
    <row r="50" spans="1:11" ht="15.5">
      <c r="A50" s="534"/>
      <c r="B50" s="137"/>
      <c r="C50" s="138"/>
      <c r="D50" s="138"/>
      <c r="E50" s="138"/>
      <c r="F50" s="139"/>
      <c r="G50" s="135"/>
      <c r="H50" s="135"/>
      <c r="I50" s="136"/>
      <c r="J50" s="552"/>
      <c r="K50" s="108"/>
    </row>
    <row r="51" spans="1:11" ht="15.5">
      <c r="A51" s="534"/>
      <c r="B51" s="137"/>
      <c r="C51" s="138"/>
      <c r="D51" s="138"/>
      <c r="E51" s="138"/>
      <c r="F51" s="139"/>
      <c r="G51" s="135"/>
      <c r="H51" s="135"/>
      <c r="I51" s="136"/>
      <c r="J51" s="552"/>
      <c r="K51" s="108"/>
    </row>
    <row r="52" spans="1:11" ht="15.5">
      <c r="A52" s="534"/>
      <c r="B52" s="132"/>
      <c r="C52" s="133"/>
      <c r="D52" s="133"/>
      <c r="E52" s="133"/>
      <c r="F52" s="134"/>
      <c r="G52" s="135"/>
      <c r="H52" s="135"/>
      <c r="I52" s="136"/>
      <c r="J52" s="552"/>
      <c r="K52" s="108"/>
    </row>
    <row r="53" spans="1:11" ht="15.5">
      <c r="A53" s="534"/>
      <c r="B53" s="132"/>
      <c r="C53" s="133"/>
      <c r="D53" s="133"/>
      <c r="E53" s="133"/>
      <c r="F53" s="134"/>
      <c r="G53" s="135"/>
      <c r="H53" s="141"/>
      <c r="I53" s="136"/>
      <c r="J53" s="552"/>
      <c r="K53" s="108"/>
    </row>
    <row r="54" spans="1:11">
      <c r="A54" s="534"/>
      <c r="B54" s="142"/>
      <c r="C54" s="143"/>
      <c r="D54" s="143"/>
      <c r="E54" s="143"/>
      <c r="F54" s="144"/>
      <c r="G54" s="145"/>
      <c r="H54" s="146" t="s">
        <v>108</v>
      </c>
      <c r="I54" s="146" t="s">
        <v>109</v>
      </c>
      <c r="J54" s="552"/>
      <c r="K54" s="108"/>
    </row>
    <row r="55" spans="1:11" ht="15.5">
      <c r="A55" s="534"/>
      <c r="B55" s="147"/>
      <c r="C55" s="148"/>
      <c r="D55" s="148"/>
      <c r="E55" s="148"/>
      <c r="F55" s="149"/>
      <c r="G55" s="150"/>
      <c r="H55" s="283" t="e">
        <f>SUM(H28:H52)</f>
        <v>#REF!</v>
      </c>
      <c r="I55" s="282" t="e">
        <f>SUM(I29:I54)</f>
        <v>#REF!</v>
      </c>
      <c r="J55" s="552"/>
      <c r="K55" s="108"/>
    </row>
    <row r="56" spans="1:11">
      <c r="A56" s="534"/>
      <c r="B56" s="120" t="s">
        <v>110</v>
      </c>
      <c r="C56" s="483" t="s">
        <v>111</v>
      </c>
      <c r="D56" s="484"/>
      <c r="E56" s="483" t="s">
        <v>112</v>
      </c>
      <c r="F56" s="485"/>
      <c r="G56" s="484"/>
      <c r="H56" s="115" t="s">
        <v>113</v>
      </c>
      <c r="I56" s="120" t="s">
        <v>114</v>
      </c>
      <c r="J56" s="552"/>
      <c r="K56" s="108"/>
    </row>
    <row r="57" spans="1:11">
      <c r="A57" s="534"/>
      <c r="B57" s="151" t="s">
        <v>115</v>
      </c>
      <c r="C57" s="501"/>
      <c r="D57" s="502"/>
      <c r="E57" s="501"/>
      <c r="F57" s="503"/>
      <c r="G57" s="502"/>
      <c r="H57" s="152"/>
      <c r="I57" s="153" t="s">
        <v>116</v>
      </c>
      <c r="J57" s="552"/>
      <c r="K57" s="108"/>
    </row>
    <row r="58" spans="1:11" ht="15.5">
      <c r="A58" s="534"/>
      <c r="B58" s="154"/>
      <c r="C58" s="541"/>
      <c r="D58" s="542"/>
      <c r="E58" s="543"/>
      <c r="F58" s="544"/>
      <c r="G58" s="545"/>
      <c r="H58" s="152"/>
      <c r="I58" s="152"/>
      <c r="J58" s="552"/>
      <c r="K58" s="108"/>
    </row>
    <row r="59" spans="1:11" ht="12" customHeight="1">
      <c r="A59" s="534"/>
      <c r="B59" s="155"/>
      <c r="C59" s="505"/>
      <c r="D59" s="506"/>
      <c r="E59" s="505"/>
      <c r="F59" s="507"/>
      <c r="G59" s="506"/>
      <c r="H59" s="156"/>
      <c r="I59" s="156"/>
      <c r="J59" s="552"/>
      <c r="K59" s="108"/>
    </row>
    <row r="60" spans="1:11" ht="13.5" customHeight="1">
      <c r="A60" s="157"/>
      <c r="B60" s="508" t="s">
        <v>117</v>
      </c>
      <c r="C60" s="509"/>
      <c r="D60" s="510" t="s">
        <v>118</v>
      </c>
      <c r="E60" s="511"/>
      <c r="F60" s="511"/>
      <c r="G60" s="511"/>
      <c r="H60" s="511"/>
      <c r="I60" s="512"/>
      <c r="J60" s="553"/>
      <c r="K60" s="108"/>
    </row>
    <row r="61" spans="1:11" ht="25.5" customHeight="1">
      <c r="A61" s="107"/>
      <c r="B61" s="513" t="s">
        <v>119</v>
      </c>
      <c r="C61" s="514"/>
      <c r="D61" s="513" t="s">
        <v>120</v>
      </c>
      <c r="E61" s="515"/>
      <c r="F61" s="515"/>
      <c r="G61" s="515"/>
      <c r="H61" s="515"/>
      <c r="I61" s="514"/>
      <c r="J61" s="553"/>
      <c r="K61" s="108"/>
    </row>
    <row r="62" spans="1:11" ht="34.5" customHeight="1">
      <c r="A62" s="107"/>
      <c r="B62" s="516" t="s">
        <v>121</v>
      </c>
      <c r="C62" s="517"/>
      <c r="D62" s="518"/>
      <c r="E62" s="519"/>
      <c r="F62" s="519"/>
      <c r="G62" s="519"/>
      <c r="H62" s="519"/>
      <c r="I62" s="520"/>
      <c r="J62" s="553"/>
      <c r="K62" s="108"/>
    </row>
    <row r="63" spans="1:11">
      <c r="A63" s="107"/>
      <c r="B63" s="483" t="s">
        <v>122</v>
      </c>
      <c r="C63" s="484"/>
      <c r="D63" s="483" t="s">
        <v>123</v>
      </c>
      <c r="E63" s="485"/>
      <c r="F63" s="484"/>
      <c r="G63" s="483" t="s">
        <v>124</v>
      </c>
      <c r="H63" s="485"/>
      <c r="I63" s="484"/>
      <c r="J63" s="554"/>
      <c r="K63" s="108"/>
    </row>
    <row r="64" spans="1:11" ht="15.5">
      <c r="A64" s="107"/>
      <c r="B64" s="492" t="s">
        <v>73</v>
      </c>
      <c r="C64" s="493"/>
      <c r="D64" s="504"/>
      <c r="E64" s="495"/>
      <c r="F64" s="496"/>
      <c r="G64" s="492" t="s">
        <v>125</v>
      </c>
      <c r="H64" s="497"/>
      <c r="I64" s="493"/>
      <c r="J64" s="554"/>
      <c r="K64" s="108"/>
    </row>
    <row r="65" spans="1:11">
      <c r="A65" s="107"/>
      <c r="B65" s="483" t="s">
        <v>126</v>
      </c>
      <c r="C65" s="484"/>
      <c r="D65" s="483" t="s">
        <v>127</v>
      </c>
      <c r="E65" s="485"/>
      <c r="F65" s="484"/>
      <c r="G65" s="483" t="s">
        <v>126</v>
      </c>
      <c r="H65" s="485"/>
      <c r="I65" s="484"/>
      <c r="J65" s="554"/>
      <c r="K65" s="108"/>
    </row>
    <row r="66" spans="1:11" ht="15.5">
      <c r="A66" s="107"/>
      <c r="B66" s="492" t="s">
        <v>128</v>
      </c>
      <c r="C66" s="493"/>
      <c r="D66" s="498"/>
      <c r="E66" s="499"/>
      <c r="F66" s="500"/>
      <c r="G66" s="492" t="s">
        <v>128</v>
      </c>
      <c r="H66" s="497"/>
      <c r="I66" s="493"/>
      <c r="J66" s="554"/>
      <c r="K66" s="108"/>
    </row>
    <row r="67" spans="1:11">
      <c r="A67" s="107"/>
      <c r="B67" s="483" t="s">
        <v>129</v>
      </c>
      <c r="C67" s="484"/>
      <c r="D67" s="483" t="s">
        <v>130</v>
      </c>
      <c r="E67" s="485"/>
      <c r="F67" s="484"/>
      <c r="G67" s="483" t="s">
        <v>129</v>
      </c>
      <c r="H67" s="485"/>
      <c r="I67" s="484"/>
      <c r="J67" s="554"/>
      <c r="K67" s="108"/>
    </row>
    <row r="68" spans="1:11" ht="15.5">
      <c r="A68" s="107"/>
      <c r="B68" s="492" t="s">
        <v>300</v>
      </c>
      <c r="C68" s="493"/>
      <c r="D68" s="494"/>
      <c r="E68" s="495"/>
      <c r="F68" s="496"/>
      <c r="G68" s="492" t="s">
        <v>300</v>
      </c>
      <c r="H68" s="497"/>
      <c r="I68" s="493"/>
      <c r="J68" s="554"/>
      <c r="K68" s="108"/>
    </row>
    <row r="69" spans="1:11">
      <c r="A69" s="107"/>
      <c r="B69" s="483" t="s">
        <v>131</v>
      </c>
      <c r="C69" s="484"/>
      <c r="D69" s="483" t="s">
        <v>132</v>
      </c>
      <c r="E69" s="485"/>
      <c r="F69" s="484"/>
      <c r="G69" s="483" t="s">
        <v>131</v>
      </c>
      <c r="H69" s="485"/>
      <c r="I69" s="484"/>
      <c r="J69" s="554"/>
    </row>
    <row r="70" spans="1:11" ht="20.5">
      <c r="A70" s="107"/>
      <c r="B70" s="486"/>
      <c r="C70" s="487"/>
      <c r="D70" s="486"/>
      <c r="E70" s="488"/>
      <c r="F70" s="487"/>
      <c r="G70" s="489"/>
      <c r="H70" s="490"/>
      <c r="I70" s="491"/>
      <c r="J70" s="554"/>
    </row>
    <row r="71" spans="1:11" ht="20.5">
      <c r="A71" s="107"/>
      <c r="B71" s="477"/>
      <c r="C71" s="478"/>
      <c r="D71" s="477"/>
      <c r="E71" s="479"/>
      <c r="F71" s="478"/>
      <c r="G71" s="480"/>
      <c r="H71" s="481"/>
      <c r="I71" s="482"/>
      <c r="J71" s="554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68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10"/>
  <dimension ref="A1:J34"/>
  <sheetViews>
    <sheetView workbookViewId="0">
      <pane ySplit="1" topLeftCell="A2" activePane="bottomLeft" state="frozen"/>
      <selection activeCell="K6" sqref="K6"/>
      <selection pane="bottomLeft" activeCell="K6" sqref="K6"/>
    </sheetView>
  </sheetViews>
  <sheetFormatPr defaultRowHeight="14.5"/>
  <cols>
    <col min="1" max="1" width="11.54296875" style="22" customWidth="1"/>
    <col min="2" max="2" width="11.54296875" style="224" customWidth="1"/>
    <col min="3" max="3" width="31" style="235" customWidth="1"/>
    <col min="4" max="5" width="11.54296875" style="22" customWidth="1"/>
    <col min="6" max="8" width="11.54296875" style="159" customWidth="1"/>
    <col min="9" max="9" width="11.54296875" style="1" customWidth="1"/>
  </cols>
  <sheetData>
    <row r="1" spans="1:10" s="219" customFormat="1" ht="42" customHeight="1">
      <c r="A1" s="220" t="s">
        <v>406</v>
      </c>
      <c r="B1" s="223" t="s">
        <v>407</v>
      </c>
      <c r="C1" s="220" t="s">
        <v>408</v>
      </c>
      <c r="D1" s="220" t="s">
        <v>148</v>
      </c>
      <c r="E1" s="220" t="s">
        <v>423</v>
      </c>
      <c r="F1" s="222" t="s">
        <v>424</v>
      </c>
      <c r="G1" s="222" t="s">
        <v>425</v>
      </c>
      <c r="H1" s="222" t="s">
        <v>426</v>
      </c>
      <c r="I1" s="220" t="s">
        <v>427</v>
      </c>
    </row>
    <row r="2" spans="1:10">
      <c r="A2" s="22">
        <v>1</v>
      </c>
      <c r="B2" s="224">
        <v>45337</v>
      </c>
      <c r="C2" s="235" t="s">
        <v>308</v>
      </c>
      <c r="D2" s="22" t="s">
        <v>28</v>
      </c>
      <c r="E2" s="22">
        <v>100</v>
      </c>
      <c r="F2" s="159">
        <v>5</v>
      </c>
      <c r="H2" s="159">
        <v>500</v>
      </c>
      <c r="I2" s="1" t="s">
        <v>381</v>
      </c>
    </row>
    <row r="3" spans="1:10">
      <c r="A3" s="22">
        <v>1</v>
      </c>
      <c r="B3" s="224">
        <v>45337</v>
      </c>
      <c r="C3" s="235" t="s">
        <v>308</v>
      </c>
      <c r="D3" s="22" t="s">
        <v>29</v>
      </c>
      <c r="E3" s="22">
        <v>100</v>
      </c>
      <c r="F3" s="159">
        <v>5</v>
      </c>
      <c r="H3" s="159">
        <v>500</v>
      </c>
      <c r="I3" s="1" t="s">
        <v>381</v>
      </c>
    </row>
    <row r="4" spans="1:10">
      <c r="A4" s="22">
        <v>1</v>
      </c>
      <c r="B4" s="224">
        <v>45337</v>
      </c>
      <c r="C4" s="235" t="s">
        <v>308</v>
      </c>
      <c r="D4" s="22" t="s">
        <v>30</v>
      </c>
      <c r="E4" s="22">
        <v>100</v>
      </c>
      <c r="F4" s="159">
        <v>5</v>
      </c>
      <c r="H4" s="159">
        <v>500</v>
      </c>
      <c r="I4" s="1" t="s">
        <v>381</v>
      </c>
    </row>
    <row r="5" spans="1:10">
      <c r="A5" s="22">
        <v>1</v>
      </c>
      <c r="B5" s="224">
        <v>45337</v>
      </c>
      <c r="C5" s="235" t="s">
        <v>308</v>
      </c>
      <c r="D5" s="22" t="s">
        <v>31</v>
      </c>
      <c r="E5" s="22">
        <v>100</v>
      </c>
      <c r="F5" s="159">
        <v>5</v>
      </c>
      <c r="H5" s="159">
        <v>500</v>
      </c>
      <c r="I5" s="1" t="s">
        <v>381</v>
      </c>
    </row>
    <row r="6" spans="1:10">
      <c r="A6" s="22">
        <v>1</v>
      </c>
      <c r="B6" s="224">
        <v>45337</v>
      </c>
      <c r="C6" s="235" t="s">
        <v>308</v>
      </c>
      <c r="D6" s="22" t="s">
        <v>44</v>
      </c>
      <c r="E6" s="22">
        <v>100</v>
      </c>
      <c r="F6" s="159">
        <v>6</v>
      </c>
      <c r="H6" s="159">
        <v>600</v>
      </c>
      <c r="I6" s="1" t="s">
        <v>381</v>
      </c>
    </row>
    <row r="7" spans="1:10">
      <c r="A7" s="22">
        <v>1</v>
      </c>
      <c r="B7" s="224">
        <v>45337</v>
      </c>
      <c r="C7" s="235" t="s">
        <v>308</v>
      </c>
      <c r="D7" s="22" t="s">
        <v>45</v>
      </c>
      <c r="E7" s="22">
        <v>100</v>
      </c>
      <c r="F7" s="159">
        <v>6</v>
      </c>
      <c r="H7" s="159">
        <v>600</v>
      </c>
      <c r="I7" s="1" t="s">
        <v>381</v>
      </c>
    </row>
    <row r="8" spans="1:10">
      <c r="A8" s="22">
        <v>1</v>
      </c>
      <c r="B8" s="224">
        <v>45337</v>
      </c>
      <c r="C8" s="235" t="s">
        <v>308</v>
      </c>
      <c r="D8" s="22" t="s">
        <v>46</v>
      </c>
      <c r="E8" s="22">
        <v>100</v>
      </c>
      <c r="F8" s="159">
        <v>6</v>
      </c>
      <c r="H8" s="159">
        <v>600</v>
      </c>
      <c r="I8" s="1" t="s">
        <v>381</v>
      </c>
    </row>
    <row r="9" spans="1:10">
      <c r="A9" s="22">
        <v>1</v>
      </c>
      <c r="B9" s="224">
        <v>45337</v>
      </c>
      <c r="C9" s="235" t="s">
        <v>308</v>
      </c>
      <c r="D9" s="22" t="s">
        <v>47</v>
      </c>
      <c r="E9" s="22">
        <v>100</v>
      </c>
      <c r="F9" s="159">
        <v>6</v>
      </c>
      <c r="H9" s="159">
        <v>600</v>
      </c>
      <c r="I9" s="1" t="s">
        <v>381</v>
      </c>
    </row>
    <row r="10" spans="1:10">
      <c r="A10" s="22">
        <v>1</v>
      </c>
      <c r="B10" s="224">
        <v>45337</v>
      </c>
      <c r="C10" s="235" t="s">
        <v>308</v>
      </c>
      <c r="D10" s="22" t="s">
        <v>146</v>
      </c>
      <c r="E10" s="22">
        <v>100</v>
      </c>
      <c r="F10" s="159">
        <v>15</v>
      </c>
      <c r="H10" s="159">
        <v>1500</v>
      </c>
      <c r="I10" s="1" t="s">
        <v>381</v>
      </c>
    </row>
    <row r="11" spans="1:10">
      <c r="A11" s="22">
        <v>1</v>
      </c>
      <c r="B11" s="224">
        <v>45337</v>
      </c>
      <c r="C11" s="235" t="s">
        <v>308</v>
      </c>
      <c r="D11" s="22" t="s">
        <v>28</v>
      </c>
      <c r="E11" s="22">
        <v>10</v>
      </c>
      <c r="F11" s="159">
        <v>0</v>
      </c>
      <c r="H11" s="159">
        <v>0</v>
      </c>
      <c r="I11" s="1" t="s">
        <v>382</v>
      </c>
    </row>
    <row r="12" spans="1:10">
      <c r="A12" s="22">
        <v>1</v>
      </c>
      <c r="B12" s="224">
        <v>45337</v>
      </c>
      <c r="C12" s="235" t="s">
        <v>308</v>
      </c>
      <c r="D12" s="22" t="s">
        <v>29</v>
      </c>
      <c r="E12" s="22">
        <v>10</v>
      </c>
      <c r="F12" s="159">
        <v>0</v>
      </c>
      <c r="H12" s="159">
        <v>0</v>
      </c>
      <c r="I12" s="1" t="s">
        <v>382</v>
      </c>
    </row>
    <row r="13" spans="1:10">
      <c r="A13" s="22">
        <v>1</v>
      </c>
      <c r="B13" s="224">
        <v>45337</v>
      </c>
      <c r="C13" s="235" t="s">
        <v>308</v>
      </c>
      <c r="D13" s="22" t="s">
        <v>30</v>
      </c>
      <c r="E13" s="22">
        <v>10</v>
      </c>
      <c r="F13" s="159">
        <v>0</v>
      </c>
      <c r="H13" s="159">
        <v>0</v>
      </c>
      <c r="I13" s="1" t="s">
        <v>382</v>
      </c>
    </row>
    <row r="14" spans="1:10">
      <c r="A14" s="22">
        <v>1</v>
      </c>
      <c r="B14" s="224">
        <v>45337</v>
      </c>
      <c r="C14" s="235" t="s">
        <v>308</v>
      </c>
      <c r="D14" s="22" t="s">
        <v>31</v>
      </c>
      <c r="E14" s="22">
        <v>10</v>
      </c>
      <c r="F14" s="159">
        <v>0</v>
      </c>
      <c r="H14" s="159">
        <v>0</v>
      </c>
      <c r="I14" s="1" t="s">
        <v>382</v>
      </c>
    </row>
    <row r="15" spans="1:10">
      <c r="A15" s="22">
        <v>2</v>
      </c>
      <c r="B15" s="224">
        <v>45342</v>
      </c>
      <c r="C15" s="235" t="s">
        <v>311</v>
      </c>
      <c r="D15" s="22" t="s">
        <v>4</v>
      </c>
      <c r="E15" s="22">
        <v>60</v>
      </c>
      <c r="F15" s="159">
        <v>4.76</v>
      </c>
      <c r="H15" s="159">
        <v>285.59999999999997</v>
      </c>
      <c r="I15" s="1" t="s">
        <v>381</v>
      </c>
      <c r="J15" s="3"/>
    </row>
    <row r="16" spans="1:10">
      <c r="A16" s="22">
        <v>2</v>
      </c>
      <c r="B16" s="224">
        <v>45342</v>
      </c>
      <c r="C16" s="235" t="s">
        <v>311</v>
      </c>
      <c r="D16" s="22" t="s">
        <v>5</v>
      </c>
      <c r="E16" s="22">
        <v>20</v>
      </c>
      <c r="F16" s="159">
        <v>4.76</v>
      </c>
      <c r="H16" s="159">
        <v>95.199999999999989</v>
      </c>
      <c r="I16" s="1" t="s">
        <v>381</v>
      </c>
      <c r="J16" s="3"/>
    </row>
    <row r="17" spans="1:10">
      <c r="A17" s="22">
        <v>2</v>
      </c>
      <c r="B17" s="224">
        <v>45342</v>
      </c>
      <c r="C17" s="235" t="s">
        <v>311</v>
      </c>
      <c r="D17" s="22" t="s">
        <v>6</v>
      </c>
      <c r="E17" s="22">
        <v>40</v>
      </c>
      <c r="F17" s="159">
        <v>4.76</v>
      </c>
      <c r="H17" s="159">
        <v>190.39999999999998</v>
      </c>
      <c r="I17" s="1" t="s">
        <v>381</v>
      </c>
      <c r="J17" s="3"/>
    </row>
    <row r="18" spans="1:10">
      <c r="A18" s="22">
        <v>2</v>
      </c>
      <c r="B18" s="224">
        <v>45342</v>
      </c>
      <c r="C18" s="235" t="s">
        <v>311</v>
      </c>
      <c r="D18" s="22" t="s">
        <v>7</v>
      </c>
      <c r="E18" s="22">
        <v>40</v>
      </c>
      <c r="F18" s="159">
        <v>4.76</v>
      </c>
      <c r="H18" s="159">
        <v>190.39999999999998</v>
      </c>
      <c r="I18" s="1" t="s">
        <v>381</v>
      </c>
      <c r="J18" s="3"/>
    </row>
    <row r="19" spans="1:10">
      <c r="A19" s="22">
        <v>2</v>
      </c>
      <c r="B19" s="224">
        <v>45342</v>
      </c>
      <c r="C19" s="235" t="s">
        <v>311</v>
      </c>
      <c r="D19" s="22" t="s">
        <v>24</v>
      </c>
      <c r="E19" s="22">
        <v>50</v>
      </c>
      <c r="F19" s="159">
        <v>4.76</v>
      </c>
      <c r="H19" s="159">
        <v>238</v>
      </c>
      <c r="I19" s="1" t="s">
        <v>381</v>
      </c>
      <c r="J19" s="3"/>
    </row>
    <row r="20" spans="1:10">
      <c r="A20" s="22">
        <v>2</v>
      </c>
      <c r="B20" s="224">
        <v>45342</v>
      </c>
      <c r="C20" s="235" t="s">
        <v>311</v>
      </c>
      <c r="D20" s="22" t="s">
        <v>25</v>
      </c>
      <c r="E20" s="22">
        <v>40</v>
      </c>
      <c r="F20" s="159">
        <v>4.76</v>
      </c>
      <c r="H20" s="159">
        <v>190.39999999999998</v>
      </c>
      <c r="I20" s="1" t="s">
        <v>381</v>
      </c>
      <c r="J20" s="3"/>
    </row>
    <row r="21" spans="1:10">
      <c r="A21" s="22">
        <v>2</v>
      </c>
      <c r="B21" s="224">
        <v>45342</v>
      </c>
      <c r="C21" s="235" t="s">
        <v>311</v>
      </c>
      <c r="D21" s="22" t="s">
        <v>26</v>
      </c>
      <c r="E21" s="22">
        <v>30</v>
      </c>
      <c r="F21" s="159">
        <v>4.76</v>
      </c>
      <c r="H21" s="159">
        <v>142.79999999999998</v>
      </c>
      <c r="I21" s="1" t="s">
        <v>381</v>
      </c>
      <c r="J21" s="3"/>
    </row>
    <row r="22" spans="1:10">
      <c r="A22" s="22">
        <v>2</v>
      </c>
      <c r="B22" s="224">
        <v>45342</v>
      </c>
      <c r="C22" s="235" t="s">
        <v>311</v>
      </c>
      <c r="D22" s="22" t="s">
        <v>44</v>
      </c>
      <c r="E22" s="22">
        <v>100</v>
      </c>
      <c r="F22" s="159">
        <v>5.6</v>
      </c>
      <c r="H22" s="159">
        <v>560</v>
      </c>
      <c r="I22" s="1" t="s">
        <v>381</v>
      </c>
      <c r="J22" s="3"/>
    </row>
    <row r="23" spans="1:10">
      <c r="A23" s="22">
        <v>2</v>
      </c>
      <c r="B23" s="224">
        <v>45342</v>
      </c>
      <c r="C23" s="235" t="s">
        <v>311</v>
      </c>
      <c r="D23" s="22" t="s">
        <v>45</v>
      </c>
      <c r="E23" s="22">
        <v>250</v>
      </c>
      <c r="F23" s="159">
        <v>5.6</v>
      </c>
      <c r="H23" s="159">
        <v>1400</v>
      </c>
      <c r="I23" s="1" t="s">
        <v>381</v>
      </c>
      <c r="J23" s="3"/>
    </row>
    <row r="24" spans="1:10">
      <c r="A24" s="22">
        <v>2</v>
      </c>
      <c r="B24" s="224">
        <v>45342</v>
      </c>
      <c r="C24" s="235" t="s">
        <v>311</v>
      </c>
      <c r="D24" s="22" t="s">
        <v>46</v>
      </c>
      <c r="E24" s="22">
        <v>60</v>
      </c>
      <c r="F24" s="159">
        <v>5.6</v>
      </c>
      <c r="H24" s="159">
        <v>336</v>
      </c>
      <c r="I24" s="1" t="s">
        <v>381</v>
      </c>
      <c r="J24" s="3"/>
    </row>
    <row r="25" spans="1:10">
      <c r="A25" s="22">
        <v>2</v>
      </c>
      <c r="B25" s="224">
        <v>45342</v>
      </c>
      <c r="C25" s="235" t="s">
        <v>311</v>
      </c>
      <c r="D25" s="22" t="s">
        <v>47</v>
      </c>
      <c r="E25" s="22">
        <v>250</v>
      </c>
      <c r="F25" s="159">
        <v>5.6</v>
      </c>
      <c r="H25" s="159">
        <v>1400</v>
      </c>
      <c r="I25" s="1" t="s">
        <v>381</v>
      </c>
      <c r="J25" s="3"/>
    </row>
    <row r="26" spans="1:10">
      <c r="A26" s="22">
        <v>2</v>
      </c>
      <c r="B26" s="224">
        <v>45342</v>
      </c>
      <c r="C26" s="235" t="s">
        <v>311</v>
      </c>
      <c r="D26" s="22" t="s">
        <v>56</v>
      </c>
      <c r="E26" s="22">
        <v>40</v>
      </c>
      <c r="F26" s="159">
        <v>5.6</v>
      </c>
      <c r="H26" s="159">
        <v>224</v>
      </c>
      <c r="I26" s="1" t="s">
        <v>381</v>
      </c>
      <c r="J26" s="3"/>
    </row>
    <row r="27" spans="1:10">
      <c r="A27" s="22">
        <v>2</v>
      </c>
      <c r="B27" s="224">
        <v>45342</v>
      </c>
      <c r="C27" s="235" t="s">
        <v>311</v>
      </c>
      <c r="D27" s="22" t="s">
        <v>4</v>
      </c>
      <c r="E27" s="22">
        <v>10</v>
      </c>
      <c r="F27" s="159">
        <v>0</v>
      </c>
      <c r="H27" s="159">
        <v>0</v>
      </c>
      <c r="I27" s="1" t="s">
        <v>382</v>
      </c>
      <c r="J27" s="3"/>
    </row>
    <row r="28" spans="1:10">
      <c r="A28" s="22">
        <v>2</v>
      </c>
      <c r="B28" s="224">
        <v>45342</v>
      </c>
      <c r="C28" s="235" t="s">
        <v>311</v>
      </c>
      <c r="D28" s="22" t="s">
        <v>5</v>
      </c>
      <c r="E28" s="22">
        <v>3</v>
      </c>
      <c r="F28" s="159">
        <v>0</v>
      </c>
      <c r="H28" s="159">
        <v>0</v>
      </c>
      <c r="I28" s="1" t="s">
        <v>382</v>
      </c>
      <c r="J28" s="3"/>
    </row>
    <row r="29" spans="1:10">
      <c r="A29" s="22">
        <v>2</v>
      </c>
      <c r="B29" s="224">
        <v>45342</v>
      </c>
      <c r="C29" s="235" t="s">
        <v>311</v>
      </c>
      <c r="D29" s="22" t="s">
        <v>6</v>
      </c>
      <c r="E29" s="22">
        <v>7</v>
      </c>
      <c r="F29" s="159">
        <v>0</v>
      </c>
      <c r="H29" s="159">
        <v>0</v>
      </c>
      <c r="I29" s="1" t="s">
        <v>382</v>
      </c>
      <c r="J29" s="3"/>
    </row>
    <row r="30" spans="1:10">
      <c r="A30" s="22">
        <v>2</v>
      </c>
      <c r="B30" s="224">
        <v>45342</v>
      </c>
      <c r="C30" s="235" t="s">
        <v>311</v>
      </c>
      <c r="D30" s="22" t="s">
        <v>7</v>
      </c>
      <c r="E30" s="22">
        <v>7</v>
      </c>
      <c r="F30" s="159">
        <v>0</v>
      </c>
      <c r="H30" s="159">
        <v>0</v>
      </c>
      <c r="I30" s="1" t="s">
        <v>382</v>
      </c>
      <c r="J30" s="3"/>
    </row>
    <row r="31" spans="1:10">
      <c r="A31" s="22">
        <v>2</v>
      </c>
      <c r="B31" s="224">
        <v>45342</v>
      </c>
      <c r="C31" s="235" t="s">
        <v>311</v>
      </c>
      <c r="D31" s="22" t="s">
        <v>24</v>
      </c>
      <c r="E31" s="22">
        <v>8</v>
      </c>
      <c r="F31" s="159">
        <v>0</v>
      </c>
      <c r="H31" s="159">
        <v>0</v>
      </c>
      <c r="I31" s="1" t="s">
        <v>382</v>
      </c>
      <c r="J31" s="3"/>
    </row>
    <row r="32" spans="1:10">
      <c r="A32" s="22">
        <v>2</v>
      </c>
      <c r="B32" s="224">
        <v>45342</v>
      </c>
      <c r="C32" s="235" t="s">
        <v>311</v>
      </c>
      <c r="D32" s="22" t="s">
        <v>25</v>
      </c>
      <c r="E32" s="22">
        <v>7</v>
      </c>
      <c r="F32" s="159">
        <v>0</v>
      </c>
      <c r="H32" s="159">
        <v>0</v>
      </c>
      <c r="I32" s="1" t="s">
        <v>382</v>
      </c>
      <c r="J32" s="3"/>
    </row>
    <row r="33" spans="1:10">
      <c r="A33" s="22">
        <v>2</v>
      </c>
      <c r="B33" s="224">
        <v>45342</v>
      </c>
      <c r="C33" s="235" t="s">
        <v>311</v>
      </c>
      <c r="D33" s="22" t="s">
        <v>26</v>
      </c>
      <c r="E33" s="22">
        <v>5</v>
      </c>
      <c r="F33" s="159">
        <v>0</v>
      </c>
      <c r="H33" s="159">
        <v>0</v>
      </c>
      <c r="I33" s="1" t="s">
        <v>382</v>
      </c>
      <c r="J33" s="3"/>
    </row>
    <row r="34" spans="1:10">
      <c r="I34" s="29"/>
      <c r="J34" s="3"/>
    </row>
  </sheetData>
  <dataValidations count="1">
    <dataValidation type="list" allowBlank="1" showInputMessage="1" showErrorMessage="1" sqref="I15:I33">
      <formula1>"NORMAL,DISCOUNTED,FOC"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1"/>
  <dimension ref="A1:X35"/>
  <sheetViews>
    <sheetView topLeftCell="H1" workbookViewId="0">
      <pane ySplit="2" topLeftCell="A3" activePane="bottomLeft" state="frozen"/>
      <selection pane="bottomLeft" activeCell="A3" sqref="A3:V7"/>
    </sheetView>
  </sheetViews>
  <sheetFormatPr defaultColWidth="9.1796875" defaultRowHeight="14.5"/>
  <cols>
    <col min="1" max="1" width="14.26953125" style="22" customWidth="1"/>
    <col min="2" max="2" width="14.26953125" style="224" customWidth="1"/>
    <col min="3" max="3" width="17" style="22" bestFit="1" customWidth="1"/>
    <col min="4" max="4" width="14.26953125" style="22" customWidth="1"/>
    <col min="5" max="5" width="15.81640625" style="22" customWidth="1"/>
    <col min="6" max="6" width="18.26953125" style="22" customWidth="1"/>
    <col min="7" max="7" width="14.26953125" style="22" customWidth="1"/>
    <col min="8" max="9" width="14.26953125" style="28" customWidth="1"/>
    <col min="10" max="10" width="14.81640625" style="1" customWidth="1"/>
    <col min="11" max="11" width="14.7265625" style="1" customWidth="1"/>
    <col min="12" max="12" width="14.26953125" style="27" customWidth="1"/>
    <col min="13" max="15" width="14.26953125" style="1" customWidth="1"/>
    <col min="16" max="19" width="15.81640625" style="1" customWidth="1"/>
    <col min="20" max="20" width="14.26953125" style="27" customWidth="1"/>
    <col min="21" max="21" width="15.7265625" style="1" customWidth="1"/>
    <col min="22" max="22" width="12.81640625" style="1" customWidth="1"/>
    <col min="23" max="23" width="9.1796875" style="207"/>
    <col min="24" max="24" width="11.54296875" style="330" bestFit="1" customWidth="1"/>
    <col min="25" max="16384" width="9.1796875" style="207"/>
  </cols>
  <sheetData>
    <row r="1" spans="1:24">
      <c r="V1" s="1">
        <f>COUNTA(orderHistory[order_id])</f>
        <v>5</v>
      </c>
    </row>
    <row r="2" spans="1:24" s="220" customFormat="1" ht="42" customHeight="1">
      <c r="A2" s="220" t="s">
        <v>499</v>
      </c>
      <c r="B2" s="220" t="s">
        <v>500</v>
      </c>
      <c r="C2" s="220" t="s">
        <v>408</v>
      </c>
      <c r="D2" s="220" t="s">
        <v>409</v>
      </c>
      <c r="E2" s="220" t="s">
        <v>429</v>
      </c>
      <c r="F2" s="220" t="s">
        <v>501</v>
      </c>
      <c r="G2" s="220" t="s">
        <v>410</v>
      </c>
      <c r="H2" s="220" t="s">
        <v>411</v>
      </c>
      <c r="I2" s="220" t="s">
        <v>412</v>
      </c>
      <c r="J2" s="220" t="s">
        <v>414</v>
      </c>
      <c r="K2" s="220" t="s">
        <v>415</v>
      </c>
      <c r="L2" s="222" t="s">
        <v>416</v>
      </c>
      <c r="M2" s="220" t="s">
        <v>417</v>
      </c>
      <c r="N2" s="220" t="s">
        <v>418</v>
      </c>
      <c r="O2" s="220" t="s">
        <v>419</v>
      </c>
      <c r="P2" s="220" t="s">
        <v>420</v>
      </c>
      <c r="Q2" s="220" t="s">
        <v>421</v>
      </c>
      <c r="R2" s="220" t="s">
        <v>494</v>
      </c>
      <c r="S2" s="220" t="s">
        <v>524</v>
      </c>
      <c r="T2" s="222" t="s">
        <v>502</v>
      </c>
      <c r="U2" s="220" t="s">
        <v>422</v>
      </c>
      <c r="V2" s="220" t="s">
        <v>513</v>
      </c>
      <c r="X2" s="334"/>
    </row>
    <row r="3" spans="1:24">
      <c r="A3" s="29">
        <v>20240005</v>
      </c>
      <c r="B3" s="332" t="s">
        <v>528</v>
      </c>
      <c r="C3" s="29" t="s">
        <v>508</v>
      </c>
      <c r="D3" s="29" t="s">
        <v>272</v>
      </c>
      <c r="E3" s="29"/>
      <c r="F3" s="29">
        <v>60</v>
      </c>
      <c r="G3" s="29"/>
      <c r="H3" s="29" t="s">
        <v>503</v>
      </c>
      <c r="I3" s="29">
        <v>3</v>
      </c>
      <c r="J3" s="29"/>
      <c r="K3" s="29" t="s">
        <v>495</v>
      </c>
      <c r="L3" s="30">
        <v>635</v>
      </c>
      <c r="M3" s="29"/>
      <c r="N3" s="29"/>
      <c r="O3" s="332" t="s">
        <v>528</v>
      </c>
      <c r="P3" s="29" t="s">
        <v>496</v>
      </c>
      <c r="Q3" s="332">
        <v>45327</v>
      </c>
      <c r="R3" s="332" t="s">
        <v>539</v>
      </c>
      <c r="S3" s="30">
        <v>7000</v>
      </c>
      <c r="T3" s="30">
        <v>7700</v>
      </c>
      <c r="U3" s="30">
        <f>orderHistory[[#This Row],[amount_sold]]-orderHistory[[#This Row],[cost_of_goods]]</f>
        <v>700</v>
      </c>
      <c r="V3" s="29" t="s">
        <v>526</v>
      </c>
    </row>
    <row r="4" spans="1:24">
      <c r="A4" s="29">
        <v>20240004</v>
      </c>
      <c r="B4" s="332">
        <v>45336</v>
      </c>
      <c r="C4" s="29" t="s">
        <v>507</v>
      </c>
      <c r="D4" s="29" t="s">
        <v>272</v>
      </c>
      <c r="E4" s="29"/>
      <c r="F4" s="29">
        <v>150</v>
      </c>
      <c r="G4" s="29"/>
      <c r="H4" s="29" t="s">
        <v>503</v>
      </c>
      <c r="I4" s="29">
        <v>9</v>
      </c>
      <c r="J4" s="29"/>
      <c r="K4" s="29" t="s">
        <v>495</v>
      </c>
      <c r="L4" s="30">
        <v>855</v>
      </c>
      <c r="M4" s="29"/>
      <c r="N4" s="29"/>
      <c r="O4" s="332" t="s">
        <v>528</v>
      </c>
      <c r="P4" s="29" t="s">
        <v>498</v>
      </c>
      <c r="Q4" s="332" t="s">
        <v>528</v>
      </c>
      <c r="R4" s="332" t="s">
        <v>540</v>
      </c>
      <c r="S4" s="30">
        <v>12000</v>
      </c>
      <c r="T4" s="30">
        <v>14300</v>
      </c>
      <c r="U4" s="30">
        <f>orderHistory[[#This Row],[amount_sold]]-orderHistory[[#This Row],[cost_of_goods]]</f>
        <v>2300</v>
      </c>
      <c r="V4" s="29" t="s">
        <v>525</v>
      </c>
    </row>
    <row r="5" spans="1:24">
      <c r="A5" s="29">
        <v>20240003</v>
      </c>
      <c r="B5" s="332">
        <v>45311</v>
      </c>
      <c r="C5" s="29" t="s">
        <v>311</v>
      </c>
      <c r="D5" s="29" t="s">
        <v>272</v>
      </c>
      <c r="E5" s="29"/>
      <c r="F5" s="29">
        <v>100</v>
      </c>
      <c r="G5" s="29"/>
      <c r="H5" s="29" t="s">
        <v>503</v>
      </c>
      <c r="I5" s="29">
        <v>7</v>
      </c>
      <c r="J5" s="29"/>
      <c r="K5" s="29" t="s">
        <v>495</v>
      </c>
      <c r="L5" s="30">
        <v>800</v>
      </c>
      <c r="M5" s="29"/>
      <c r="N5" s="29">
        <v>15</v>
      </c>
      <c r="O5" s="332">
        <v>45324</v>
      </c>
      <c r="P5" s="29" t="s">
        <v>504</v>
      </c>
      <c r="Q5" s="332">
        <v>45347</v>
      </c>
      <c r="R5" s="332" t="s">
        <v>539</v>
      </c>
      <c r="S5" s="30">
        <v>9000</v>
      </c>
      <c r="T5" s="30">
        <v>10000</v>
      </c>
      <c r="U5" s="30">
        <f>orderHistory[[#This Row],[amount_sold]]-orderHistory[[#This Row],[cost_of_goods]]</f>
        <v>1000</v>
      </c>
      <c r="V5" s="1" t="s">
        <v>523</v>
      </c>
    </row>
    <row r="6" spans="1:24">
      <c r="A6" s="1">
        <v>20240002</v>
      </c>
      <c r="B6" s="331">
        <v>45306</v>
      </c>
      <c r="C6" s="1" t="s">
        <v>308</v>
      </c>
      <c r="D6" s="1" t="s">
        <v>272</v>
      </c>
      <c r="E6" s="1"/>
      <c r="F6" s="1">
        <v>70</v>
      </c>
      <c r="G6" s="1"/>
      <c r="H6" s="1" t="s">
        <v>503</v>
      </c>
      <c r="I6" s="1">
        <v>2</v>
      </c>
      <c r="K6" s="1" t="s">
        <v>497</v>
      </c>
      <c r="L6" s="27">
        <v>400</v>
      </c>
      <c r="N6" s="1">
        <v>10</v>
      </c>
      <c r="O6" s="331">
        <v>45311</v>
      </c>
      <c r="P6" s="1" t="s">
        <v>498</v>
      </c>
      <c r="Q6" s="331">
        <v>45334</v>
      </c>
      <c r="R6" s="331" t="s">
        <v>539</v>
      </c>
      <c r="S6" s="27">
        <v>4500</v>
      </c>
      <c r="T6" s="27">
        <v>4350</v>
      </c>
      <c r="U6" s="27">
        <f>orderHistory[[#This Row],[amount_sold]]-orderHistory[[#This Row],[cost_of_goods]]</f>
        <v>-150</v>
      </c>
      <c r="V6" s="1" t="s">
        <v>523</v>
      </c>
    </row>
    <row r="7" spans="1:24">
      <c r="A7" s="1">
        <v>20240001</v>
      </c>
      <c r="B7" s="331">
        <v>45294</v>
      </c>
      <c r="C7" s="1" t="s">
        <v>308</v>
      </c>
      <c r="D7" s="1" t="s">
        <v>272</v>
      </c>
      <c r="E7" s="1"/>
      <c r="F7" s="1">
        <v>55</v>
      </c>
      <c r="G7" s="1"/>
      <c r="H7" s="1" t="s">
        <v>503</v>
      </c>
      <c r="I7" s="1">
        <v>4</v>
      </c>
      <c r="K7" s="1" t="s">
        <v>495</v>
      </c>
      <c r="L7" s="27">
        <v>550</v>
      </c>
      <c r="N7" s="1">
        <v>3</v>
      </c>
      <c r="O7" s="331">
        <v>45296</v>
      </c>
      <c r="P7" s="331" t="s">
        <v>496</v>
      </c>
      <c r="Q7" s="331">
        <v>45280</v>
      </c>
      <c r="R7" s="331" t="s">
        <v>539</v>
      </c>
      <c r="S7" s="27">
        <v>8300</v>
      </c>
      <c r="T7" s="27">
        <v>8750</v>
      </c>
      <c r="U7" s="27">
        <f>orderHistory[[#This Row],[amount_sold]]-orderHistory[[#This Row],[cost_of_goods]]</f>
        <v>450</v>
      </c>
      <c r="V7" s="1" t="s">
        <v>523</v>
      </c>
    </row>
    <row r="9" spans="1:24">
      <c r="A9" s="1"/>
      <c r="B9" s="1"/>
      <c r="C9" s="1"/>
      <c r="D9" s="1"/>
      <c r="E9" s="1"/>
      <c r="F9" s="1"/>
      <c r="G9" s="1"/>
      <c r="H9" s="1"/>
      <c r="I9" s="1"/>
    </row>
    <row r="10" spans="1:24">
      <c r="A10" s="1"/>
      <c r="B10" s="1"/>
      <c r="C10" s="1"/>
      <c r="D10" s="1"/>
      <c r="E10" s="1"/>
      <c r="F10" s="1"/>
      <c r="G10" s="1"/>
      <c r="H10" s="1"/>
      <c r="I10" s="1"/>
    </row>
    <row r="11" spans="1:24">
      <c r="A11" s="1"/>
      <c r="B11" s="1"/>
      <c r="C11" s="1"/>
      <c r="D11" s="1"/>
      <c r="E11" s="1"/>
      <c r="F11" s="1"/>
      <c r="G11" s="1"/>
      <c r="H11" s="1"/>
      <c r="I11" s="1"/>
    </row>
    <row r="12" spans="1:24">
      <c r="A12" s="1"/>
      <c r="B12" s="1"/>
      <c r="C12" s="1"/>
      <c r="D12" s="1"/>
      <c r="E12" s="1"/>
      <c r="F12" s="1"/>
      <c r="G12" s="1"/>
      <c r="H12" s="1"/>
      <c r="I12" s="1"/>
    </row>
    <row r="13" spans="1:24">
      <c r="A13" s="1"/>
      <c r="B13" s="1"/>
      <c r="C13" s="1"/>
      <c r="D13" s="1"/>
      <c r="E13" s="1"/>
      <c r="F13" s="1"/>
      <c r="G13" s="1"/>
      <c r="H13" s="1"/>
      <c r="I13" s="1"/>
    </row>
    <row r="14" spans="1:24">
      <c r="A14" s="1"/>
      <c r="B14" s="1"/>
      <c r="C14" s="1"/>
      <c r="D14" s="1"/>
      <c r="E14" s="1"/>
      <c r="F14" s="1"/>
      <c r="G14" s="1"/>
      <c r="H14" s="1"/>
      <c r="I14" s="1"/>
    </row>
    <row r="15" spans="1:24">
      <c r="A15" s="1"/>
      <c r="B15" s="1"/>
      <c r="C15" s="1"/>
      <c r="D15" s="1"/>
      <c r="E15" s="1"/>
      <c r="F15" s="1"/>
      <c r="G15" s="1"/>
      <c r="H15" s="1"/>
      <c r="I15" s="1"/>
    </row>
    <row r="16" spans="1:24">
      <c r="A16" s="1"/>
      <c r="B16" s="1"/>
      <c r="C16" s="1"/>
      <c r="D16" s="1"/>
      <c r="E16" s="1"/>
      <c r="F16" s="1"/>
      <c r="G16" s="1"/>
      <c r="H16" s="1"/>
      <c r="I16" s="1"/>
      <c r="L16" s="30"/>
    </row>
    <row r="17" spans="1:22">
      <c r="A17" s="1">
        <f>COLUMN()</f>
        <v>1</v>
      </c>
      <c r="B17" s="1">
        <f>COLUMN()</f>
        <v>2</v>
      </c>
      <c r="C17" s="1">
        <f>COLUMN()</f>
        <v>3</v>
      </c>
      <c r="D17" s="1">
        <f>COLUMN()</f>
        <v>4</v>
      </c>
      <c r="E17" s="1">
        <f>COLUMN()</f>
        <v>5</v>
      </c>
      <c r="F17" s="1">
        <f>COLUMN()</f>
        <v>6</v>
      </c>
      <c r="G17" s="1">
        <f>COLUMN()</f>
        <v>7</v>
      </c>
      <c r="H17" s="1">
        <f>COLUMN()</f>
        <v>8</v>
      </c>
      <c r="I17" s="1">
        <f>COLUMN()</f>
        <v>9</v>
      </c>
      <c r="J17" s="1">
        <f>COLUMN()</f>
        <v>10</v>
      </c>
      <c r="K17" s="1">
        <f>COLUMN()</f>
        <v>11</v>
      </c>
      <c r="L17" s="1">
        <f>COLUMN()</f>
        <v>12</v>
      </c>
      <c r="M17" s="1">
        <f>COLUMN()</f>
        <v>13</v>
      </c>
      <c r="N17" s="1">
        <f>COLUMN()</f>
        <v>14</v>
      </c>
      <c r="O17" s="1">
        <f>COLUMN()</f>
        <v>15</v>
      </c>
      <c r="P17" s="1">
        <f>COLUMN()</f>
        <v>16</v>
      </c>
      <c r="Q17" s="1">
        <f>COLUMN()</f>
        <v>17</v>
      </c>
      <c r="T17" s="27">
        <f>COLUMN()</f>
        <v>20</v>
      </c>
      <c r="U17" s="1">
        <f>COLUMN()</f>
        <v>21</v>
      </c>
      <c r="V17" s="1">
        <f>COLUMN()</f>
        <v>22</v>
      </c>
    </row>
    <row r="18" spans="1:22">
      <c r="A18" s="1"/>
      <c r="B18" s="1"/>
      <c r="C18" s="1"/>
      <c r="D18" s="1"/>
      <c r="E18" s="1"/>
      <c r="F18" s="1"/>
      <c r="G18" s="1"/>
      <c r="H18" s="1"/>
      <c r="I18" s="1"/>
      <c r="L18" s="30"/>
    </row>
    <row r="19" spans="1:22">
      <c r="A19" s="1"/>
      <c r="B19" s="1"/>
      <c r="C19" s="1"/>
      <c r="D19" s="1"/>
      <c r="E19" s="1"/>
      <c r="F19" s="1"/>
      <c r="G19" s="1"/>
      <c r="H19" s="1"/>
      <c r="I19" s="1"/>
      <c r="L19" s="30"/>
    </row>
    <row r="20" spans="1:22">
      <c r="A20" s="1"/>
      <c r="B20" s="1"/>
      <c r="C20" s="1"/>
      <c r="D20" s="1"/>
      <c r="E20" s="1"/>
      <c r="F20" s="1"/>
      <c r="G20" s="1"/>
      <c r="H20" s="1"/>
      <c r="I20" s="1"/>
      <c r="L20" s="30"/>
    </row>
    <row r="21" spans="1:22">
      <c r="A21" s="1"/>
      <c r="B21" s="1"/>
      <c r="C21" s="1"/>
      <c r="D21" s="1"/>
      <c r="E21" s="1"/>
      <c r="F21" s="1"/>
      <c r="G21" s="1"/>
      <c r="H21" s="1"/>
      <c r="I21" s="1"/>
      <c r="L21" s="30"/>
    </row>
    <row r="22" spans="1:22">
      <c r="A22" s="1"/>
      <c r="B22" s="1"/>
      <c r="C22" s="1"/>
      <c r="D22" s="1"/>
      <c r="E22" s="1"/>
      <c r="F22" s="1"/>
      <c r="G22" s="1"/>
      <c r="H22" s="1"/>
      <c r="I22" s="1"/>
      <c r="L22" s="30"/>
    </row>
    <row r="23" spans="1:22">
      <c r="A23" s="1"/>
      <c r="B23" s="1"/>
      <c r="C23" s="1"/>
      <c r="D23" s="1"/>
      <c r="E23" s="1"/>
      <c r="F23" s="1"/>
      <c r="G23" s="1"/>
      <c r="H23" s="1"/>
      <c r="I23" s="1"/>
      <c r="L23" s="30"/>
    </row>
    <row r="24" spans="1:22">
      <c r="A24" s="1"/>
      <c r="B24" s="1"/>
      <c r="C24" s="1"/>
      <c r="D24" s="1"/>
      <c r="E24" s="1"/>
      <c r="F24" s="1"/>
      <c r="G24" s="1"/>
      <c r="H24" s="1"/>
      <c r="I24" s="1"/>
      <c r="L24" s="30"/>
    </row>
    <row r="25" spans="1:22">
      <c r="A25" s="1"/>
      <c r="B25" s="1"/>
      <c r="C25" s="1"/>
      <c r="D25" s="1"/>
      <c r="E25" s="1"/>
      <c r="F25" s="1"/>
      <c r="G25" s="1"/>
      <c r="H25" s="1"/>
      <c r="I25" s="1"/>
      <c r="L25" s="30"/>
    </row>
    <row r="26" spans="1:22">
      <c r="A26" s="1"/>
      <c r="B26" s="1"/>
      <c r="C26" s="1"/>
      <c r="D26" s="1"/>
      <c r="E26" s="1"/>
      <c r="F26" s="1"/>
      <c r="G26" s="1"/>
      <c r="H26" s="1"/>
      <c r="I26" s="1"/>
      <c r="L26" s="30"/>
    </row>
    <row r="27" spans="1:22">
      <c r="A27" s="1"/>
      <c r="B27" s="1"/>
      <c r="C27" s="1"/>
      <c r="D27" s="1"/>
      <c r="E27" s="1"/>
      <c r="F27" s="1"/>
      <c r="G27" s="1"/>
      <c r="H27" s="1"/>
      <c r="I27" s="1"/>
      <c r="L27" s="30"/>
    </row>
    <row r="28" spans="1:22">
      <c r="A28" s="1"/>
      <c r="B28" s="1"/>
      <c r="C28" s="1"/>
      <c r="D28" s="1"/>
      <c r="E28" s="1"/>
      <c r="F28" s="1"/>
      <c r="G28" s="1"/>
      <c r="H28" s="1"/>
      <c r="I28" s="1"/>
      <c r="L28" s="30"/>
    </row>
    <row r="29" spans="1:22">
      <c r="A29" s="1"/>
      <c r="B29" s="1"/>
      <c r="C29" s="1"/>
      <c r="D29" s="1"/>
      <c r="E29" s="1"/>
      <c r="F29" s="1"/>
      <c r="G29" s="1"/>
      <c r="H29" s="1"/>
      <c r="I29" s="1"/>
      <c r="L29" s="30"/>
    </row>
    <row r="30" spans="1:22">
      <c r="A30" s="1"/>
      <c r="B30" s="1"/>
      <c r="C30" s="1"/>
      <c r="D30" s="1"/>
      <c r="E30" s="1"/>
      <c r="F30" s="1"/>
      <c r="G30" s="1"/>
      <c r="H30" s="1"/>
      <c r="I30" s="1"/>
      <c r="L30" s="30"/>
    </row>
    <row r="31" spans="1:22">
      <c r="A31" s="1"/>
      <c r="B31" s="1"/>
      <c r="C31" s="1"/>
      <c r="D31" s="1"/>
      <c r="E31" s="1"/>
      <c r="F31" s="1"/>
      <c r="G31" s="1"/>
      <c r="H31" s="1"/>
      <c r="I31" s="1"/>
      <c r="L31" s="30"/>
    </row>
    <row r="32" spans="1:22">
      <c r="A32" s="1"/>
      <c r="B32" s="1"/>
      <c r="C32" s="1"/>
      <c r="D32" s="1"/>
      <c r="E32" s="1"/>
      <c r="F32" s="1"/>
      <c r="G32" s="1"/>
      <c r="H32" s="1"/>
      <c r="I32" s="1"/>
      <c r="L32" s="30"/>
    </row>
    <row r="33" spans="1:12">
      <c r="A33" s="1"/>
      <c r="B33" s="1"/>
      <c r="C33" s="1"/>
      <c r="D33" s="1"/>
      <c r="E33" s="1"/>
      <c r="F33" s="1"/>
      <c r="G33" s="1"/>
      <c r="H33" s="1"/>
      <c r="I33" s="1"/>
      <c r="L33" s="30"/>
    </row>
    <row r="34" spans="1:12">
      <c r="A34" s="1"/>
      <c r="B34" s="1"/>
      <c r="C34" s="1"/>
      <c r="D34" s="1"/>
      <c r="E34" s="1"/>
      <c r="F34" s="1"/>
      <c r="G34" s="1"/>
      <c r="H34" s="1"/>
      <c r="I34" s="1"/>
      <c r="L34" s="30"/>
    </row>
    <row r="35" spans="1:12">
      <c r="J35" s="29"/>
      <c r="K35" s="29"/>
      <c r="L35" s="30"/>
    </row>
  </sheetData>
  <sortState ref="A4:S4">
    <sortCondition descending="1" ref="B3:B4"/>
  </sortState>
  <dataValidations disablePrompts="1" count="1">
    <dataValidation type="list" allowBlank="1" showInputMessage="1" showErrorMessage="1" sqref="J16 J18:J34">
      <formula1>"NORMAL,DISCOUNTED,FOC"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3"/>
  <dimension ref="A1:P101"/>
  <sheetViews>
    <sheetView workbookViewId="0">
      <selection activeCell="B4" sqref="B4"/>
    </sheetView>
  </sheetViews>
  <sheetFormatPr defaultRowHeight="14.5"/>
  <cols>
    <col min="1" max="1" width="9.54296875" style="23" customWidth="1"/>
    <col min="2" max="2" width="54.54296875" bestFit="1" customWidth="1"/>
    <col min="3" max="3" width="13.1796875" style="1" customWidth="1"/>
    <col min="4" max="4" width="13.1796875" style="27" customWidth="1"/>
    <col min="5" max="7" width="13.1796875" style="3" customWidth="1"/>
    <col min="8" max="8" width="13.1796875" style="27" customWidth="1"/>
    <col min="9" max="9" width="13.1796875" style="28" customWidth="1"/>
    <col min="12" max="12" width="21.7265625" bestFit="1" customWidth="1"/>
    <col min="13" max="13" width="13.453125" customWidth="1"/>
    <col min="14" max="14" width="5.26953125" customWidth="1"/>
  </cols>
  <sheetData>
    <row r="1" spans="1:16" s="207" customFormat="1" ht="15" thickBot="1">
      <c r="A1" s="23"/>
      <c r="B1" s="229" t="s">
        <v>383</v>
      </c>
      <c r="C1" s="225">
        <f>SUM(C3:C60)</f>
        <v>900</v>
      </c>
      <c r="D1" s="225"/>
      <c r="E1" s="292"/>
      <c r="F1" s="292"/>
      <c r="G1" s="292"/>
      <c r="H1" s="232">
        <f>SUM(H3:H60)</f>
        <v>4720</v>
      </c>
      <c r="I1" s="232">
        <f>SUM(I3:I60)</f>
        <v>5900</v>
      </c>
    </row>
    <row r="2" spans="1:16" s="26" customFormat="1" ht="36.65" customHeight="1" thickTop="1" thickBot="1">
      <c r="A2" s="245" t="s">
        <v>148</v>
      </c>
      <c r="B2" s="228" t="s">
        <v>253</v>
      </c>
      <c r="C2" s="226" t="s">
        <v>423</v>
      </c>
      <c r="D2" s="309" t="s">
        <v>389</v>
      </c>
      <c r="E2" s="245" t="s">
        <v>458</v>
      </c>
      <c r="F2" s="228" t="s">
        <v>457</v>
      </c>
      <c r="G2" s="315" t="s">
        <v>456</v>
      </c>
      <c r="H2" s="227" t="s">
        <v>435</v>
      </c>
      <c r="I2" s="227" t="s">
        <v>436</v>
      </c>
      <c r="J2" s="247"/>
    </row>
    <row r="3" spans="1:16" ht="15" thickTop="1">
      <c r="A3" s="293" t="s">
        <v>28</v>
      </c>
      <c r="B3" s="294" t="str">
        <f>IFERROR(VLOOKUP(A3,bhpc_data[],7,FALSE),"")</f>
        <v>BHPC PRESTIGE TROPHY 100ML EDP MEN</v>
      </c>
      <c r="C3" s="307">
        <v>100</v>
      </c>
      <c r="D3" s="310">
        <v>5</v>
      </c>
      <c r="E3" s="29"/>
      <c r="F3" s="303"/>
      <c r="G3" s="316">
        <v>20</v>
      </c>
      <c r="H3" s="301">
        <f>IF(A3="","",(C3+E3+G3)*4)</f>
        <v>480</v>
      </c>
      <c r="I3" s="231">
        <f>IF(A3="","",D3*C3)</f>
        <v>500</v>
      </c>
      <c r="J3" s="248"/>
      <c r="L3" s="158" t="s">
        <v>384</v>
      </c>
    </row>
    <row r="4" spans="1:16">
      <c r="A4" s="295" t="s">
        <v>29</v>
      </c>
      <c r="B4" s="169" t="str">
        <f>IFERROR(VLOOKUP(A4,bhpc_data[],7,FALSE),"")</f>
        <v>BHPC PRESTIGE HERITAGE OUD 100ML EDP MEN</v>
      </c>
      <c r="C4" s="308">
        <v>100</v>
      </c>
      <c r="D4" s="311">
        <v>5</v>
      </c>
      <c r="E4" s="29"/>
      <c r="F4" s="303"/>
      <c r="G4" s="316">
        <v>20</v>
      </c>
      <c r="H4" s="301">
        <f t="shared" ref="H4:H67" si="0">IF(A4="","",(C4+E4+G4)*4)</f>
        <v>480</v>
      </c>
      <c r="I4" s="231">
        <f t="shared" ref="I4:I67" si="1">IF(A4="","",D4*C4)</f>
        <v>500</v>
      </c>
      <c r="J4" s="248"/>
      <c r="L4" s="236" t="s">
        <v>385</v>
      </c>
      <c r="M4" s="237">
        <v>1</v>
      </c>
    </row>
    <row r="5" spans="1:16">
      <c r="A5" s="295" t="s">
        <v>30</v>
      </c>
      <c r="B5" s="169" t="str">
        <f>IFERROR(VLOOKUP(A5,bhpc_data[],7,FALSE),"")</f>
        <v>BHPC PRESTIGE TOUR 100ML EDP MEN</v>
      </c>
      <c r="C5" s="308">
        <v>100</v>
      </c>
      <c r="D5" s="311">
        <v>5</v>
      </c>
      <c r="E5" s="29"/>
      <c r="F5" s="303"/>
      <c r="G5" s="316">
        <v>20</v>
      </c>
      <c r="H5" s="301">
        <f t="shared" si="0"/>
        <v>480</v>
      </c>
      <c r="I5" s="231">
        <f t="shared" si="1"/>
        <v>500</v>
      </c>
      <c r="J5" s="248"/>
      <c r="L5" s="238" t="s">
        <v>386</v>
      </c>
      <c r="M5" s="239">
        <f ca="1">TODAY()</f>
        <v>45339</v>
      </c>
    </row>
    <row r="6" spans="1:16">
      <c r="A6" s="295" t="s">
        <v>31</v>
      </c>
      <c r="B6" s="169" t="str">
        <f>IFERROR(VLOOKUP(A6,bhpc_data[],7,FALSE),"")</f>
        <v>BHPC PRESTIGE TITAN 100ML EDP MEN</v>
      </c>
      <c r="C6" s="308">
        <v>100</v>
      </c>
      <c r="D6" s="311">
        <v>5</v>
      </c>
      <c r="E6" s="29"/>
      <c r="F6" s="303"/>
      <c r="G6" s="316">
        <v>20</v>
      </c>
      <c r="H6" s="301">
        <f t="shared" si="0"/>
        <v>480</v>
      </c>
      <c r="I6" s="231">
        <f t="shared" si="1"/>
        <v>500</v>
      </c>
      <c r="J6" s="248"/>
      <c r="L6" s="238" t="s">
        <v>387</v>
      </c>
      <c r="M6" s="240" t="s">
        <v>264</v>
      </c>
    </row>
    <row r="7" spans="1:16">
      <c r="A7" s="295" t="s">
        <v>44</v>
      </c>
      <c r="B7" s="169" t="str">
        <f>IFERROR(VLOOKUP(A7,bhpc_data[],7,FALSE),"")</f>
        <v>BHPC GIFT SET SPORT MEN 1 EDT 100ML + DEO 175ML</v>
      </c>
      <c r="C7" s="308">
        <v>100</v>
      </c>
      <c r="D7" s="311">
        <v>6</v>
      </c>
      <c r="E7" s="29"/>
      <c r="F7" s="303"/>
      <c r="G7" s="316"/>
      <c r="H7" s="301">
        <f t="shared" si="0"/>
        <v>400</v>
      </c>
      <c r="I7" s="231">
        <f t="shared" si="1"/>
        <v>600</v>
      </c>
      <c r="J7" s="248"/>
      <c r="L7" s="238" t="s">
        <v>388</v>
      </c>
      <c r="M7" s="241" t="s">
        <v>272</v>
      </c>
    </row>
    <row r="8" spans="1:16">
      <c r="A8" s="295" t="s">
        <v>45</v>
      </c>
      <c r="B8" s="169" t="str">
        <f>IFERROR(VLOOKUP(A8,bhpc_data[],7,FALSE),"")</f>
        <v>BHPC GIFT SET SPORT MEN 9 EDT 100ML + DEO 175ML</v>
      </c>
      <c r="C8" s="308">
        <v>100</v>
      </c>
      <c r="D8" s="311">
        <v>6</v>
      </c>
      <c r="E8" s="29"/>
      <c r="F8" s="303"/>
      <c r="G8" s="316"/>
      <c r="H8" s="301">
        <f t="shared" si="0"/>
        <v>400</v>
      </c>
      <c r="I8" s="231">
        <f t="shared" si="1"/>
        <v>600</v>
      </c>
      <c r="J8" s="248"/>
      <c r="L8" s="238" t="s">
        <v>428</v>
      </c>
      <c r="M8" s="242"/>
    </row>
    <row r="9" spans="1:16">
      <c r="A9" s="295" t="s">
        <v>46</v>
      </c>
      <c r="B9" s="169" t="str">
        <f>IFERROR(VLOOKUP(A9,bhpc_data[],7,FALSE),"")</f>
        <v>BHPC GIFT SET SPORT MEN 8 EDT 100ML + DEO 175ML</v>
      </c>
      <c r="C9" s="308">
        <v>100</v>
      </c>
      <c r="D9" s="311">
        <v>6</v>
      </c>
      <c r="E9" s="29"/>
      <c r="F9" s="303"/>
      <c r="G9" s="316"/>
      <c r="H9" s="301">
        <f t="shared" si="0"/>
        <v>400</v>
      </c>
      <c r="I9" s="231">
        <f t="shared" si="1"/>
        <v>600</v>
      </c>
      <c r="J9" s="248"/>
      <c r="L9" s="238" t="s">
        <v>433</v>
      </c>
      <c r="M9" s="242">
        <f>I1-H1</f>
        <v>1180</v>
      </c>
    </row>
    <row r="10" spans="1:16">
      <c r="A10" s="295" t="s">
        <v>47</v>
      </c>
      <c r="B10" s="169" t="str">
        <f>IFERROR(VLOOKUP(A10,bhpc_data[],7,FALSE),"")</f>
        <v>BHPC GIFT SET SPORT MEN 2 EDT 100ML + DEO 175ML</v>
      </c>
      <c r="C10" s="308">
        <v>100</v>
      </c>
      <c r="D10" s="311">
        <v>6</v>
      </c>
      <c r="E10" s="29"/>
      <c r="F10" s="303"/>
      <c r="G10" s="316"/>
      <c r="H10" s="301">
        <f t="shared" si="0"/>
        <v>400</v>
      </c>
      <c r="I10" s="231">
        <f t="shared" si="1"/>
        <v>600</v>
      </c>
      <c r="J10" s="248"/>
      <c r="L10" s="305" t="s">
        <v>434</v>
      </c>
      <c r="M10" s="306">
        <f>$I$1*7%</f>
        <v>413.00000000000006</v>
      </c>
    </row>
    <row r="11" spans="1:16">
      <c r="A11" s="295" t="s">
        <v>146</v>
      </c>
      <c r="B11" s="169" t="str">
        <f>IFERROR(VLOOKUP(A11,bhpc_data[],7,FALSE),"")</f>
        <v xml:space="preserve">BHPC GIFTSET PRESTIGE TROPHY EDP100ML + DEO 300ML </v>
      </c>
      <c r="C11" s="308">
        <v>100</v>
      </c>
      <c r="D11" s="311">
        <v>15</v>
      </c>
      <c r="E11" s="29"/>
      <c r="F11" s="303"/>
      <c r="G11" s="316"/>
      <c r="H11" s="301">
        <f>IF(A11="","",(C11+E11+G11)*12)</f>
        <v>1200</v>
      </c>
      <c r="I11" s="231">
        <f t="shared" si="1"/>
        <v>1500</v>
      </c>
      <c r="J11" s="248"/>
    </row>
    <row r="12" spans="1:16">
      <c r="A12" s="296"/>
      <c r="B12" s="169"/>
      <c r="C12" s="308"/>
      <c r="D12" s="311"/>
      <c r="E12" s="29"/>
      <c r="F12" s="303"/>
      <c r="G12" s="316"/>
      <c r="H12" s="301" t="str">
        <f t="shared" si="0"/>
        <v/>
      </c>
      <c r="I12" s="231" t="str">
        <f t="shared" si="1"/>
        <v/>
      </c>
      <c r="J12" s="248"/>
      <c r="L12" s="236" t="s">
        <v>396</v>
      </c>
      <c r="M12" s="297"/>
      <c r="O12" s="207" t="s">
        <v>450</v>
      </c>
    </row>
    <row r="13" spans="1:16">
      <c r="A13" s="296"/>
      <c r="B13" s="169"/>
      <c r="C13" s="308"/>
      <c r="D13" s="311"/>
      <c r="E13" s="29"/>
      <c r="F13" s="303"/>
      <c r="G13" s="316"/>
      <c r="H13" s="301" t="str">
        <f t="shared" si="0"/>
        <v/>
      </c>
      <c r="I13" s="231" t="str">
        <f t="shared" si="1"/>
        <v/>
      </c>
      <c r="J13" s="248"/>
      <c r="L13" s="298" t="s">
        <v>432</v>
      </c>
      <c r="M13" s="299"/>
      <c r="O13" s="207" t="s">
        <v>451</v>
      </c>
    </row>
    <row r="14" spans="1:16">
      <c r="A14" s="295"/>
      <c r="B14" s="169"/>
      <c r="C14" s="308"/>
      <c r="D14" s="311"/>
      <c r="E14" s="29"/>
      <c r="F14" s="303"/>
      <c r="G14" s="316"/>
      <c r="H14" s="301" t="str">
        <f t="shared" si="0"/>
        <v/>
      </c>
      <c r="I14" s="231" t="str">
        <f t="shared" si="1"/>
        <v/>
      </c>
      <c r="J14" s="248"/>
      <c r="L14" s="298" t="s">
        <v>397</v>
      </c>
      <c r="M14" s="299"/>
      <c r="O14" s="207" t="s">
        <v>452</v>
      </c>
      <c r="P14" s="207"/>
    </row>
    <row r="15" spans="1:16">
      <c r="A15" s="295"/>
      <c r="B15" s="169"/>
      <c r="C15" s="308"/>
      <c r="D15" s="312"/>
      <c r="E15" s="29"/>
      <c r="F15" s="303"/>
      <c r="G15" s="316"/>
      <c r="H15" s="301" t="str">
        <f t="shared" si="0"/>
        <v/>
      </c>
      <c r="I15" s="231" t="str">
        <f t="shared" si="1"/>
        <v/>
      </c>
      <c r="J15" s="248"/>
      <c r="L15" s="300" t="s">
        <v>398</v>
      </c>
      <c r="M15" s="299"/>
      <c r="O15" s="207" t="s">
        <v>453</v>
      </c>
      <c r="P15" s="207"/>
    </row>
    <row r="16" spans="1:16">
      <c r="A16" s="295"/>
      <c r="B16" s="169" t="str">
        <f>IFERROR(VLOOKUP(A16,bhpc_data[],7,FALSE),"")</f>
        <v/>
      </c>
      <c r="C16" s="308"/>
      <c r="D16" s="312"/>
      <c r="E16" s="29"/>
      <c r="F16" s="303"/>
      <c r="G16" s="316"/>
      <c r="H16" s="30" t="str">
        <f t="shared" si="0"/>
        <v/>
      </c>
      <c r="I16" s="231" t="str">
        <f t="shared" si="1"/>
        <v/>
      </c>
      <c r="J16" s="248"/>
      <c r="L16" s="300" t="s">
        <v>413</v>
      </c>
      <c r="M16" s="299"/>
      <c r="O16" s="207"/>
      <c r="P16" s="207"/>
    </row>
    <row r="17" spans="1:15">
      <c r="A17" s="295"/>
      <c r="B17" s="169" t="str">
        <f>IFERROR(VLOOKUP(A17,bhpc_data[],7,FALSE),"")</f>
        <v/>
      </c>
      <c r="C17" s="308"/>
      <c r="D17" s="312"/>
      <c r="E17" s="29"/>
      <c r="F17" s="303"/>
      <c r="G17" s="316"/>
      <c r="H17" s="30" t="str">
        <f t="shared" si="0"/>
        <v/>
      </c>
      <c r="I17" s="231" t="str">
        <f t="shared" si="1"/>
        <v/>
      </c>
      <c r="J17" s="248"/>
      <c r="L17" s="298" t="s">
        <v>430</v>
      </c>
      <c r="M17" s="299"/>
      <c r="O17" s="207" t="s">
        <v>454</v>
      </c>
    </row>
    <row r="18" spans="1:15">
      <c r="A18" s="295"/>
      <c r="B18" s="169" t="str">
        <f>IFERROR(VLOOKUP(A18,bhpc_data[],7,FALSE),"")</f>
        <v/>
      </c>
      <c r="C18" s="308"/>
      <c r="D18" s="312"/>
      <c r="E18" s="29"/>
      <c r="F18" s="303"/>
      <c r="G18" s="316"/>
      <c r="H18" s="30" t="str">
        <f t="shared" si="0"/>
        <v/>
      </c>
      <c r="I18" s="231" t="str">
        <f t="shared" si="1"/>
        <v/>
      </c>
      <c r="J18" s="248"/>
      <c r="L18" s="298" t="s">
        <v>431</v>
      </c>
      <c r="M18" s="299"/>
      <c r="O18" s="207" t="s">
        <v>455</v>
      </c>
    </row>
    <row r="19" spans="1:15">
      <c r="A19" s="295"/>
      <c r="B19" s="169" t="str">
        <f>IFERROR(VLOOKUP(A19,bhpc_data[],7,FALSE),"")</f>
        <v/>
      </c>
      <c r="C19" s="308"/>
      <c r="D19" s="312"/>
      <c r="E19" s="29"/>
      <c r="F19" s="303"/>
      <c r="G19" s="316"/>
      <c r="H19" s="30" t="str">
        <f t="shared" si="0"/>
        <v/>
      </c>
      <c r="I19" s="231" t="str">
        <f t="shared" si="1"/>
        <v/>
      </c>
      <c r="J19" s="248"/>
      <c r="L19" s="302" t="s">
        <v>405</v>
      </c>
      <c r="M19" s="244"/>
      <c r="O19" s="207"/>
    </row>
    <row r="20" spans="1:15">
      <c r="A20" s="295"/>
      <c r="B20" s="169" t="str">
        <f>IFERROR(VLOOKUP(A20,bhpc_data[],7,FALSE),"")</f>
        <v/>
      </c>
      <c r="C20" s="308"/>
      <c r="D20" s="312"/>
      <c r="E20" s="29"/>
      <c r="F20" s="303"/>
      <c r="G20" s="316"/>
      <c r="H20" s="30" t="str">
        <f t="shared" si="0"/>
        <v/>
      </c>
      <c r="I20" s="231" t="str">
        <f t="shared" si="1"/>
        <v/>
      </c>
      <c r="J20" s="248"/>
      <c r="O20" s="207"/>
    </row>
    <row r="21" spans="1:15">
      <c r="A21" s="295"/>
      <c r="B21" s="169" t="str">
        <f>IFERROR(VLOOKUP(A21,bhpc_data[],7,FALSE),"")</f>
        <v/>
      </c>
      <c r="C21" s="308"/>
      <c r="D21" s="312"/>
      <c r="E21" s="29"/>
      <c r="F21" s="303"/>
      <c r="G21" s="316"/>
      <c r="H21" s="30" t="str">
        <f t="shared" si="0"/>
        <v/>
      </c>
      <c r="I21" s="231" t="str">
        <f t="shared" si="1"/>
        <v/>
      </c>
      <c r="J21" s="248"/>
      <c r="L21" s="236" t="s">
        <v>399</v>
      </c>
      <c r="M21" s="297"/>
    </row>
    <row r="22" spans="1:15">
      <c r="B22" s="169" t="str">
        <f>IFERROR(VLOOKUP(A22,bhpc_data[],7,FALSE),"")</f>
        <v/>
      </c>
      <c r="C22" s="31"/>
      <c r="D22" s="313"/>
      <c r="E22" s="29"/>
      <c r="F22" s="303"/>
      <c r="G22" s="316"/>
      <c r="H22" s="230" t="str">
        <f t="shared" si="0"/>
        <v/>
      </c>
      <c r="I22" s="231" t="str">
        <f t="shared" si="1"/>
        <v/>
      </c>
      <c r="J22" s="248"/>
      <c r="L22" s="298" t="s">
        <v>446</v>
      </c>
      <c r="M22" s="299"/>
    </row>
    <row r="23" spans="1:15">
      <c r="B23" s="169" t="str">
        <f>IFERROR(VLOOKUP(A23,bhpc_data[],7,FALSE),"")</f>
        <v/>
      </c>
      <c r="C23" s="31"/>
      <c r="D23" s="313"/>
      <c r="E23" s="29"/>
      <c r="F23" s="303"/>
      <c r="G23" s="316"/>
      <c r="H23" s="230" t="str">
        <f t="shared" si="0"/>
        <v/>
      </c>
      <c r="I23" s="231" t="str">
        <f t="shared" si="1"/>
        <v/>
      </c>
      <c r="J23" s="248"/>
      <c r="L23" s="298"/>
      <c r="M23" s="299"/>
    </row>
    <row r="24" spans="1:15">
      <c r="B24" s="169" t="str">
        <f>IFERROR(VLOOKUP(A24,bhpc_data[],7,FALSE),"")</f>
        <v/>
      </c>
      <c r="C24" s="31"/>
      <c r="D24" s="313"/>
      <c r="E24" s="29"/>
      <c r="F24" s="303"/>
      <c r="G24" s="316"/>
      <c r="H24" s="230" t="str">
        <f t="shared" si="0"/>
        <v/>
      </c>
      <c r="I24" s="231" t="str">
        <f t="shared" si="1"/>
        <v/>
      </c>
      <c r="J24" s="248"/>
      <c r="L24" s="298"/>
      <c r="M24" s="299"/>
    </row>
    <row r="25" spans="1:15">
      <c r="B25" s="169" t="str">
        <f>IFERROR(VLOOKUP(A25,bhpc_data[],7,FALSE),"")</f>
        <v/>
      </c>
      <c r="C25" s="31"/>
      <c r="D25" s="313"/>
      <c r="E25" s="29"/>
      <c r="F25" s="303"/>
      <c r="G25" s="316"/>
      <c r="H25" s="230" t="str">
        <f t="shared" si="0"/>
        <v/>
      </c>
      <c r="I25" s="231" t="str">
        <f t="shared" si="1"/>
        <v/>
      </c>
      <c r="J25" s="248"/>
      <c r="L25" s="243"/>
      <c r="M25" s="244"/>
    </row>
    <row r="26" spans="1:15">
      <c r="B26" s="169" t="str">
        <f>IFERROR(VLOOKUP(A26,bhpc_data[],7,FALSE),"")</f>
        <v/>
      </c>
      <c r="C26" s="31"/>
      <c r="D26" s="313"/>
      <c r="E26" s="29"/>
      <c r="F26" s="303"/>
      <c r="G26" s="316"/>
      <c r="H26" s="230" t="str">
        <f t="shared" si="0"/>
        <v/>
      </c>
      <c r="I26" s="231" t="str">
        <f t="shared" si="1"/>
        <v/>
      </c>
      <c r="J26" s="248"/>
    </row>
    <row r="27" spans="1:15">
      <c r="B27" s="169" t="str">
        <f>IFERROR(VLOOKUP(A27,bhpc_data[],7,FALSE),"")</f>
        <v/>
      </c>
      <c r="C27" s="31"/>
      <c r="D27" s="313"/>
      <c r="E27" s="29"/>
      <c r="F27" s="303"/>
      <c r="G27" s="316"/>
      <c r="H27" s="230" t="str">
        <f t="shared" si="0"/>
        <v/>
      </c>
      <c r="I27" s="231" t="str">
        <f t="shared" si="1"/>
        <v/>
      </c>
      <c r="J27" s="248"/>
      <c r="L27" s="236" t="s">
        <v>443</v>
      </c>
      <c r="M27" s="297"/>
    </row>
    <row r="28" spans="1:15">
      <c r="B28" s="169" t="str">
        <f>IFERROR(VLOOKUP(A28,bhpc_data[],7,FALSE),"")</f>
        <v/>
      </c>
      <c r="C28" s="31"/>
      <c r="D28" s="313"/>
      <c r="E28" s="29"/>
      <c r="F28" s="303"/>
      <c r="G28" s="316"/>
      <c r="H28" s="230" t="str">
        <f t="shared" si="0"/>
        <v/>
      </c>
      <c r="I28" s="231" t="str">
        <f t="shared" si="1"/>
        <v/>
      </c>
      <c r="J28" s="248"/>
      <c r="L28" s="298" t="s">
        <v>444</v>
      </c>
      <c r="M28" s="299">
        <f>M16*10</f>
        <v>0</v>
      </c>
    </row>
    <row r="29" spans="1:15">
      <c r="B29" s="169" t="str">
        <f>IFERROR(VLOOKUP(A29,bhpc_data[],7,FALSE),"")</f>
        <v/>
      </c>
      <c r="C29" s="31"/>
      <c r="D29" s="313"/>
      <c r="E29" s="29"/>
      <c r="F29" s="303"/>
      <c r="G29" s="316"/>
      <c r="H29" s="230" t="str">
        <f t="shared" si="0"/>
        <v/>
      </c>
      <c r="I29" s="231" t="str">
        <f t="shared" si="1"/>
        <v/>
      </c>
      <c r="J29" s="248"/>
      <c r="L29" s="298" t="s">
        <v>447</v>
      </c>
      <c r="M29" s="299">
        <f>M16*4</f>
        <v>0</v>
      </c>
    </row>
    <row r="30" spans="1:15">
      <c r="B30" s="169" t="str">
        <f>IFERROR(VLOOKUP(A30,bhpc_data[],7,FALSE),"")</f>
        <v/>
      </c>
      <c r="C30" s="31"/>
      <c r="D30" s="313"/>
      <c r="E30" s="29"/>
      <c r="F30" s="303"/>
      <c r="G30" s="316"/>
      <c r="H30" s="230" t="str">
        <f t="shared" si="0"/>
        <v/>
      </c>
      <c r="I30" s="231" t="str">
        <f t="shared" si="1"/>
        <v/>
      </c>
      <c r="J30" s="248"/>
      <c r="L30" s="298" t="s">
        <v>445</v>
      </c>
      <c r="M30" s="299"/>
    </row>
    <row r="31" spans="1:15">
      <c r="B31" s="169" t="str">
        <f>IFERROR(VLOOKUP(A31,bhpc_data[],7,FALSE),"")</f>
        <v/>
      </c>
      <c r="C31" s="31"/>
      <c r="D31" s="313"/>
      <c r="E31" s="29"/>
      <c r="F31" s="303"/>
      <c r="G31" s="316"/>
      <c r="H31" s="230" t="str">
        <f t="shared" si="0"/>
        <v/>
      </c>
      <c r="I31" s="231" t="str">
        <f t="shared" si="1"/>
        <v/>
      </c>
      <c r="J31" s="248"/>
      <c r="L31" s="298" t="s">
        <v>448</v>
      </c>
      <c r="M31" s="299"/>
    </row>
    <row r="32" spans="1:15">
      <c r="B32" s="169" t="str">
        <f>IFERROR(VLOOKUP(A32,bhpc_data[],7,FALSE),"")</f>
        <v/>
      </c>
      <c r="C32" s="31"/>
      <c r="D32" s="313"/>
      <c r="E32" s="29"/>
      <c r="F32" s="303"/>
      <c r="G32" s="316"/>
      <c r="H32" s="230" t="str">
        <f t="shared" si="0"/>
        <v/>
      </c>
      <c r="I32" s="231" t="str">
        <f t="shared" si="1"/>
        <v/>
      </c>
      <c r="J32" s="248"/>
      <c r="L32" s="243" t="s">
        <v>449</v>
      </c>
      <c r="M32" s="244"/>
    </row>
    <row r="33" spans="2:13">
      <c r="B33" s="169" t="str">
        <f>IFERROR(VLOOKUP(A33,bhpc_data[],7,FALSE),"")</f>
        <v/>
      </c>
      <c r="C33" s="31"/>
      <c r="D33" s="313"/>
      <c r="E33" s="29"/>
      <c r="F33" s="303"/>
      <c r="G33" s="316"/>
      <c r="H33" s="230" t="str">
        <f t="shared" si="0"/>
        <v/>
      </c>
      <c r="I33" s="231" t="str">
        <f t="shared" si="1"/>
        <v/>
      </c>
      <c r="J33" s="248"/>
    </row>
    <row r="34" spans="2:13">
      <c r="B34" s="169" t="str">
        <f>IFERROR(VLOOKUP(A34,bhpc_data[],7,FALSE),"")</f>
        <v/>
      </c>
      <c r="C34" s="31"/>
      <c r="D34" s="313"/>
      <c r="E34" s="29"/>
      <c r="F34" s="303"/>
      <c r="G34" s="316"/>
      <c r="H34" s="230" t="str">
        <f t="shared" si="0"/>
        <v/>
      </c>
      <c r="I34" s="231" t="str">
        <f t="shared" si="1"/>
        <v/>
      </c>
      <c r="J34" s="248"/>
      <c r="L34" s="236" t="s">
        <v>401</v>
      </c>
      <c r="M34" s="297"/>
    </row>
    <row r="35" spans="2:13">
      <c r="B35" s="169" t="str">
        <f>IFERROR(VLOOKUP(A35,bhpc_data[],7,FALSE),"")</f>
        <v/>
      </c>
      <c r="C35" s="31"/>
      <c r="D35" s="313"/>
      <c r="E35" s="29"/>
      <c r="F35" s="303"/>
      <c r="G35" s="316"/>
      <c r="H35" s="230" t="str">
        <f t="shared" si="0"/>
        <v/>
      </c>
      <c r="I35" s="231" t="str">
        <f t="shared" si="1"/>
        <v/>
      </c>
      <c r="J35" s="248"/>
      <c r="L35" s="298" t="s">
        <v>402</v>
      </c>
      <c r="M35" s="299"/>
    </row>
    <row r="36" spans="2:13">
      <c r="B36" s="169" t="str">
        <f>IFERROR(VLOOKUP(A36,bhpc_data[],7,FALSE),"")</f>
        <v/>
      </c>
      <c r="C36" s="31"/>
      <c r="D36" s="313"/>
      <c r="E36" s="29"/>
      <c r="F36" s="303"/>
      <c r="G36" s="316"/>
      <c r="H36" s="230" t="str">
        <f t="shared" si="0"/>
        <v/>
      </c>
      <c r="I36" s="231" t="str">
        <f t="shared" si="1"/>
        <v/>
      </c>
      <c r="J36" s="248"/>
      <c r="L36" s="298" t="s">
        <v>403</v>
      </c>
      <c r="M36" s="299"/>
    </row>
    <row r="37" spans="2:13">
      <c r="B37" s="169" t="str">
        <f>IFERROR(VLOOKUP(A37,bhpc_data[],7,FALSE),"")</f>
        <v/>
      </c>
      <c r="C37" s="31"/>
      <c r="D37" s="313"/>
      <c r="E37" s="29"/>
      <c r="F37" s="303"/>
      <c r="G37" s="316"/>
      <c r="H37" s="230" t="str">
        <f t="shared" si="0"/>
        <v/>
      </c>
      <c r="I37" s="231" t="str">
        <f t="shared" si="1"/>
        <v/>
      </c>
      <c r="J37" s="248"/>
      <c r="L37" s="298"/>
      <c r="M37" s="299"/>
    </row>
    <row r="38" spans="2:13">
      <c r="B38" s="169" t="str">
        <f>IFERROR(VLOOKUP(A38,bhpc_data[],7,FALSE),"")</f>
        <v/>
      </c>
      <c r="C38" s="31"/>
      <c r="D38" s="313"/>
      <c r="E38" s="29"/>
      <c r="F38" s="303"/>
      <c r="G38" s="316"/>
      <c r="H38" s="230" t="str">
        <f t="shared" si="0"/>
        <v/>
      </c>
      <c r="I38" s="231" t="str">
        <f t="shared" si="1"/>
        <v/>
      </c>
      <c r="J38" s="248"/>
      <c r="L38" s="243"/>
      <c r="M38" s="244"/>
    </row>
    <row r="39" spans="2:13">
      <c r="B39" s="169" t="str">
        <f>IFERROR(VLOOKUP(A39,bhpc_data[],7,FALSE),"")</f>
        <v/>
      </c>
      <c r="C39" s="31"/>
      <c r="D39" s="313"/>
      <c r="E39" s="29"/>
      <c r="F39" s="303"/>
      <c r="G39" s="316"/>
      <c r="H39" s="230" t="str">
        <f t="shared" si="0"/>
        <v/>
      </c>
      <c r="I39" s="231" t="str">
        <f t="shared" si="1"/>
        <v/>
      </c>
      <c r="J39" s="248"/>
    </row>
    <row r="40" spans="2:13">
      <c r="B40" s="169" t="str">
        <f>IFERROR(VLOOKUP(A40,bhpc_data[],7,FALSE),"")</f>
        <v/>
      </c>
      <c r="C40" s="31"/>
      <c r="D40" s="313"/>
      <c r="E40" s="29"/>
      <c r="F40" s="303"/>
      <c r="G40" s="316"/>
      <c r="H40" s="230" t="str">
        <f t="shared" si="0"/>
        <v/>
      </c>
      <c r="I40" s="231" t="str">
        <f t="shared" si="1"/>
        <v/>
      </c>
      <c r="J40" s="248"/>
    </row>
    <row r="41" spans="2:13">
      <c r="B41" s="169" t="str">
        <f>IFERROR(VLOOKUP(A41,bhpc_data[],7,FALSE),"")</f>
        <v/>
      </c>
      <c r="C41" s="31"/>
      <c r="D41" s="313"/>
      <c r="E41" s="29"/>
      <c r="F41" s="303"/>
      <c r="G41" s="316"/>
      <c r="H41" s="230" t="str">
        <f t="shared" si="0"/>
        <v/>
      </c>
      <c r="I41" s="231" t="str">
        <f t="shared" si="1"/>
        <v/>
      </c>
      <c r="J41" s="248"/>
    </row>
    <row r="42" spans="2:13">
      <c r="B42" s="169" t="str">
        <f>IFERROR(VLOOKUP(A42,bhpc_data[],7,FALSE),"")</f>
        <v/>
      </c>
      <c r="C42" s="31"/>
      <c r="D42" s="313"/>
      <c r="E42" s="29"/>
      <c r="F42" s="303"/>
      <c r="G42" s="316"/>
      <c r="H42" s="230" t="str">
        <f t="shared" si="0"/>
        <v/>
      </c>
      <c r="I42" s="231" t="str">
        <f t="shared" si="1"/>
        <v/>
      </c>
      <c r="J42" s="248"/>
    </row>
    <row r="43" spans="2:13">
      <c r="B43" s="169" t="str">
        <f>IFERROR(VLOOKUP(A43,bhpc_data[],7,FALSE),"")</f>
        <v/>
      </c>
      <c r="C43" s="31"/>
      <c r="D43" s="313"/>
      <c r="E43" s="29"/>
      <c r="F43" s="303"/>
      <c r="G43" s="316"/>
      <c r="H43" s="230" t="str">
        <f t="shared" si="0"/>
        <v/>
      </c>
      <c r="I43" s="231" t="str">
        <f t="shared" si="1"/>
        <v/>
      </c>
      <c r="J43" s="248"/>
    </row>
    <row r="44" spans="2:13">
      <c r="B44" s="169" t="str">
        <f>IFERROR(VLOOKUP(A44,bhpc_data[],7,FALSE),"")</f>
        <v/>
      </c>
      <c r="C44" s="31"/>
      <c r="D44" s="313"/>
      <c r="E44" s="29"/>
      <c r="F44" s="303"/>
      <c r="G44" s="316"/>
      <c r="H44" s="230" t="str">
        <f t="shared" si="0"/>
        <v/>
      </c>
      <c r="I44" s="231" t="str">
        <f t="shared" si="1"/>
        <v/>
      </c>
      <c r="J44" s="248"/>
    </row>
    <row r="45" spans="2:13">
      <c r="B45" s="169" t="str">
        <f>IFERROR(VLOOKUP(A45,bhpc_data[],7,FALSE),"")</f>
        <v/>
      </c>
      <c r="C45" s="31"/>
      <c r="D45" s="313"/>
      <c r="E45" s="29"/>
      <c r="F45" s="303"/>
      <c r="G45" s="316"/>
      <c r="H45" s="230" t="str">
        <f t="shared" si="0"/>
        <v/>
      </c>
      <c r="I45" s="231" t="str">
        <f t="shared" si="1"/>
        <v/>
      </c>
      <c r="J45" s="248"/>
    </row>
    <row r="46" spans="2:13">
      <c r="B46" s="169" t="str">
        <f>IFERROR(VLOOKUP(A46,bhpc_data[],7,FALSE),"")</f>
        <v/>
      </c>
      <c r="C46" s="31"/>
      <c r="D46" s="313"/>
      <c r="E46" s="29"/>
      <c r="F46" s="303"/>
      <c r="G46" s="316"/>
      <c r="H46" s="230" t="str">
        <f t="shared" si="0"/>
        <v/>
      </c>
      <c r="I46" s="231" t="str">
        <f t="shared" si="1"/>
        <v/>
      </c>
      <c r="J46" s="248"/>
    </row>
    <row r="47" spans="2:13">
      <c r="B47" s="169" t="str">
        <f>IFERROR(VLOOKUP(A47,bhpc_data[],7,FALSE),"")</f>
        <v/>
      </c>
      <c r="C47" s="31"/>
      <c r="D47" s="313"/>
      <c r="E47" s="29"/>
      <c r="F47" s="303"/>
      <c r="G47" s="316"/>
      <c r="H47" s="230" t="str">
        <f t="shared" si="0"/>
        <v/>
      </c>
      <c r="I47" s="231" t="str">
        <f t="shared" si="1"/>
        <v/>
      </c>
      <c r="J47" s="248"/>
    </row>
    <row r="48" spans="2:13">
      <c r="B48" s="169" t="str">
        <f>IFERROR(VLOOKUP(A48,bhpc_data[],7,FALSE),"")</f>
        <v/>
      </c>
      <c r="C48" s="31"/>
      <c r="D48" s="313"/>
      <c r="E48" s="29"/>
      <c r="F48" s="303"/>
      <c r="G48" s="316"/>
      <c r="H48" s="230" t="str">
        <f t="shared" si="0"/>
        <v/>
      </c>
      <c r="I48" s="231" t="str">
        <f t="shared" si="1"/>
        <v/>
      </c>
      <c r="J48" s="248"/>
    </row>
    <row r="49" spans="2:10">
      <c r="B49" s="169" t="str">
        <f>IFERROR(VLOOKUP(A49,bhpc_data[],7,FALSE),"")</f>
        <v/>
      </c>
      <c r="C49" s="31"/>
      <c r="D49" s="313"/>
      <c r="E49" s="29"/>
      <c r="F49" s="303"/>
      <c r="G49" s="316"/>
      <c r="H49" s="230" t="str">
        <f t="shared" si="0"/>
        <v/>
      </c>
      <c r="I49" s="231" t="str">
        <f t="shared" si="1"/>
        <v/>
      </c>
      <c r="J49" s="248"/>
    </row>
    <row r="50" spans="2:10">
      <c r="B50" s="169" t="str">
        <f>IFERROR(VLOOKUP(A50,bhpc_data[],7,FALSE),"")</f>
        <v/>
      </c>
      <c r="C50" s="31"/>
      <c r="D50" s="313"/>
      <c r="E50" s="29"/>
      <c r="F50" s="303"/>
      <c r="G50" s="316"/>
      <c r="H50" s="230" t="str">
        <f t="shared" si="0"/>
        <v/>
      </c>
      <c r="I50" s="231" t="str">
        <f t="shared" si="1"/>
        <v/>
      </c>
      <c r="J50" s="248"/>
    </row>
    <row r="51" spans="2:10">
      <c r="B51" s="169" t="str">
        <f>IFERROR(VLOOKUP(A51,bhpc_data[],7,FALSE),"")</f>
        <v/>
      </c>
      <c r="C51" s="31"/>
      <c r="D51" s="313"/>
      <c r="E51" s="29"/>
      <c r="F51" s="303"/>
      <c r="G51" s="316"/>
      <c r="H51" s="230" t="str">
        <f t="shared" si="0"/>
        <v/>
      </c>
      <c r="I51" s="231" t="str">
        <f t="shared" si="1"/>
        <v/>
      </c>
      <c r="J51" s="248"/>
    </row>
    <row r="52" spans="2:10">
      <c r="B52" s="169" t="str">
        <f>IFERROR(VLOOKUP(A52,bhpc_data[],7,FALSE),"")</f>
        <v/>
      </c>
      <c r="C52" s="31"/>
      <c r="D52" s="313"/>
      <c r="F52" s="169"/>
      <c r="G52" s="317"/>
      <c r="H52" s="230" t="str">
        <f t="shared" si="0"/>
        <v/>
      </c>
      <c r="I52" s="231" t="str">
        <f t="shared" si="1"/>
        <v/>
      </c>
      <c r="J52" s="248"/>
    </row>
    <row r="53" spans="2:10">
      <c r="B53" s="169" t="str">
        <f>IFERROR(VLOOKUP(A53,bhpc_data[],7,FALSE),"")</f>
        <v/>
      </c>
      <c r="C53" s="31"/>
      <c r="D53" s="313"/>
      <c r="F53" s="169"/>
      <c r="G53" s="317"/>
      <c r="H53" s="230" t="str">
        <f t="shared" si="0"/>
        <v/>
      </c>
      <c r="I53" s="231" t="str">
        <f t="shared" si="1"/>
        <v/>
      </c>
      <c r="J53" s="248"/>
    </row>
    <row r="54" spans="2:10">
      <c r="B54" s="169" t="str">
        <f>IFERROR(VLOOKUP(A54,bhpc_data[],7,FALSE),"")</f>
        <v/>
      </c>
      <c r="C54" s="31"/>
      <c r="D54" s="313"/>
      <c r="F54" s="169"/>
      <c r="G54" s="317"/>
      <c r="H54" s="230" t="str">
        <f t="shared" si="0"/>
        <v/>
      </c>
      <c r="I54" s="231" t="str">
        <f t="shared" si="1"/>
        <v/>
      </c>
      <c r="J54" s="248"/>
    </row>
    <row r="55" spans="2:10">
      <c r="B55" s="169" t="str">
        <f>IFERROR(VLOOKUP(A55,bhpc_data[],7,FALSE),"")</f>
        <v/>
      </c>
      <c r="C55" s="31"/>
      <c r="D55" s="313"/>
      <c r="F55" s="169"/>
      <c r="G55" s="317"/>
      <c r="H55" s="230" t="str">
        <f t="shared" si="0"/>
        <v/>
      </c>
      <c r="I55" s="231" t="str">
        <f t="shared" si="1"/>
        <v/>
      </c>
      <c r="J55" s="248"/>
    </row>
    <row r="56" spans="2:10">
      <c r="B56" s="169" t="str">
        <f>IFERROR(VLOOKUP(A56,bhpc_data[],7,FALSE),"")</f>
        <v/>
      </c>
      <c r="C56" s="31"/>
      <c r="D56" s="313"/>
      <c r="F56" s="169"/>
      <c r="G56" s="317"/>
      <c r="H56" s="230" t="str">
        <f t="shared" si="0"/>
        <v/>
      </c>
      <c r="I56" s="231" t="str">
        <f t="shared" si="1"/>
        <v/>
      </c>
      <c r="J56" s="248"/>
    </row>
    <row r="57" spans="2:10">
      <c r="B57" s="169" t="str">
        <f>IFERROR(VLOOKUP(A57,bhpc_data[],7,FALSE),"")</f>
        <v/>
      </c>
      <c r="C57" s="31"/>
      <c r="D57" s="313"/>
      <c r="F57" s="169"/>
      <c r="G57" s="317"/>
      <c r="H57" s="230" t="str">
        <f t="shared" si="0"/>
        <v/>
      </c>
      <c r="I57" s="231" t="str">
        <f t="shared" si="1"/>
        <v/>
      </c>
      <c r="J57" s="248"/>
    </row>
    <row r="58" spans="2:10">
      <c r="B58" s="169" t="str">
        <f>IFERROR(VLOOKUP(A58,bhpc_data[],7,FALSE),"")</f>
        <v/>
      </c>
      <c r="C58" s="31"/>
      <c r="D58" s="313"/>
      <c r="F58" s="169"/>
      <c r="G58" s="317"/>
      <c r="H58" s="230" t="str">
        <f t="shared" si="0"/>
        <v/>
      </c>
      <c r="I58" s="231" t="str">
        <f t="shared" si="1"/>
        <v/>
      </c>
      <c r="J58" s="248"/>
    </row>
    <row r="59" spans="2:10">
      <c r="B59" s="169" t="str">
        <f>IFERROR(VLOOKUP(A59,bhpc_data[],7,FALSE),"")</f>
        <v/>
      </c>
      <c r="C59" s="31"/>
      <c r="D59" s="313"/>
      <c r="F59" s="169"/>
      <c r="G59" s="317"/>
      <c r="H59" s="230" t="str">
        <f t="shared" si="0"/>
        <v/>
      </c>
      <c r="I59" s="231" t="str">
        <f t="shared" si="1"/>
        <v/>
      </c>
      <c r="J59" s="248"/>
    </row>
    <row r="60" spans="2:10">
      <c r="B60" s="169" t="str">
        <f>IFERROR(VLOOKUP(A60,bhpc_data[],7,FALSE),"")</f>
        <v/>
      </c>
      <c r="C60" s="31"/>
      <c r="D60" s="313"/>
      <c r="F60" s="169"/>
      <c r="G60" s="317"/>
      <c r="H60" s="230" t="str">
        <f t="shared" si="0"/>
        <v/>
      </c>
      <c r="I60" s="231" t="str">
        <f t="shared" si="1"/>
        <v/>
      </c>
      <c r="J60" s="248"/>
    </row>
    <row r="61" spans="2:10">
      <c r="B61" s="169" t="str">
        <f>IFERROR(VLOOKUP(A61,bhpc_data[],7,FALSE),"")</f>
        <v/>
      </c>
      <c r="C61" s="31"/>
      <c r="D61" s="313"/>
      <c r="F61" s="169"/>
      <c r="G61" s="317"/>
      <c r="H61" s="230" t="str">
        <f t="shared" si="0"/>
        <v/>
      </c>
      <c r="I61" s="231" t="str">
        <f t="shared" si="1"/>
        <v/>
      </c>
      <c r="J61" s="248"/>
    </row>
    <row r="62" spans="2:10">
      <c r="B62" s="169" t="str">
        <f>IFERROR(VLOOKUP(A62,bhpc_data[],7,FALSE),"")</f>
        <v/>
      </c>
      <c r="C62" s="31"/>
      <c r="D62" s="313"/>
      <c r="F62" s="169"/>
      <c r="G62" s="317"/>
      <c r="H62" s="230" t="str">
        <f t="shared" si="0"/>
        <v/>
      </c>
      <c r="I62" s="231" t="str">
        <f t="shared" si="1"/>
        <v/>
      </c>
      <c r="J62" s="248"/>
    </row>
    <row r="63" spans="2:10">
      <c r="B63" s="169" t="str">
        <f>IFERROR(VLOOKUP(A63,bhpc_data[],7,FALSE),"")</f>
        <v/>
      </c>
      <c r="C63" s="31"/>
      <c r="D63" s="313"/>
      <c r="F63" s="169"/>
      <c r="G63" s="317"/>
      <c r="H63" s="230" t="str">
        <f t="shared" si="0"/>
        <v/>
      </c>
      <c r="I63" s="231" t="str">
        <f t="shared" si="1"/>
        <v/>
      </c>
      <c r="J63" s="248"/>
    </row>
    <row r="64" spans="2:10">
      <c r="B64" s="169" t="str">
        <f>IFERROR(VLOOKUP(A64,bhpc_data[],7,FALSE),"")</f>
        <v/>
      </c>
      <c r="C64" s="31"/>
      <c r="D64" s="313"/>
      <c r="F64" s="169"/>
      <c r="G64" s="317"/>
      <c r="H64" s="230" t="str">
        <f t="shared" si="0"/>
        <v/>
      </c>
      <c r="I64" s="231" t="str">
        <f t="shared" si="1"/>
        <v/>
      </c>
      <c r="J64" s="248"/>
    </row>
    <row r="65" spans="2:10">
      <c r="B65" s="169" t="str">
        <f>IFERROR(VLOOKUP(A65,bhpc_data[],7,FALSE),"")</f>
        <v/>
      </c>
      <c r="C65" s="31"/>
      <c r="D65" s="313"/>
      <c r="F65" s="169"/>
      <c r="G65" s="317"/>
      <c r="H65" s="230" t="str">
        <f t="shared" si="0"/>
        <v/>
      </c>
      <c r="I65" s="231" t="str">
        <f t="shared" si="1"/>
        <v/>
      </c>
      <c r="J65" s="248"/>
    </row>
    <row r="66" spans="2:10">
      <c r="B66" s="169" t="str">
        <f>IFERROR(VLOOKUP(A66,bhpc_data[],7,FALSE),"")</f>
        <v/>
      </c>
      <c r="C66" s="31"/>
      <c r="D66" s="313"/>
      <c r="F66" s="169"/>
      <c r="G66" s="317"/>
      <c r="H66" s="230" t="str">
        <f t="shared" si="0"/>
        <v/>
      </c>
      <c r="I66" s="231" t="str">
        <f t="shared" si="1"/>
        <v/>
      </c>
      <c r="J66" s="248"/>
    </row>
    <row r="67" spans="2:10">
      <c r="B67" s="169" t="str">
        <f>IFERROR(VLOOKUP(A67,bhpc_data[],7,FALSE),"")</f>
        <v/>
      </c>
      <c r="C67" s="31"/>
      <c r="D67" s="313"/>
      <c r="F67" s="169"/>
      <c r="G67" s="317"/>
      <c r="H67" s="230" t="str">
        <f t="shared" si="0"/>
        <v/>
      </c>
      <c r="I67" s="231" t="str">
        <f t="shared" si="1"/>
        <v/>
      </c>
      <c r="J67" s="248"/>
    </row>
    <row r="68" spans="2:10">
      <c r="B68" s="169" t="str">
        <f>IFERROR(VLOOKUP(A68,bhpc_data[],7,FALSE),"")</f>
        <v/>
      </c>
      <c r="C68" s="31"/>
      <c r="D68" s="313"/>
      <c r="F68" s="169"/>
      <c r="G68" s="317"/>
      <c r="H68" s="230" t="str">
        <f t="shared" ref="H68:H100" si="2">IF(A68="","",(C68+E68+G68)*4)</f>
        <v/>
      </c>
      <c r="I68" s="231" t="str">
        <f t="shared" ref="I68:I99" si="3">IF(A68="","",D68*C68)</f>
        <v/>
      </c>
      <c r="J68" s="248"/>
    </row>
    <row r="69" spans="2:10">
      <c r="B69" s="169" t="str">
        <f>IFERROR(VLOOKUP(A69,bhpc_data[],7,FALSE),"")</f>
        <v/>
      </c>
      <c r="C69" s="31"/>
      <c r="D69" s="313"/>
      <c r="F69" s="169"/>
      <c r="G69" s="317"/>
      <c r="H69" s="230" t="str">
        <f t="shared" si="2"/>
        <v/>
      </c>
      <c r="I69" s="231" t="str">
        <f t="shared" si="3"/>
        <v/>
      </c>
      <c r="J69" s="248"/>
    </row>
    <row r="70" spans="2:10">
      <c r="B70" s="169" t="str">
        <f>IFERROR(VLOOKUP(A70,bhpc_data[],7,FALSE),"")</f>
        <v/>
      </c>
      <c r="C70" s="31"/>
      <c r="D70" s="313"/>
      <c r="F70" s="169"/>
      <c r="G70" s="317"/>
      <c r="H70" s="230" t="str">
        <f t="shared" si="2"/>
        <v/>
      </c>
      <c r="I70" s="231" t="str">
        <f t="shared" si="3"/>
        <v/>
      </c>
      <c r="J70" s="248"/>
    </row>
    <row r="71" spans="2:10">
      <c r="B71" s="169" t="str">
        <f>IFERROR(VLOOKUP(A71,bhpc_data[],7,FALSE),"")</f>
        <v/>
      </c>
      <c r="C71" s="31"/>
      <c r="D71" s="313"/>
      <c r="F71" s="169"/>
      <c r="G71" s="317"/>
      <c r="H71" s="230" t="str">
        <f t="shared" si="2"/>
        <v/>
      </c>
      <c r="I71" s="231" t="str">
        <f t="shared" si="3"/>
        <v/>
      </c>
      <c r="J71" s="248"/>
    </row>
    <row r="72" spans="2:10">
      <c r="B72" s="169" t="str">
        <f>IFERROR(VLOOKUP(A72,bhpc_data[],7,FALSE),"")</f>
        <v/>
      </c>
      <c r="C72" s="31"/>
      <c r="D72" s="313"/>
      <c r="F72" s="169"/>
      <c r="G72" s="317"/>
      <c r="H72" s="230" t="str">
        <f t="shared" si="2"/>
        <v/>
      </c>
      <c r="I72" s="231" t="str">
        <f t="shared" si="3"/>
        <v/>
      </c>
      <c r="J72" s="248"/>
    </row>
    <row r="73" spans="2:10">
      <c r="B73" s="169" t="str">
        <f>IFERROR(VLOOKUP(A73,bhpc_data[],7,FALSE),"")</f>
        <v/>
      </c>
      <c r="C73" s="31"/>
      <c r="D73" s="313"/>
      <c r="F73" s="169"/>
      <c r="G73" s="317"/>
      <c r="H73" s="230" t="str">
        <f t="shared" si="2"/>
        <v/>
      </c>
      <c r="I73" s="231" t="str">
        <f t="shared" si="3"/>
        <v/>
      </c>
      <c r="J73" s="248"/>
    </row>
    <row r="74" spans="2:10">
      <c r="B74" s="169" t="str">
        <f>IFERROR(VLOOKUP(A74,bhpc_data[],7,FALSE),"")</f>
        <v/>
      </c>
      <c r="C74" s="31"/>
      <c r="D74" s="313"/>
      <c r="F74" s="169"/>
      <c r="G74" s="317"/>
      <c r="H74" s="230" t="str">
        <f t="shared" si="2"/>
        <v/>
      </c>
      <c r="I74" s="231" t="str">
        <f t="shared" si="3"/>
        <v/>
      </c>
      <c r="J74" s="248"/>
    </row>
    <row r="75" spans="2:10">
      <c r="B75" s="169" t="str">
        <f>IFERROR(VLOOKUP(A75,bhpc_data[],7,FALSE),"")</f>
        <v/>
      </c>
      <c r="C75" s="31"/>
      <c r="D75" s="313"/>
      <c r="F75" s="169"/>
      <c r="G75" s="317"/>
      <c r="H75" s="230" t="str">
        <f t="shared" si="2"/>
        <v/>
      </c>
      <c r="I75" s="231" t="str">
        <f t="shared" si="3"/>
        <v/>
      </c>
      <c r="J75" s="248"/>
    </row>
    <row r="76" spans="2:10">
      <c r="B76" s="169" t="str">
        <f>IFERROR(VLOOKUP(A76,bhpc_data[],7,FALSE),"")</f>
        <v/>
      </c>
      <c r="C76" s="31"/>
      <c r="D76" s="313"/>
      <c r="F76" s="169"/>
      <c r="G76" s="317"/>
      <c r="H76" s="230" t="str">
        <f t="shared" si="2"/>
        <v/>
      </c>
      <c r="I76" s="231" t="str">
        <f t="shared" si="3"/>
        <v/>
      </c>
      <c r="J76" s="248"/>
    </row>
    <row r="77" spans="2:10">
      <c r="B77" s="169" t="str">
        <f>IFERROR(VLOOKUP(A77,bhpc_data[],7,FALSE),"")</f>
        <v/>
      </c>
      <c r="C77" s="31"/>
      <c r="D77" s="313"/>
      <c r="F77" s="169"/>
      <c r="G77" s="317"/>
      <c r="H77" s="230" t="str">
        <f t="shared" si="2"/>
        <v/>
      </c>
      <c r="I77" s="231" t="str">
        <f t="shared" si="3"/>
        <v/>
      </c>
      <c r="J77" s="248"/>
    </row>
    <row r="78" spans="2:10">
      <c r="B78" s="169" t="str">
        <f>IFERROR(VLOOKUP(A78,bhpc_data[],7,FALSE),"")</f>
        <v/>
      </c>
      <c r="C78" s="31"/>
      <c r="D78" s="313"/>
      <c r="F78" s="169"/>
      <c r="G78" s="317"/>
      <c r="H78" s="230" t="str">
        <f t="shared" si="2"/>
        <v/>
      </c>
      <c r="I78" s="231" t="str">
        <f t="shared" si="3"/>
        <v/>
      </c>
      <c r="J78" s="248"/>
    </row>
    <row r="79" spans="2:10">
      <c r="B79" s="169" t="str">
        <f>IFERROR(VLOOKUP(A79,bhpc_data[],7,FALSE),"")</f>
        <v/>
      </c>
      <c r="C79" s="31"/>
      <c r="D79" s="313"/>
      <c r="F79" s="169"/>
      <c r="G79" s="317"/>
      <c r="H79" s="230" t="str">
        <f t="shared" si="2"/>
        <v/>
      </c>
      <c r="I79" s="231" t="str">
        <f t="shared" si="3"/>
        <v/>
      </c>
      <c r="J79" s="248"/>
    </row>
    <row r="80" spans="2:10">
      <c r="B80" s="169" t="str">
        <f>IFERROR(VLOOKUP(A80,bhpc_data[],7,FALSE),"")</f>
        <v/>
      </c>
      <c r="C80" s="31"/>
      <c r="D80" s="313"/>
      <c r="F80" s="169"/>
      <c r="G80" s="317"/>
      <c r="H80" s="230" t="str">
        <f t="shared" si="2"/>
        <v/>
      </c>
      <c r="I80" s="231" t="str">
        <f t="shared" si="3"/>
        <v/>
      </c>
      <c r="J80" s="248"/>
    </row>
    <row r="81" spans="2:10">
      <c r="B81" s="169" t="str">
        <f>IFERROR(VLOOKUP(A81,bhpc_data[],7,FALSE),"")</f>
        <v/>
      </c>
      <c r="C81" s="31"/>
      <c r="D81" s="313"/>
      <c r="F81" s="169"/>
      <c r="G81" s="317"/>
      <c r="H81" s="230" t="str">
        <f t="shared" si="2"/>
        <v/>
      </c>
      <c r="I81" s="231" t="str">
        <f t="shared" si="3"/>
        <v/>
      </c>
      <c r="J81" s="248"/>
    </row>
    <row r="82" spans="2:10">
      <c r="B82" s="169" t="str">
        <f>IFERROR(VLOOKUP(A82,bhpc_data[],7,FALSE),"")</f>
        <v/>
      </c>
      <c r="C82" s="31"/>
      <c r="D82" s="313"/>
      <c r="F82" s="169"/>
      <c r="G82" s="317"/>
      <c r="H82" s="230" t="str">
        <f t="shared" si="2"/>
        <v/>
      </c>
      <c r="I82" s="231" t="str">
        <f t="shared" si="3"/>
        <v/>
      </c>
      <c r="J82" s="248"/>
    </row>
    <row r="83" spans="2:10">
      <c r="B83" s="169" t="str">
        <f>IFERROR(VLOOKUP(A83,bhpc_data[],7,FALSE),"")</f>
        <v/>
      </c>
      <c r="C83" s="31"/>
      <c r="D83" s="313"/>
      <c r="F83" s="169"/>
      <c r="G83" s="317"/>
      <c r="H83" s="230" t="str">
        <f t="shared" si="2"/>
        <v/>
      </c>
      <c r="I83" s="231" t="str">
        <f t="shared" si="3"/>
        <v/>
      </c>
      <c r="J83" s="248"/>
    </row>
    <row r="84" spans="2:10">
      <c r="B84" s="169" t="str">
        <f>IFERROR(VLOOKUP(A84,bhpc_data[],7,FALSE),"")</f>
        <v/>
      </c>
      <c r="C84" s="31"/>
      <c r="D84" s="313"/>
      <c r="F84" s="169"/>
      <c r="G84" s="317"/>
      <c r="H84" s="230" t="str">
        <f t="shared" si="2"/>
        <v/>
      </c>
      <c r="I84" s="231" t="str">
        <f t="shared" si="3"/>
        <v/>
      </c>
      <c r="J84" s="248"/>
    </row>
    <row r="85" spans="2:10">
      <c r="B85" s="169" t="str">
        <f>IFERROR(VLOOKUP(A85,bhpc_data[],7,FALSE),"")</f>
        <v/>
      </c>
      <c r="C85" s="31"/>
      <c r="D85" s="313"/>
      <c r="F85" s="169"/>
      <c r="G85" s="317"/>
      <c r="H85" s="230" t="str">
        <f t="shared" si="2"/>
        <v/>
      </c>
      <c r="I85" s="231" t="str">
        <f t="shared" si="3"/>
        <v/>
      </c>
      <c r="J85" s="248"/>
    </row>
    <row r="86" spans="2:10">
      <c r="B86" s="169" t="str">
        <f>IFERROR(VLOOKUP(A86,bhpc_data[],7,FALSE),"")</f>
        <v/>
      </c>
      <c r="C86" s="31"/>
      <c r="D86" s="313"/>
      <c r="F86" s="169"/>
      <c r="G86" s="317"/>
      <c r="H86" s="230" t="str">
        <f t="shared" si="2"/>
        <v/>
      </c>
      <c r="I86" s="231" t="str">
        <f t="shared" si="3"/>
        <v/>
      </c>
      <c r="J86" s="248"/>
    </row>
    <row r="87" spans="2:10">
      <c r="B87" s="169" t="str">
        <f>IFERROR(VLOOKUP(A87,bhpc_data[],7,FALSE),"")</f>
        <v/>
      </c>
      <c r="C87" s="31"/>
      <c r="D87" s="313"/>
      <c r="F87" s="169"/>
      <c r="G87" s="317"/>
      <c r="H87" s="230" t="str">
        <f t="shared" si="2"/>
        <v/>
      </c>
      <c r="I87" s="231" t="str">
        <f t="shared" si="3"/>
        <v/>
      </c>
      <c r="J87" s="248"/>
    </row>
    <row r="88" spans="2:10">
      <c r="B88" s="169" t="str">
        <f>IFERROR(VLOOKUP(A88,bhpc_data[],7,FALSE),"")</f>
        <v/>
      </c>
      <c r="C88" s="31"/>
      <c r="D88" s="313"/>
      <c r="F88" s="169"/>
      <c r="G88" s="317"/>
      <c r="H88" s="230" t="str">
        <f t="shared" si="2"/>
        <v/>
      </c>
      <c r="I88" s="231" t="str">
        <f t="shared" si="3"/>
        <v/>
      </c>
      <c r="J88" s="248"/>
    </row>
    <row r="89" spans="2:10">
      <c r="B89" s="169" t="str">
        <f>IFERROR(VLOOKUP(A89,bhpc_data[],7,FALSE),"")</f>
        <v/>
      </c>
      <c r="C89" s="31"/>
      <c r="D89" s="313"/>
      <c r="F89" s="169"/>
      <c r="G89" s="317"/>
      <c r="H89" s="230" t="str">
        <f t="shared" si="2"/>
        <v/>
      </c>
      <c r="I89" s="231" t="str">
        <f t="shared" si="3"/>
        <v/>
      </c>
      <c r="J89" s="248"/>
    </row>
    <row r="90" spans="2:10">
      <c r="B90" s="169" t="str">
        <f>IFERROR(VLOOKUP(A90,bhpc_data[],7,FALSE),"")</f>
        <v/>
      </c>
      <c r="C90" s="31"/>
      <c r="D90" s="313"/>
      <c r="F90" s="169"/>
      <c r="G90" s="317"/>
      <c r="H90" s="230" t="str">
        <f t="shared" si="2"/>
        <v/>
      </c>
      <c r="I90" s="231" t="str">
        <f t="shared" si="3"/>
        <v/>
      </c>
      <c r="J90" s="248"/>
    </row>
    <row r="91" spans="2:10">
      <c r="B91" s="169" t="str">
        <f>IFERROR(VLOOKUP(A91,bhpc_data[],7,FALSE),"")</f>
        <v/>
      </c>
      <c r="C91" s="31"/>
      <c r="D91" s="313"/>
      <c r="F91" s="169"/>
      <c r="G91" s="317"/>
      <c r="H91" s="230" t="str">
        <f t="shared" si="2"/>
        <v/>
      </c>
      <c r="I91" s="231" t="str">
        <f t="shared" si="3"/>
        <v/>
      </c>
      <c r="J91" s="248"/>
    </row>
    <row r="92" spans="2:10">
      <c r="B92" s="169" t="str">
        <f>IFERROR(VLOOKUP(A92,bhpc_data[],7,FALSE),"")</f>
        <v/>
      </c>
      <c r="C92" s="31"/>
      <c r="D92" s="313"/>
      <c r="F92" s="169"/>
      <c r="G92" s="317"/>
      <c r="H92" s="230" t="str">
        <f t="shared" si="2"/>
        <v/>
      </c>
      <c r="I92" s="231" t="str">
        <f t="shared" si="3"/>
        <v/>
      </c>
      <c r="J92" s="248"/>
    </row>
    <row r="93" spans="2:10">
      <c r="B93" s="169" t="str">
        <f>IFERROR(VLOOKUP(A93,bhpc_data[],7,FALSE),"")</f>
        <v/>
      </c>
      <c r="C93" s="31"/>
      <c r="D93" s="313"/>
      <c r="F93" s="169"/>
      <c r="G93" s="317"/>
      <c r="H93" s="230" t="str">
        <f t="shared" si="2"/>
        <v/>
      </c>
      <c r="I93" s="231" t="str">
        <f t="shared" si="3"/>
        <v/>
      </c>
      <c r="J93" s="248"/>
    </row>
    <row r="94" spans="2:10">
      <c r="B94" s="169" t="str">
        <f>IFERROR(VLOOKUP(A94,bhpc_data[],7,FALSE),"")</f>
        <v/>
      </c>
      <c r="C94" s="31"/>
      <c r="D94" s="313"/>
      <c r="F94" s="169"/>
      <c r="G94" s="317"/>
      <c r="H94" s="230" t="str">
        <f t="shared" si="2"/>
        <v/>
      </c>
      <c r="I94" s="231" t="str">
        <f t="shared" si="3"/>
        <v/>
      </c>
      <c r="J94" s="248"/>
    </row>
    <row r="95" spans="2:10">
      <c r="B95" s="169" t="str">
        <f>IFERROR(VLOOKUP(A95,bhpc_data[],7,FALSE),"")</f>
        <v/>
      </c>
      <c r="C95" s="31"/>
      <c r="D95" s="313"/>
      <c r="F95" s="169"/>
      <c r="G95" s="317"/>
      <c r="H95" s="230" t="str">
        <f t="shared" si="2"/>
        <v/>
      </c>
      <c r="I95" s="231" t="str">
        <f t="shared" si="3"/>
        <v/>
      </c>
      <c r="J95" s="248"/>
    </row>
    <row r="96" spans="2:10">
      <c r="B96" s="169" t="str">
        <f>IFERROR(VLOOKUP(A96,bhpc_data[],7,FALSE),"")</f>
        <v/>
      </c>
      <c r="C96" s="31"/>
      <c r="D96" s="313"/>
      <c r="F96" s="169"/>
      <c r="G96" s="317"/>
      <c r="H96" s="230" t="str">
        <f t="shared" si="2"/>
        <v/>
      </c>
      <c r="I96" s="231" t="str">
        <f t="shared" si="3"/>
        <v/>
      </c>
      <c r="J96" s="248"/>
    </row>
    <row r="97" spans="1:10">
      <c r="B97" s="169" t="str">
        <f>IFERROR(VLOOKUP(A97,bhpc_data[],7,FALSE),"")</f>
        <v/>
      </c>
      <c r="C97" s="31"/>
      <c r="D97" s="313"/>
      <c r="F97" s="169"/>
      <c r="G97" s="317"/>
      <c r="H97" s="230" t="str">
        <f t="shared" si="2"/>
        <v/>
      </c>
      <c r="I97" s="231" t="str">
        <f t="shared" si="3"/>
        <v/>
      </c>
      <c r="J97" s="248"/>
    </row>
    <row r="98" spans="1:10">
      <c r="B98" s="169" t="str">
        <f>IFERROR(VLOOKUP(A98,bhpc_data[],7,FALSE),"")</f>
        <v/>
      </c>
      <c r="C98" s="31"/>
      <c r="D98" s="313"/>
      <c r="F98" s="169"/>
      <c r="G98" s="317"/>
      <c r="H98" s="230" t="str">
        <f t="shared" si="2"/>
        <v/>
      </c>
      <c r="I98" s="231" t="str">
        <f t="shared" si="3"/>
        <v/>
      </c>
      <c r="J98" s="248"/>
    </row>
    <row r="99" spans="1:10">
      <c r="B99" s="169" t="str">
        <f>IFERROR(VLOOKUP(A99,bhpc_data[],7,FALSE),"")</f>
        <v/>
      </c>
      <c r="C99" s="31"/>
      <c r="D99" s="313"/>
      <c r="F99" s="169"/>
      <c r="G99" s="317"/>
      <c r="H99" s="230" t="str">
        <f t="shared" si="2"/>
        <v/>
      </c>
      <c r="I99" s="231" t="str">
        <f t="shared" si="3"/>
        <v/>
      </c>
      <c r="J99" s="248"/>
    </row>
    <row r="100" spans="1:10" ht="15" thickBot="1">
      <c r="A100" s="251"/>
      <c r="B100" s="3" t="str">
        <f>IFERROR(VLOOKUP(A100,bhpc_data[],7,FALSE),"")</f>
        <v/>
      </c>
      <c r="C100" s="32"/>
      <c r="D100" s="314"/>
      <c r="E100" s="9"/>
      <c r="F100" s="304"/>
      <c r="G100" s="318"/>
      <c r="H100" s="33" t="str">
        <f t="shared" si="2"/>
        <v/>
      </c>
      <c r="I100" s="34"/>
      <c r="J100" s="248"/>
    </row>
    <row r="101" spans="1:10" ht="15" thickTop="1">
      <c r="A101" s="233"/>
      <c r="B101" s="234"/>
      <c r="C101" s="166"/>
      <c r="D101" s="167"/>
      <c r="E101" s="234"/>
      <c r="F101" s="234"/>
      <c r="G101" s="234"/>
      <c r="H101" s="167"/>
      <c r="I101" s="168"/>
    </row>
  </sheetData>
  <autoFilter ref="A2:C51">
    <sortState ref="A2:C50">
      <sortCondition descending="1" ref="B1:B50"/>
    </sortState>
  </autoFilter>
  <dataValidations count="2">
    <dataValidation type="list" allowBlank="1" showInputMessage="1" showErrorMessage="1" sqref="M7">
      <formula1>"EUR,USD,GBP"</formula1>
    </dataValidation>
    <dataValidation type="list" allowBlank="1" showInputMessage="1" showErrorMessage="1" sqref="F3:F60">
      <formula1>"NORMAL,DISCOUNTED,FOC"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"/>
  <dimension ref="B2:B11"/>
  <sheetViews>
    <sheetView workbookViewId="0">
      <selection activeCell="L40" sqref="L40"/>
    </sheetView>
  </sheetViews>
  <sheetFormatPr defaultRowHeight="14.5"/>
  <sheetData>
    <row r="2" spans="2:2">
      <c r="B2" s="207" t="s">
        <v>437</v>
      </c>
    </row>
    <row r="4" spans="2:2">
      <c r="B4" s="207" t="s">
        <v>438</v>
      </c>
    </row>
    <row r="5" spans="2:2">
      <c r="B5" s="207" t="s">
        <v>442</v>
      </c>
    </row>
    <row r="8" spans="2:2">
      <c r="B8" s="207" t="s">
        <v>439</v>
      </c>
    </row>
    <row r="10" spans="2:2">
      <c r="B10" s="207" t="s">
        <v>440</v>
      </c>
    </row>
    <row r="11" spans="2:2">
      <c r="B11" s="207" t="s">
        <v>441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2"/>
  <dimension ref="A1:BZ250"/>
  <sheetViews>
    <sheetView showGridLines="0" tabSelected="1" topLeftCell="AN1" workbookViewId="0">
      <selection activeCell="BO9" sqref="BO9"/>
    </sheetView>
  </sheetViews>
  <sheetFormatPr defaultRowHeight="14.5"/>
  <cols>
    <col min="1" max="1" width="13.453125" style="339" hidden="1" customWidth="1"/>
    <col min="2" max="2" width="10.08984375" style="339" hidden="1" customWidth="1"/>
    <col min="3" max="3" width="2.08984375" hidden="1" customWidth="1"/>
    <col min="4" max="4" width="2.54296875" hidden="1" customWidth="1"/>
    <col min="5" max="5" width="20" hidden="1" customWidth="1"/>
    <col min="6" max="6" width="3" hidden="1" customWidth="1"/>
    <col min="7" max="7" width="14.90625" hidden="1" customWidth="1"/>
    <col min="8" max="8" width="8.54296875" hidden="1" customWidth="1"/>
    <col min="9" max="9" width="6.90625" hidden="1" customWidth="1"/>
    <col min="10" max="10" width="12.1796875" hidden="1" customWidth="1"/>
    <col min="11" max="12" width="3.26953125" hidden="1" customWidth="1"/>
    <col min="13" max="20" width="12.54296875" hidden="1" customWidth="1"/>
    <col min="21" max="21" width="13.453125" hidden="1" customWidth="1"/>
    <col min="22" max="22" width="12.08984375" hidden="1" customWidth="1"/>
    <col min="23" max="23" width="3.54296875" hidden="1" customWidth="1"/>
    <col min="24" max="24" width="24.54296875" hidden="1" customWidth="1"/>
    <col min="25" max="39" width="8.7265625" hidden="1" customWidth="1"/>
    <col min="40" max="40" width="2.54296875" customWidth="1"/>
    <col min="41" max="41" width="20.36328125" customWidth="1"/>
    <col min="42" max="42" width="2.7265625" customWidth="1"/>
    <col min="43" max="47" width="8.7265625" customWidth="1"/>
    <col min="48" max="48" width="3.1796875" customWidth="1"/>
    <col min="49" max="49" width="8.7265625" customWidth="1"/>
    <col min="50" max="50" width="11.54296875" customWidth="1"/>
    <col min="51" max="52" width="8.7265625" customWidth="1"/>
    <col min="53" max="57" width="10.26953125" customWidth="1"/>
    <col min="58" max="63" width="8.7265625" customWidth="1"/>
    <col min="64" max="64" width="3.6328125" customWidth="1"/>
    <col min="65" max="75" width="8.7265625" customWidth="1"/>
    <col min="77" max="77" width="2.54296875" customWidth="1"/>
  </cols>
  <sheetData>
    <row r="1" spans="1:78" ht="16.5" customHeight="1">
      <c r="C1" s="330"/>
    </row>
    <row r="2" spans="1:78">
      <c r="A2" s="339" t="s">
        <v>522</v>
      </c>
      <c r="B2" s="339">
        <v>28</v>
      </c>
    </row>
    <row r="3" spans="1:78">
      <c r="A3" s="339" t="s">
        <v>556</v>
      </c>
      <c r="B3" s="339">
        <v>0</v>
      </c>
      <c r="C3" s="207"/>
      <c r="AQ3" s="3"/>
      <c r="AR3" s="3"/>
      <c r="AS3" s="3"/>
      <c r="AT3" s="3"/>
      <c r="AU3" s="3"/>
      <c r="AV3" s="3"/>
      <c r="AW3" s="3"/>
    </row>
    <row r="4" spans="1:78">
      <c r="A4" s="339" t="s">
        <v>532</v>
      </c>
      <c r="B4" s="339" t="s">
        <v>549</v>
      </c>
      <c r="C4" s="207"/>
      <c r="AQ4" s="3"/>
      <c r="AR4" s="3"/>
      <c r="AS4" s="3"/>
      <c r="AT4" s="3"/>
      <c r="AU4" s="3"/>
      <c r="AV4" s="3"/>
      <c r="AW4" s="3"/>
    </row>
    <row r="5" spans="1:78">
      <c r="D5" s="207"/>
      <c r="F5" s="207"/>
      <c r="Q5" s="333"/>
      <c r="AQ5" s="3"/>
      <c r="AR5" s="3"/>
      <c r="AS5" s="3"/>
      <c r="AT5" s="3"/>
      <c r="AU5" s="3"/>
      <c r="AV5" s="3"/>
      <c r="AW5" s="3"/>
    </row>
    <row r="6" spans="1:78">
      <c r="AO6" s="3"/>
      <c r="AP6" s="3"/>
      <c r="AQ6" s="3"/>
      <c r="AR6" s="3"/>
      <c r="AS6" s="3"/>
      <c r="AT6" s="3"/>
      <c r="AU6" s="3"/>
      <c r="AV6" s="3"/>
      <c r="AW6" s="3"/>
    </row>
    <row r="7" spans="1:78">
      <c r="E7" s="22"/>
      <c r="F7" s="22"/>
      <c r="G7" s="22">
        <f>COLUMN()</f>
        <v>7</v>
      </c>
      <c r="H7" s="22">
        <f>COLUMN()</f>
        <v>8</v>
      </c>
      <c r="I7" s="22">
        <f>COLUMN()</f>
        <v>9</v>
      </c>
      <c r="J7" s="22">
        <f>COLUMN()</f>
        <v>10</v>
      </c>
      <c r="K7" s="22">
        <f>COLUMN()</f>
        <v>11</v>
      </c>
      <c r="L7" s="22">
        <f>COLUMN()</f>
        <v>12</v>
      </c>
      <c r="M7" s="22">
        <f>COLUMN()</f>
        <v>13</v>
      </c>
      <c r="N7" s="22">
        <f>COLUMN()</f>
        <v>14</v>
      </c>
      <c r="O7" s="22">
        <f>COLUMN()</f>
        <v>15</v>
      </c>
      <c r="P7" s="22">
        <f>COLUMN()</f>
        <v>16</v>
      </c>
      <c r="Q7" s="22">
        <f>COLUMN()</f>
        <v>17</v>
      </c>
      <c r="R7" s="22">
        <f>COLUMN()</f>
        <v>18</v>
      </c>
      <c r="S7" s="22">
        <f>COLUMN()</f>
        <v>19</v>
      </c>
      <c r="T7" s="22">
        <f>COLUMN()</f>
        <v>20</v>
      </c>
      <c r="U7" s="22">
        <f>COLUMN()</f>
        <v>21</v>
      </c>
      <c r="V7" s="22">
        <f>COLUMN()</f>
        <v>22</v>
      </c>
      <c r="AO7" s="3"/>
      <c r="AP7" s="3"/>
      <c r="AQ7" s="3">
        <f>COLUMN()</f>
        <v>43</v>
      </c>
      <c r="AR7" s="3">
        <f>COLUMN()</f>
        <v>44</v>
      </c>
      <c r="AS7" s="3">
        <f>COLUMN()</f>
        <v>45</v>
      </c>
      <c r="AT7" s="3">
        <f>COLUMN()</f>
        <v>46</v>
      </c>
      <c r="AU7" s="3">
        <f>COLUMN()</f>
        <v>47</v>
      </c>
      <c r="AV7" s="3">
        <f>COLUMN()</f>
        <v>48</v>
      </c>
      <c r="AW7" s="3">
        <f>COLUMN()</f>
        <v>49</v>
      </c>
      <c r="AX7" s="3">
        <f>COLUMN()</f>
        <v>50</v>
      </c>
      <c r="AY7" s="3">
        <f>COLUMN()</f>
        <v>51</v>
      </c>
      <c r="AZ7" s="3">
        <f>COLUMN()</f>
        <v>52</v>
      </c>
      <c r="BA7" s="3">
        <f>COLUMN()</f>
        <v>53</v>
      </c>
      <c r="BB7" s="3">
        <f>COLUMN()</f>
        <v>54</v>
      </c>
      <c r="BC7" s="3">
        <f>COLUMN()</f>
        <v>55</v>
      </c>
      <c r="BD7" s="3">
        <f>COLUMN()</f>
        <v>56</v>
      </c>
      <c r="BE7" s="3">
        <f>COLUMN()</f>
        <v>57</v>
      </c>
      <c r="BF7" s="3">
        <f>COLUMN()</f>
        <v>58</v>
      </c>
      <c r="BG7" s="3">
        <f>COLUMN()</f>
        <v>59</v>
      </c>
      <c r="BH7" s="3">
        <f>COLUMN()</f>
        <v>60</v>
      </c>
      <c r="BI7" s="3">
        <f>COLUMN()</f>
        <v>61</v>
      </c>
      <c r="BJ7" s="3">
        <f>COLUMN()</f>
        <v>62</v>
      </c>
      <c r="BK7" s="3">
        <f>COLUMN()</f>
        <v>63</v>
      </c>
      <c r="BL7" s="3"/>
      <c r="BM7" s="3"/>
      <c r="BN7" s="3"/>
      <c r="BO7" s="3"/>
      <c r="BP7" s="3"/>
    </row>
    <row r="8" spans="1:78" ht="15" thickBot="1">
      <c r="A8" s="339" t="s">
        <v>557</v>
      </c>
      <c r="D8" s="207"/>
      <c r="E8" s="20" t="s">
        <v>506</v>
      </c>
      <c r="G8" s="158" t="s">
        <v>461</v>
      </c>
      <c r="M8" s="158" t="s">
        <v>505</v>
      </c>
      <c r="R8" s="207"/>
      <c r="AO8" s="20" t="s">
        <v>506</v>
      </c>
      <c r="AQ8" s="379" t="s">
        <v>384</v>
      </c>
      <c r="AR8" s="3"/>
      <c r="AS8" s="3"/>
      <c r="AT8" s="3"/>
      <c r="AU8" s="3"/>
      <c r="AV8" s="3"/>
      <c r="AW8" s="379" t="s">
        <v>548</v>
      </c>
    </row>
    <row r="9" spans="1:78" ht="15" thickBot="1">
      <c r="E9" s="357" t="s">
        <v>308</v>
      </c>
      <c r="G9" s="341"/>
      <c r="H9" s="342"/>
      <c r="I9" s="342"/>
      <c r="J9" s="342"/>
      <c r="K9" s="343"/>
      <c r="L9" s="207"/>
      <c r="M9" s="367" t="s">
        <v>499</v>
      </c>
      <c r="N9" s="368" t="s">
        <v>500</v>
      </c>
      <c r="O9" s="368" t="s">
        <v>501</v>
      </c>
      <c r="P9" s="368" t="s">
        <v>412</v>
      </c>
      <c r="Q9" s="368" t="s">
        <v>418</v>
      </c>
      <c r="R9" s="368" t="s">
        <v>419</v>
      </c>
      <c r="S9" s="368" t="s">
        <v>494</v>
      </c>
      <c r="T9" s="368" t="s">
        <v>421</v>
      </c>
      <c r="U9" s="368" t="s">
        <v>502</v>
      </c>
      <c r="V9" s="369" t="s">
        <v>513</v>
      </c>
      <c r="W9" s="3"/>
      <c r="AO9" s="357" t="s">
        <v>308</v>
      </c>
      <c r="AQ9" s="594"/>
      <c r="AR9" s="342"/>
      <c r="AS9" s="342"/>
      <c r="AT9" s="342"/>
      <c r="AU9" s="343"/>
      <c r="AV9" s="3"/>
      <c r="AW9" s="367" t="s">
        <v>148</v>
      </c>
      <c r="AX9" s="368" t="s">
        <v>253</v>
      </c>
      <c r="AY9" s="368" t="s">
        <v>423</v>
      </c>
      <c r="AZ9" s="368" t="s">
        <v>550</v>
      </c>
      <c r="BA9" s="368" t="s">
        <v>458</v>
      </c>
      <c r="BB9" s="368" t="s">
        <v>551</v>
      </c>
      <c r="BC9" s="368" t="s">
        <v>456</v>
      </c>
      <c r="BD9" s="368" t="s">
        <v>552</v>
      </c>
      <c r="BE9" s="368" t="s">
        <v>553</v>
      </c>
      <c r="BF9" s="368"/>
      <c r="BG9" s="368"/>
      <c r="BH9" s="368"/>
      <c r="BI9" s="368"/>
      <c r="BJ9" s="368"/>
      <c r="BK9" s="369"/>
      <c r="BO9" s="207" t="s">
        <v>555</v>
      </c>
      <c r="BT9" s="319" t="s">
        <v>443</v>
      </c>
      <c r="BU9" s="320"/>
      <c r="BV9" s="320"/>
      <c r="BW9" s="320"/>
      <c r="BX9" s="320"/>
      <c r="BY9" s="321"/>
      <c r="BZ9" s="207" t="s">
        <v>350</v>
      </c>
    </row>
    <row r="10" spans="1:78">
      <c r="E10" s="3"/>
      <c r="G10" s="355" t="s">
        <v>482</v>
      </c>
      <c r="H10" s="566" t="str">
        <f>INDEX(dbClienti[INTESTATARIO 1],MATCH($E$9,dbClienti[COD CLIENTE],0))</f>
        <v>CIELOMED ENTERPRISES LTD</v>
      </c>
      <c r="I10" s="567"/>
      <c r="J10" s="568"/>
      <c r="K10" s="345"/>
      <c r="L10" s="340"/>
      <c r="M10" s="599">
        <f t="array" ref="M10">IFERROR(IF($E$9="ALL",INDEX(orderHistory[order_id],ROW()-9+$B$3),INDEX(orderHistory[order_id], SMALL(IF(ISNUMBER(MATCH(orderHistory[customer], $E$9, 0)), MATCH(ROW(orderHistory[customer]),ROW(orderHistory[customer])), ""), ROWS($A$1:A1)+$B$3))),"")</f>
        <v>20240002</v>
      </c>
      <c r="N10" s="600">
        <f t="array" ref="N10">IFERROR(IF($E$9="ALL",INDEX(orderHistory[order_date],ROW()-9+$B$3),INDEX(orderHistory[order_date], SMALL(IF(ISNUMBER(MATCH(orderHistory[customer], $E$9, 0)), MATCH(ROW(orderHistory[customer]),ROW(orderHistory[customer])), ""), ROWS($A$1:A1)+$B$3))),"")</f>
        <v>45306</v>
      </c>
      <c r="O10" s="601">
        <f t="array" ref="O10">IFERROR(IF($E$9="ALL",INDEX(orderHistory[carton_no],ROW()-9+$B$3),INDEX(orderHistory[carton_no], SMALL(IF(ISNUMBER(MATCH(orderHistory[customer], $E$9, 0)), MATCH(ROW(orderHistory[customer]),ROW(orderHistory[customer])), ""), ROWS($A$1:A1)+$B$3))),"")</f>
        <v>70</v>
      </c>
      <c r="P10" s="601">
        <f t="array" ref="P10">IFERROR(IF($E$9="ALL",INDEX(orderHistory[pallet_no],ROW()-9+$B$3),INDEX(orderHistory[pallet_no], SMALL(IF(ISNUMBER(MATCH(orderHistory[customer], $E$9, 0)), MATCH(ROW(orderHistory[customer]),ROW(orderHistory[customer])), ""), ROWS($A$1:A1)+$B$3))),"")</f>
        <v>2</v>
      </c>
      <c r="Q10" s="601">
        <f t="array" ref="Q10">IFERROR(IF($E$9="ALL",INDEX(orderHistory[invoice_no],ROW()-9+$B$3),INDEX(orderHistory[invoice_no], SMALL(IF(ISNUMBER(MATCH(orderHistory[customer], $E$9, 0)), MATCH(ROW(orderHistory[customer]),ROW(orderHistory[customer])), ""), ROWS($A$1:A1)+$B$3))),"")</f>
        <v>10</v>
      </c>
      <c r="R10" s="600">
        <f t="array" ref="R10">IFERROR(IF($E$9="ALL",INDEX(orderHistory[invoice_date],ROW()-9+$B$3),INDEX(orderHistory[invoice_date], SMALL(IF(ISNUMBER(MATCH(orderHistory[customer], $E$9, 0)), MATCH(ROW(orderHistory[customer]),ROW(orderHistory[customer])), ""), ROWS($A$1:A1)+$B$3))),"")</f>
        <v>45311</v>
      </c>
      <c r="S10" s="601" t="str">
        <f t="array" ref="S10">IFERROR(IF($E$9="ALL",INDEX(orderHistory[payed],ROW()-9+$B$3),INDEX(orderHistory[payed], SMALL(IF(ISNUMBER(MATCH(orderHistory[customer], $E$9, 0)), MATCH(ROW(orderHistory[customer]),ROW(orderHistory[customer])), ""), ROWS($A$1:A1)+$B$3))),"")</f>
        <v>YES</v>
      </c>
      <c r="T10" s="600">
        <f t="array" ref="T10">IFERROR(IF($E$9="ALL",INDEX(orderHistory[payment_date],ROW()-9+$B$3),INDEX(orderHistory[payment_date], SMALL(IF(ISNUMBER(MATCH(orderHistory[customer], $E$9, 0)), MATCH(ROW(orderHistory[customer]),ROW(orderHistory[customer])), ""), ROWS($A$1:A1)+$B$3))),"")</f>
        <v>45334</v>
      </c>
      <c r="U10" s="602">
        <f t="array" ref="U10">IFERROR(IF($E$9="ALL",INDEX(orderHistory[amount_sold],ROW()-9+$B$3),INDEX(orderHistory[amount_sold], SMALL(IF(ISNUMBER(MATCH(orderHistory[customer], $E$9, 0)), MATCH(ROW(orderHistory[customer]),ROW(orderHistory[customer])), ""), ROWS($A$1:A1)+$B$3))),"")</f>
        <v>4350</v>
      </c>
      <c r="V10" s="603" t="str">
        <f t="array" ref="V10">IFERROR(IF($E$9="ALL",INDEX(orderHistory[status],ROW()-9+$B$3),INDEX(orderHistory[status], SMALL(IF(ISNUMBER(MATCH(orderHistory[customer], $E$9, 0)), MATCH(ROW(orderHistory[customer]),ROW(orderHistory[customer])), ""), ROWS($A$1:A1)+$B$3))),"")</f>
        <v>SHIPPED</v>
      </c>
      <c r="W10" s="587"/>
      <c r="AO10" s="3"/>
      <c r="AQ10" s="592"/>
      <c r="AR10" s="344"/>
      <c r="AS10" s="344"/>
      <c r="AT10" s="344"/>
      <c r="AU10" s="345"/>
      <c r="AV10" s="3"/>
      <c r="AW10" s="619"/>
      <c r="AX10" s="620"/>
      <c r="AY10" s="620"/>
      <c r="AZ10" s="620"/>
      <c r="BA10" s="620"/>
      <c r="BB10" s="620"/>
      <c r="BC10" s="620"/>
      <c r="BD10" s="620"/>
      <c r="BE10" s="620"/>
      <c r="BF10" s="620"/>
      <c r="BG10" s="620"/>
      <c r="BH10" s="620"/>
      <c r="BI10" s="620"/>
      <c r="BJ10" s="620"/>
      <c r="BK10" s="621"/>
      <c r="BL10" s="587"/>
      <c r="BO10" s="629">
        <f t="array" ref="BO10">IFERROR(IF($AO$9="ALL",INDEX(orderHistory[order_id],ROW()-9),INDEX(orderHistory[order_id], MATCH(0, IF($AO$9=orderHistory[customer],COUNTIF($BO9:$BO$9,orderHistory[order_id]), "")), 0)),"")</f>
        <v>20240001</v>
      </c>
      <c r="BT10" s="322"/>
      <c r="BU10" s="3"/>
      <c r="BV10" s="3"/>
      <c r="BW10" s="3"/>
      <c r="BX10" s="3"/>
      <c r="BY10" s="323"/>
    </row>
    <row r="11" spans="1:78">
      <c r="E11" s="20" t="s">
        <v>529</v>
      </c>
      <c r="G11" s="355"/>
      <c r="H11" s="344"/>
      <c r="I11" s="344"/>
      <c r="J11" s="344"/>
      <c r="K11" s="345"/>
      <c r="L11" s="207"/>
      <c r="M11" s="604">
        <f t="array" ref="M11">IFERROR(IF($E$9="ALL",INDEX(orderHistory[order_id],ROW()-9+$B$3),INDEX(orderHistory[order_id], SMALL(IF(ISNUMBER(MATCH(orderHistory[customer], $E$9, 0)), MATCH(ROW(orderHistory[customer]),ROW(orderHistory[customer])), ""), ROWS($A$1:A2)+$B$3))),"")</f>
        <v>20240001</v>
      </c>
      <c r="N11" s="605">
        <f t="array" ref="N11">IFERROR(IF($E$9="ALL",INDEX(orderHistory[order_date],ROW()-9+$B$3),INDEX(orderHistory[order_date], SMALL(IF(ISNUMBER(MATCH(orderHistory[customer], $E$9, 0)), MATCH(ROW(orderHistory[customer]),ROW(orderHistory[customer])), ""), ROWS($A$1:A2)+$B$3))),"")</f>
        <v>45294</v>
      </c>
      <c r="O11" s="606">
        <f t="array" ref="O11">IFERROR(IF($E$9="ALL",INDEX(orderHistory[carton_no],ROW()-9+$B$3),INDEX(orderHistory[carton_no], SMALL(IF(ISNUMBER(MATCH(orderHistory[customer], $E$9, 0)), MATCH(ROW(orderHistory[customer]),ROW(orderHistory[customer])), ""), ROWS($A$1:A2)+$B$3))),"")</f>
        <v>55</v>
      </c>
      <c r="P11" s="606">
        <f t="array" ref="P11">IFERROR(IF($E$9="ALL",INDEX(orderHistory[pallet_no],ROW()-9+$B$3),INDEX(orderHistory[pallet_no], SMALL(IF(ISNUMBER(MATCH(orderHistory[customer], $E$9, 0)), MATCH(ROW(orderHistory[customer]),ROW(orderHistory[customer])), ""), ROWS($A$1:A2)+$B$3))),"")</f>
        <v>4</v>
      </c>
      <c r="Q11" s="606">
        <f t="array" ref="Q11">IFERROR(IF($E$9="ALL",INDEX(orderHistory[invoice_no],ROW()-9+$B$3),INDEX(orderHistory[invoice_no], SMALL(IF(ISNUMBER(MATCH(orderHistory[customer], $E$9, 0)), MATCH(ROW(orderHistory[customer]),ROW(orderHistory[customer])), ""), ROWS($A$1:A2)+$B$3))),"")</f>
        <v>3</v>
      </c>
      <c r="R11" s="605">
        <f t="array" ref="R11">IFERROR(IF($E$9="ALL",INDEX(orderHistory[invoice_date],ROW()-9+$B$3),INDEX(orderHistory[invoice_date], SMALL(IF(ISNUMBER(MATCH(orderHistory[customer], $E$9, 0)), MATCH(ROW(orderHistory[customer]),ROW(orderHistory[customer])), ""), ROWS($A$1:A2)+$B$3))),"")</f>
        <v>45296</v>
      </c>
      <c r="S11" s="607" t="str">
        <f t="array" ref="S11">IFERROR(IF($E$9="ALL",INDEX(orderHistory[payed],ROW()-9+$B$3),INDEX(orderHistory[payed], SMALL(IF(ISNUMBER(MATCH(orderHistory[customer], $E$9, 0)), MATCH(ROW(orderHistory[customer]),ROW(orderHistory[customer])), ""), ROWS($A$1:A2)+$B$3))),"")</f>
        <v>YES</v>
      </c>
      <c r="T11" s="605">
        <f t="array" ref="T11">IFERROR(IF($E$9="ALL",INDEX(orderHistory[payment_date],ROW()-9+$B$3),INDEX(orderHistory[payment_date], SMALL(IF(ISNUMBER(MATCH(orderHistory[customer], $E$9, 0)), MATCH(ROW(orderHistory[customer]),ROW(orderHistory[customer])), ""), ROWS($A$1:A2)+$B$3))),"")</f>
        <v>45280</v>
      </c>
      <c r="U11" s="608">
        <f t="array" ref="U11">IFERROR(IF($E$9="ALL",INDEX(orderHistory[amount_sold],ROW()-9+$B$3),INDEX(orderHistory[amount_sold], SMALL(IF(ISNUMBER(MATCH(orderHistory[customer], $E$9, 0)), MATCH(ROW(orderHistory[customer]),ROW(orderHistory[customer])), ""), ROWS($A$1:A2)+$B$3))),"")</f>
        <v>8750</v>
      </c>
      <c r="V11" s="609" t="str">
        <f t="array" ref="V11">IFERROR(IF($E$9="ALL",INDEX(orderHistory[status],ROW()-9+$B$3),INDEX(orderHistory[status], SMALL(IF(ISNUMBER(MATCH(orderHistory[customer], $E$9, 0)), MATCH(ROW(orderHistory[customer]),ROW(orderHistory[customer])), ""), ROWS($A$1:A2)+$B$3))),"")</f>
        <v>SHIPPED</v>
      </c>
      <c r="W11" s="588"/>
      <c r="Y11" s="207"/>
      <c r="Z11" s="207"/>
      <c r="AO11" s="20" t="s">
        <v>554</v>
      </c>
      <c r="AQ11" s="592" t="s">
        <v>385</v>
      </c>
      <c r="AR11" s="344"/>
      <c r="AS11" s="344"/>
      <c r="AT11" s="344"/>
      <c r="AU11" s="345"/>
      <c r="AV11" s="3"/>
      <c r="AW11" s="622"/>
      <c r="AX11" s="623"/>
      <c r="AY11" s="623"/>
      <c r="AZ11" s="623"/>
      <c r="BA11" s="623"/>
      <c r="BB11" s="623"/>
      <c r="BC11" s="623"/>
      <c r="BD11" s="623"/>
      <c r="BE11" s="623"/>
      <c r="BF11" s="623"/>
      <c r="BG11" s="623"/>
      <c r="BH11" s="623"/>
      <c r="BI11" s="623"/>
      <c r="BJ11" s="623"/>
      <c r="BK11" s="624"/>
      <c r="BL11" s="589"/>
      <c r="BO11" s="630">
        <f t="array" ref="BO11">IFERROR(IF($AO$9="ALL",INDEX(orderHistory[order_id],ROW()-9),INDEX(orderHistory[order_id], MATCH(0, IF($AO$9=orderHistory[customer],COUNTIF($BO$9:$BO10,orderHistory[order_id]), "")), 0)),"")</f>
        <v>20240002</v>
      </c>
      <c r="BT11" s="322" t="s">
        <v>444</v>
      </c>
      <c r="BU11" s="3"/>
      <c r="BV11" s="3"/>
      <c r="BW11" s="3"/>
      <c r="BX11" s="3"/>
      <c r="BY11" s="323"/>
    </row>
    <row r="12" spans="1:78">
      <c r="E12" s="585" t="s">
        <v>499</v>
      </c>
      <c r="G12" s="355" t="s">
        <v>483</v>
      </c>
      <c r="H12" s="566" t="str">
        <f>INDEX(dbClienti[PAESE],MATCH($E$9,dbClienti[COD CLIENTE],0))</f>
        <v>MALTA</v>
      </c>
      <c r="I12" s="567"/>
      <c r="J12" s="568"/>
      <c r="K12" s="345"/>
      <c r="L12" s="207"/>
      <c r="M12" s="604" t="str">
        <f t="array" ref="M12">IFERROR(IF($E$9="ALL",INDEX(orderHistory[order_id],ROW()-9+$B$3),INDEX(orderHistory[order_id], SMALL(IF(ISNUMBER(MATCH(orderHistory[customer], $E$9, 0)), MATCH(ROW(orderHistory[customer]),ROW(orderHistory[customer])), ""), ROWS($A$1:A3)+$B$3))),"")</f>
        <v/>
      </c>
      <c r="N12" s="605" t="str">
        <f t="array" ref="N12">IFERROR(IF($E$9="ALL",INDEX(orderHistory[order_date],ROW()-9+$B$3),INDEX(orderHistory[order_date], SMALL(IF(ISNUMBER(MATCH(orderHistory[customer], $E$9, 0)), MATCH(ROW(orderHistory[customer]),ROW(orderHistory[customer])), ""), ROWS($A$1:A3)+$B$3))),"")</f>
        <v/>
      </c>
      <c r="O12" s="606" t="str">
        <f t="array" ref="O12">IFERROR(IF($E$9="ALL",INDEX(orderHistory[carton_no],ROW()-9+$B$3),INDEX(orderHistory[carton_no], SMALL(IF(ISNUMBER(MATCH(orderHistory[customer], $E$9, 0)), MATCH(ROW(orderHistory[customer]),ROW(orderHistory[customer])), ""), ROWS($A$1:A3)+$B$3))),"")</f>
        <v/>
      </c>
      <c r="P12" s="606" t="str">
        <f t="array" ref="P12">IFERROR(IF($E$9="ALL",INDEX(orderHistory[pallet_no],ROW()-9+$B$3),INDEX(orderHistory[pallet_no], SMALL(IF(ISNUMBER(MATCH(orderHistory[customer], $E$9, 0)), MATCH(ROW(orderHistory[customer]),ROW(orderHistory[customer])), ""), ROWS($A$1:A3)+$B$3))),"")</f>
        <v/>
      </c>
      <c r="Q12" s="606" t="str">
        <f t="array" ref="Q12">IFERROR(IF($E$9="ALL",INDEX(orderHistory[invoice_no],ROW()-9+$B$3),INDEX(orderHistory[invoice_no], SMALL(IF(ISNUMBER(MATCH(orderHistory[customer], $E$9, 0)), MATCH(ROW(orderHistory[customer]),ROW(orderHistory[customer])), ""), ROWS($A$1:A3)+$B$3))),"")</f>
        <v/>
      </c>
      <c r="R12" s="605" t="str">
        <f t="array" ref="R12">IFERROR(IF($E$9="ALL",INDEX(orderHistory[invoice_date],ROW()-9+$B$3),INDEX(orderHistory[invoice_date], SMALL(IF(ISNUMBER(MATCH(orderHistory[customer], $E$9, 0)), MATCH(ROW(orderHistory[customer]),ROW(orderHistory[customer])), ""), ROWS($A$1:A3)+$B$3))),"")</f>
        <v/>
      </c>
      <c r="S12" s="607" t="str">
        <f t="array" ref="S12">IFERROR(IF($E$9="ALL",INDEX(orderHistory[payed],ROW()-9+$B$3),INDEX(orderHistory[payed], SMALL(IF(ISNUMBER(MATCH(orderHistory[customer], $E$9, 0)), MATCH(ROW(orderHistory[customer]),ROW(orderHistory[customer])), ""), ROWS($A$1:A3)+$B$3))),"")</f>
        <v/>
      </c>
      <c r="T12" s="605" t="str">
        <f t="array" ref="T12">IFERROR(IF($E$9="ALL",INDEX(orderHistory[payment_date],ROW()-9+$B$3),INDEX(orderHistory[payment_date], SMALL(IF(ISNUMBER(MATCH(orderHistory[customer], $E$9, 0)), MATCH(ROW(orderHistory[customer]),ROW(orderHistory[customer])), ""), ROWS($A$1:A3)+$B$3))),"")</f>
        <v/>
      </c>
      <c r="U12" s="608" t="str">
        <f t="array" ref="U12">IFERROR(IF($E$9="ALL",INDEX(orderHistory[amount_sold],ROW()-9+$B$3),INDEX(orderHistory[amount_sold], SMALL(IF(ISNUMBER(MATCH(orderHistory[customer], $E$9, 0)), MATCH(ROW(orderHistory[customer]),ROW(orderHistory[customer])), ""), ROWS($A$1:A3)+$B$3))),"")</f>
        <v/>
      </c>
      <c r="V12" s="609" t="str">
        <f t="array" ref="V12">IFERROR(IF($E$9="ALL",INDEX(orderHistory[status],ROW()-9+$B$3),INDEX(orderHistory[status], SMALL(IF(ISNUMBER(MATCH(orderHistory[customer], $E$9, 0)), MATCH(ROW(orderHistory[customer]),ROW(orderHistory[customer])), ""), ROWS($A$1:A3)+$B$3))),"")</f>
        <v/>
      </c>
      <c r="W12" s="589"/>
      <c r="X12" s="207"/>
      <c r="Y12" s="207"/>
      <c r="Z12" s="207"/>
      <c r="AO12" s="357">
        <v>20240001</v>
      </c>
      <c r="AQ12" s="592" t="s">
        <v>386</v>
      </c>
      <c r="AR12" s="344"/>
      <c r="AS12" s="344"/>
      <c r="AT12" s="344"/>
      <c r="AU12" s="345"/>
      <c r="AV12" s="3"/>
      <c r="AW12" s="622"/>
      <c r="AX12" s="623"/>
      <c r="AY12" s="623"/>
      <c r="AZ12" s="623"/>
      <c r="BA12" s="623"/>
      <c r="BB12" s="623"/>
      <c r="BC12" s="623"/>
      <c r="BD12" s="623"/>
      <c r="BE12" s="623"/>
      <c r="BF12" s="623"/>
      <c r="BG12" s="623"/>
      <c r="BH12" s="623"/>
      <c r="BI12" s="623"/>
      <c r="BJ12" s="623"/>
      <c r="BK12" s="624"/>
      <c r="BL12" s="589"/>
      <c r="BO12" s="630" t="str">
        <f t="array" ref="BO12">IFERROR(IF($AO$9="ALL",INDEX(orderHistory[order_id],ROW()-9),INDEX(orderHistory[order_id], MATCH(0, IF($AO$9=orderHistory[customer],COUNTIF($BO$9:$BO11,orderHistory[order_id]), "")), 0)),"")</f>
        <v/>
      </c>
      <c r="BT12" s="322"/>
      <c r="BU12" s="3"/>
      <c r="BV12" s="3"/>
      <c r="BW12" s="3"/>
      <c r="BX12" s="3"/>
      <c r="BY12" s="323"/>
    </row>
    <row r="13" spans="1:78">
      <c r="E13" s="3"/>
      <c r="G13" s="355"/>
      <c r="H13" s="344"/>
      <c r="I13" s="344"/>
      <c r="J13" s="344"/>
      <c r="K13" s="345"/>
      <c r="L13" s="340"/>
      <c r="M13" s="604" t="str">
        <f t="array" ref="M13">IFERROR(IF($E$9="ALL",INDEX(orderHistory[order_id],ROW()-9+$B$3),INDEX(orderHistory[order_id], SMALL(IF(ISNUMBER(MATCH(orderHistory[customer], $E$9, 0)), MATCH(ROW(orderHistory[customer]),ROW(orderHistory[customer])), ""), ROWS($A$1:A4)+$B$3))),"")</f>
        <v/>
      </c>
      <c r="N13" s="605" t="str">
        <f t="array" ref="N13">IFERROR(IF($E$9="ALL",INDEX(orderHistory[order_date],ROW()-9+$B$3),INDEX(orderHistory[order_date], SMALL(IF(ISNUMBER(MATCH(orderHistory[customer], $E$9, 0)), MATCH(ROW(orderHistory[customer]),ROW(orderHistory[customer])), ""), ROWS($A$1:A4)+$B$3))),"")</f>
        <v/>
      </c>
      <c r="O13" s="606" t="str">
        <f t="array" ref="O13">IFERROR(IF($E$9="ALL",INDEX(orderHistory[carton_no],ROW()-9+$B$3),INDEX(orderHistory[carton_no], SMALL(IF(ISNUMBER(MATCH(orderHistory[customer], $E$9, 0)), MATCH(ROW(orderHistory[customer]),ROW(orderHistory[customer])), ""), ROWS($A$1:A4)+$B$3))),"")</f>
        <v/>
      </c>
      <c r="P13" s="606" t="str">
        <f t="array" ref="P13">IFERROR(IF($E$9="ALL",INDEX(orderHistory[pallet_no],ROW()-9+$B$3),INDEX(orderHistory[pallet_no], SMALL(IF(ISNUMBER(MATCH(orderHistory[customer], $E$9, 0)), MATCH(ROW(orderHistory[customer]),ROW(orderHistory[customer])), ""), ROWS($A$1:A4)+$B$3))),"")</f>
        <v/>
      </c>
      <c r="Q13" s="606" t="str">
        <f t="array" ref="Q13">IFERROR(IF($E$9="ALL",INDEX(orderHistory[invoice_no],ROW()-9+$B$3),INDEX(orderHistory[invoice_no], SMALL(IF(ISNUMBER(MATCH(orderHistory[customer], $E$9, 0)), MATCH(ROW(orderHistory[customer]),ROW(orderHistory[customer])), ""), ROWS($A$1:A4)+$B$3))),"")</f>
        <v/>
      </c>
      <c r="R13" s="605" t="str">
        <f t="array" ref="R13">IFERROR(IF($E$9="ALL",INDEX(orderHistory[invoice_date],ROW()-9+$B$3),INDEX(orderHistory[invoice_date], SMALL(IF(ISNUMBER(MATCH(orderHistory[customer], $E$9, 0)), MATCH(ROW(orderHistory[customer]),ROW(orderHistory[customer])), ""), ROWS($A$1:A4)+$B$3))),"")</f>
        <v/>
      </c>
      <c r="S13" s="607" t="str">
        <f t="array" ref="S13">IFERROR(IF($E$9="ALL",INDEX(orderHistory[payed],ROW()-9+$B$3),INDEX(orderHistory[payed], SMALL(IF(ISNUMBER(MATCH(orderHistory[customer], $E$9, 0)), MATCH(ROW(orderHistory[customer]),ROW(orderHistory[customer])), ""), ROWS($A$1:A4)+$B$3))),"")</f>
        <v/>
      </c>
      <c r="T13" s="605" t="str">
        <f t="array" ref="T13">IFERROR(IF($E$9="ALL",INDEX(orderHistory[payment_date],ROW()-9+$B$3),INDEX(orderHistory[payment_date], SMALL(IF(ISNUMBER(MATCH(orderHistory[customer], $E$9, 0)), MATCH(ROW(orderHistory[customer]),ROW(orderHistory[customer])), ""), ROWS($A$1:A4)+$B$3))),"")</f>
        <v/>
      </c>
      <c r="U13" s="608" t="str">
        <f t="array" ref="U13">IFERROR(IF($E$9="ALL",INDEX(orderHistory[amount_sold],ROW()-9+$B$3),INDEX(orderHistory[amount_sold], SMALL(IF(ISNUMBER(MATCH(orderHistory[customer], $E$9, 0)), MATCH(ROW(orderHistory[customer]),ROW(orderHistory[customer])), ""), ROWS($A$1:A4)+$B$3))),"")</f>
        <v/>
      </c>
      <c r="V13" s="609" t="str">
        <f t="array" ref="V13">IFERROR(IF($E$9="ALL",INDEX(orderHistory[status],ROW()-9+$B$3),INDEX(orderHistory[status], SMALL(IF(ISNUMBER(MATCH(orderHistory[customer], $E$9, 0)), MATCH(ROW(orderHistory[customer]),ROW(orderHistory[customer])), ""), ROWS($A$1:A4)+$B$3))),"")</f>
        <v/>
      </c>
      <c r="W13" s="588"/>
      <c r="Y13" s="207"/>
      <c r="Z13" s="207"/>
      <c r="AQ13" s="592" t="s">
        <v>387</v>
      </c>
      <c r="AR13" s="344"/>
      <c r="AS13" s="344"/>
      <c r="AT13" s="344"/>
      <c r="AU13" s="345"/>
      <c r="AV13" s="3"/>
      <c r="AW13" s="622"/>
      <c r="AX13" s="623"/>
      <c r="AY13" s="623"/>
      <c r="AZ13" s="623"/>
      <c r="BA13" s="623"/>
      <c r="BB13" s="623"/>
      <c r="BC13" s="623"/>
      <c r="BD13" s="623"/>
      <c r="BE13" s="623"/>
      <c r="BF13" s="623"/>
      <c r="BG13" s="623"/>
      <c r="BH13" s="623"/>
      <c r="BI13" s="623"/>
      <c r="BJ13" s="623"/>
      <c r="BK13" s="624"/>
      <c r="BL13" s="589"/>
      <c r="BO13" s="630" t="str">
        <f t="array" ref="BO13">IFERROR(IF($AO$9="ALL",INDEX(orderHistory[order_id],ROW()-9),INDEX(orderHistory[order_id], MATCH(0, IF($AO$9=orderHistory[customer],COUNTIF($BO$9:$BO12,orderHistory[order_id]), "")), 0)),"")</f>
        <v/>
      </c>
      <c r="BT13" s="322" t="s">
        <v>462</v>
      </c>
      <c r="BU13" s="3"/>
      <c r="BV13" s="3"/>
      <c r="BW13" s="3"/>
      <c r="BX13" s="3"/>
      <c r="BY13" s="323"/>
    </row>
    <row r="14" spans="1:78">
      <c r="E14" s="20" t="s">
        <v>530</v>
      </c>
      <c r="G14" s="569" t="s">
        <v>511</v>
      </c>
      <c r="H14" s="576" t="str">
        <f>INDEX(dbClienti[CONTO PAGAMENTO],MATCH($E$9,dbClienti[COD CLIENTE],0))</f>
        <v>"BANCO BPM" - IBAN: IT 98 R 05034 10500 000000000813 - (BIC)  SWIFT: BAPPIT22</v>
      </c>
      <c r="I14" s="577"/>
      <c r="J14" s="578"/>
      <c r="K14" s="345"/>
      <c r="L14" s="207"/>
      <c r="M14" s="604" t="str">
        <f t="array" ref="M14">IFERROR(IF($E$9="ALL",INDEX(orderHistory[order_id],ROW()-9+$B$3),INDEX(orderHistory[order_id], SMALL(IF(ISNUMBER(MATCH(orderHistory[customer], $E$9, 0)), MATCH(ROW(orderHistory[customer]),ROW(orderHistory[customer])), ""), ROWS($A$1:A5)+$B$3))),"")</f>
        <v/>
      </c>
      <c r="N14" s="605" t="str">
        <f t="array" ref="N14">IFERROR(IF($E$9="ALL",INDEX(orderHistory[order_date],ROW()-9+$B$3),INDEX(orderHistory[order_date], SMALL(IF(ISNUMBER(MATCH(orderHistory[customer], $E$9, 0)), MATCH(ROW(orderHistory[customer]),ROW(orderHistory[customer])), ""), ROWS($A$1:A5)+$B$3))),"")</f>
        <v/>
      </c>
      <c r="O14" s="606" t="str">
        <f t="array" ref="O14">IFERROR(IF($E$9="ALL",INDEX(orderHistory[carton_no],ROW()-9+$B$3),INDEX(orderHistory[carton_no], SMALL(IF(ISNUMBER(MATCH(orderHistory[customer], $E$9, 0)), MATCH(ROW(orderHistory[customer]),ROW(orderHistory[customer])), ""), ROWS($A$1:A5)+$B$3))),"")</f>
        <v/>
      </c>
      <c r="P14" s="606" t="str">
        <f t="array" ref="P14">IFERROR(IF($E$9="ALL",INDEX(orderHistory[pallet_no],ROW()-9+$B$3),INDEX(orderHistory[pallet_no], SMALL(IF(ISNUMBER(MATCH(orderHistory[customer], $E$9, 0)), MATCH(ROW(orderHistory[customer]),ROW(orderHistory[customer])), ""), ROWS($A$1:A5)+$B$3))),"")</f>
        <v/>
      </c>
      <c r="Q14" s="606" t="str">
        <f t="array" ref="Q14">IFERROR(IF($E$9="ALL",INDEX(orderHistory[invoice_no],ROW()-9+$B$3),INDEX(orderHistory[invoice_no], SMALL(IF(ISNUMBER(MATCH(orderHistory[customer], $E$9, 0)), MATCH(ROW(orderHistory[customer]),ROW(orderHistory[customer])), ""), ROWS($A$1:A5)+$B$3))),"")</f>
        <v/>
      </c>
      <c r="R14" s="605" t="str">
        <f t="array" ref="R14">IFERROR(IF($E$9="ALL",INDEX(orderHistory[invoice_date],ROW()-9+$B$3),INDEX(orderHistory[invoice_date], SMALL(IF(ISNUMBER(MATCH(orderHistory[customer], $E$9, 0)), MATCH(ROW(orderHistory[customer]),ROW(orderHistory[customer])), ""), ROWS($A$1:A5)+$B$3))),"")</f>
        <v/>
      </c>
      <c r="S14" s="607" t="str">
        <f t="array" ref="S14">IFERROR(IF($E$9="ALL",INDEX(orderHistory[payed],ROW()-9+$B$3),INDEX(orderHistory[payed], SMALL(IF(ISNUMBER(MATCH(orderHistory[customer], $E$9, 0)), MATCH(ROW(orderHistory[customer]),ROW(orderHistory[customer])), ""), ROWS($A$1:A5)+$B$3))),"")</f>
        <v/>
      </c>
      <c r="T14" s="605" t="str">
        <f t="array" ref="T14">IFERROR(IF($E$9="ALL",INDEX(orderHistory[payment_date],ROW()-9+$B$3),INDEX(orderHistory[payment_date], SMALL(IF(ISNUMBER(MATCH(orderHistory[customer], $E$9, 0)), MATCH(ROW(orderHistory[customer]),ROW(orderHistory[customer])), ""), ROWS($A$1:A5)+$B$3))),"")</f>
        <v/>
      </c>
      <c r="U14" s="608" t="str">
        <f t="array" ref="U14">IFERROR(IF($E$9="ALL",INDEX(orderHistory[amount_sold],ROW()-9+$B$3),INDEX(orderHistory[amount_sold], SMALL(IF(ISNUMBER(MATCH(orderHistory[customer], $E$9, 0)), MATCH(ROW(orderHistory[customer]),ROW(orderHistory[customer])), ""), ROWS($A$1:A5)+$B$3))),"")</f>
        <v/>
      </c>
      <c r="V14" s="609" t="str">
        <f t="array" ref="V14">IFERROR(IF($E$9="ALL",INDEX(orderHistory[status],ROW()-9+$B$3),INDEX(orderHistory[status], SMALL(IF(ISNUMBER(MATCH(orderHistory[customer], $E$9, 0)), MATCH(ROW(orderHistory[customer]),ROW(orderHistory[customer])), ""), ROWS($A$1:A5)+$B$3))),"")</f>
        <v/>
      </c>
      <c r="W14" s="589"/>
      <c r="Y14" s="207"/>
      <c r="Z14" s="207"/>
      <c r="AO14" s="20" t="s">
        <v>529</v>
      </c>
      <c r="AQ14" s="592" t="s">
        <v>388</v>
      </c>
      <c r="AR14" s="344"/>
      <c r="AS14" s="344"/>
      <c r="AT14" s="344"/>
      <c r="AU14" s="345"/>
      <c r="AV14" s="3"/>
      <c r="AW14" s="622"/>
      <c r="AX14" s="623"/>
      <c r="AY14" s="623"/>
      <c r="AZ14" s="623"/>
      <c r="BA14" s="623"/>
      <c r="BB14" s="623"/>
      <c r="BC14" s="623"/>
      <c r="BD14" s="623"/>
      <c r="BE14" s="623"/>
      <c r="BF14" s="623"/>
      <c r="BG14" s="623"/>
      <c r="BH14" s="623"/>
      <c r="BI14" s="623"/>
      <c r="BJ14" s="623"/>
      <c r="BK14" s="624"/>
      <c r="BL14" s="589"/>
      <c r="BO14" s="630" t="str">
        <f t="array" ref="BO14">IFERROR(IF($AO$9="ALL",INDEX(orderHistory[order_id],ROW()-9),INDEX(orderHistory[order_id], MATCH(0, IF($AO$9=orderHistory[customer],COUNTIF($BO$9:$BO13,orderHistory[order_id]), "")), 0)),"")</f>
        <v/>
      </c>
      <c r="BT14" s="322"/>
      <c r="BU14" s="3"/>
      <c r="BV14" s="3"/>
      <c r="BW14" s="3"/>
      <c r="BX14" s="3"/>
      <c r="BY14" s="323"/>
    </row>
    <row r="15" spans="1:78" ht="14.5" customHeight="1">
      <c r="E15" s="586" t="s">
        <v>531</v>
      </c>
      <c r="G15" s="569"/>
      <c r="H15" s="579"/>
      <c r="I15" s="580"/>
      <c r="J15" s="581"/>
      <c r="K15" s="345"/>
      <c r="L15" s="207"/>
      <c r="M15" s="604" t="str">
        <f t="array" ref="M15">IFERROR(IF($E$9="ALL",INDEX(orderHistory[order_id],ROW()-9+$B$3),INDEX(orderHistory[order_id], SMALL(IF(ISNUMBER(MATCH(orderHistory[customer], $E$9, 0)), MATCH(ROW(orderHistory[customer]),ROW(orderHistory[customer])), ""), ROWS($A$1:A6)+$B$3))),"")</f>
        <v/>
      </c>
      <c r="N15" s="605" t="str">
        <f t="array" ref="N15">IFERROR(IF($E$9="ALL",INDEX(orderHistory[order_date],ROW()-9+$B$3),INDEX(orderHistory[order_date], SMALL(IF(ISNUMBER(MATCH(orderHistory[customer], $E$9, 0)), MATCH(ROW(orderHistory[customer]),ROW(orderHistory[customer])), ""), ROWS($A$1:A6)+$B$3))),"")</f>
        <v/>
      </c>
      <c r="O15" s="606" t="str">
        <f t="array" ref="O15">IFERROR(IF($E$9="ALL",INDEX(orderHistory[carton_no],ROW()-9+$B$3),INDEX(orderHistory[carton_no], SMALL(IF(ISNUMBER(MATCH(orderHistory[customer], $E$9, 0)), MATCH(ROW(orderHistory[customer]),ROW(orderHistory[customer])), ""), ROWS($A$1:A6)+$B$3))),"")</f>
        <v/>
      </c>
      <c r="P15" s="606" t="str">
        <f t="array" ref="P15">IFERROR(IF($E$9="ALL",INDEX(orderHistory[pallet_no],ROW()-9+$B$3),INDEX(orderHistory[pallet_no], SMALL(IF(ISNUMBER(MATCH(orderHistory[customer], $E$9, 0)), MATCH(ROW(orderHistory[customer]),ROW(orderHistory[customer])), ""), ROWS($A$1:A6)+$B$3))),"")</f>
        <v/>
      </c>
      <c r="Q15" s="606" t="str">
        <f t="array" ref="Q15">IFERROR(IF($E$9="ALL",INDEX(orderHistory[invoice_no],ROW()-9+$B$3),INDEX(orderHistory[invoice_no], SMALL(IF(ISNUMBER(MATCH(orderHistory[customer], $E$9, 0)), MATCH(ROW(orderHistory[customer]),ROW(orderHistory[customer])), ""), ROWS($A$1:A6)+$B$3))),"")</f>
        <v/>
      </c>
      <c r="R15" s="605" t="str">
        <f t="array" ref="R15">IFERROR(IF($E$9="ALL",INDEX(orderHistory[invoice_date],ROW()-9+$B$3),INDEX(orderHistory[invoice_date], SMALL(IF(ISNUMBER(MATCH(orderHistory[customer], $E$9, 0)), MATCH(ROW(orderHistory[customer]),ROW(orderHistory[customer])), ""), ROWS($A$1:A6)+$B$3))),"")</f>
        <v/>
      </c>
      <c r="S15" s="607" t="str">
        <f t="array" ref="S15">IFERROR(IF($E$9="ALL",INDEX(orderHistory[payed],ROW()-9+$B$3),INDEX(orderHistory[payed], SMALL(IF(ISNUMBER(MATCH(orderHistory[customer], $E$9, 0)), MATCH(ROW(orderHistory[customer]),ROW(orderHistory[customer])), ""), ROWS($A$1:A6)+$B$3))),"")</f>
        <v/>
      </c>
      <c r="T15" s="605" t="str">
        <f t="array" ref="T15">IFERROR(IF($E$9="ALL",INDEX(orderHistory[payment_date],ROW()-9+$B$3),INDEX(orderHistory[payment_date], SMALL(IF(ISNUMBER(MATCH(orderHistory[customer], $E$9, 0)), MATCH(ROW(orderHistory[customer]),ROW(orderHistory[customer])), ""), ROWS($A$1:A6)+$B$3))),"")</f>
        <v/>
      </c>
      <c r="U15" s="608" t="str">
        <f t="array" ref="U15">IFERROR(IF($E$9="ALL",INDEX(orderHistory[amount_sold],ROW()-9+$B$3),INDEX(orderHistory[amount_sold], SMALL(IF(ISNUMBER(MATCH(orderHistory[customer], $E$9, 0)), MATCH(ROW(orderHistory[customer]),ROW(orderHistory[customer])), ""), ROWS($A$1:A6)+$B$3))),"")</f>
        <v/>
      </c>
      <c r="V15" s="609" t="str">
        <f t="array" ref="V15">IFERROR(IF($E$9="ALL",INDEX(orderHistory[status],ROW()-9+$B$3),INDEX(orderHistory[status], SMALL(IF(ISNUMBER(MATCH(orderHistory[customer], $E$9, 0)), MATCH(ROW(orderHistory[customer]),ROW(orderHistory[customer])), ""), ROWS($A$1:A6)+$B$3))),"")</f>
        <v/>
      </c>
      <c r="W15" s="590"/>
      <c r="X15" s="330"/>
      <c r="Y15" s="207"/>
      <c r="Z15" s="207"/>
      <c r="AO15" s="585" t="s">
        <v>148</v>
      </c>
      <c r="AQ15" s="592" t="s">
        <v>428</v>
      </c>
      <c r="AR15" s="344"/>
      <c r="AS15" s="344"/>
      <c r="AT15" s="344"/>
      <c r="AU15" s="345"/>
      <c r="AV15" s="3"/>
      <c r="AW15" s="622"/>
      <c r="AX15" s="623"/>
      <c r="AY15" s="623"/>
      <c r="AZ15" s="623"/>
      <c r="BA15" s="623"/>
      <c r="BB15" s="623"/>
      <c r="BC15" s="623"/>
      <c r="BD15" s="623"/>
      <c r="BE15" s="623"/>
      <c r="BF15" s="623"/>
      <c r="BG15" s="623"/>
      <c r="BH15" s="623"/>
      <c r="BI15" s="623"/>
      <c r="BJ15" s="623"/>
      <c r="BK15" s="624"/>
      <c r="BL15" s="589"/>
      <c r="BO15" s="630" t="str">
        <f t="array" ref="BO15">IFERROR(IF($AO$9="ALL",INDEX(orderHistory[order_id],ROW()-9),INDEX(orderHistory[order_id], MATCH(0, IF($AO$9=orderHistory[customer],COUNTIF($BO$9:$BO14,orderHistory[order_id]), "")), 0)),"")</f>
        <v/>
      </c>
      <c r="BT15" s="322" t="s">
        <v>463</v>
      </c>
      <c r="BU15" s="3"/>
      <c r="BV15" s="3"/>
      <c r="BW15" s="3"/>
      <c r="BX15" s="3"/>
      <c r="BY15" s="323"/>
    </row>
    <row r="16" spans="1:78">
      <c r="E16" s="371"/>
      <c r="G16" s="382"/>
      <c r="H16" s="582"/>
      <c r="I16" s="583"/>
      <c r="J16" s="584"/>
      <c r="K16" s="345"/>
      <c r="L16" s="207"/>
      <c r="M16" s="604" t="str">
        <f t="array" ref="M16">IFERROR(IF($E$9="ALL",INDEX(orderHistory[order_id],ROW()-9+$B$3),INDEX(orderHistory[order_id], SMALL(IF(ISNUMBER(MATCH(orderHistory[customer], $E$9, 0)), MATCH(ROW(orderHistory[customer]),ROW(orderHistory[customer])), ""), ROWS($A$1:A7)+$B$3))),"")</f>
        <v/>
      </c>
      <c r="N16" s="605" t="str">
        <f t="array" ref="N16">IFERROR(IF($E$9="ALL",INDEX(orderHistory[order_date],ROW()-9+$B$3),INDEX(orderHistory[order_date], SMALL(IF(ISNUMBER(MATCH(orderHistory[customer], $E$9, 0)), MATCH(ROW(orderHistory[customer]),ROW(orderHistory[customer])), ""), ROWS($A$1:A7)+$B$3))),"")</f>
        <v/>
      </c>
      <c r="O16" s="606" t="str">
        <f t="array" ref="O16">IFERROR(IF($E$9="ALL",INDEX(orderHistory[carton_no],ROW()-9+$B$3),INDEX(orderHistory[carton_no], SMALL(IF(ISNUMBER(MATCH(orderHistory[customer], $E$9, 0)), MATCH(ROW(orderHistory[customer]),ROW(orderHistory[customer])), ""), ROWS($A$1:A7)+$B$3))),"")</f>
        <v/>
      </c>
      <c r="P16" s="606" t="str">
        <f t="array" ref="P16">IFERROR(IF($E$9="ALL",INDEX(orderHistory[pallet_no],ROW()-9+$B$3),INDEX(orderHistory[pallet_no], SMALL(IF(ISNUMBER(MATCH(orderHistory[customer], $E$9, 0)), MATCH(ROW(orderHistory[customer]),ROW(orderHistory[customer])), ""), ROWS($A$1:A7)+$B$3))),"")</f>
        <v/>
      </c>
      <c r="Q16" s="606" t="str">
        <f t="array" ref="Q16">IFERROR(IF($E$9="ALL",INDEX(orderHistory[invoice_no],ROW()-9+$B$3),INDEX(orderHistory[invoice_no], SMALL(IF(ISNUMBER(MATCH(orderHistory[customer], $E$9, 0)), MATCH(ROW(orderHistory[customer]),ROW(orderHistory[customer])), ""), ROWS($A$1:A7)+$B$3))),"")</f>
        <v/>
      </c>
      <c r="R16" s="605" t="str">
        <f t="array" ref="R16">IFERROR(IF($E$9="ALL",INDEX(orderHistory[invoice_date],ROW()-9+$B$3),INDEX(orderHistory[invoice_date], SMALL(IF(ISNUMBER(MATCH(orderHistory[customer], $E$9, 0)), MATCH(ROW(orderHistory[customer]),ROW(orderHistory[customer])), ""), ROWS($A$1:A7)+$B$3))),"")</f>
        <v/>
      </c>
      <c r="S16" s="607" t="str">
        <f t="array" ref="S16">IFERROR(IF($E$9="ALL",INDEX(orderHistory[payed],ROW()-9+$B$3),INDEX(orderHistory[payed], SMALL(IF(ISNUMBER(MATCH(orderHistory[customer], $E$9, 0)), MATCH(ROW(orderHistory[customer]),ROW(orderHistory[customer])), ""), ROWS($A$1:A7)+$B$3))),"")</f>
        <v/>
      </c>
      <c r="T16" s="605" t="str">
        <f t="array" ref="T16">IFERROR(IF($E$9="ALL",INDEX(orderHistory[payment_date],ROW()-9+$B$3),INDEX(orderHistory[payment_date], SMALL(IF(ISNUMBER(MATCH(orderHistory[customer], $E$9, 0)), MATCH(ROW(orderHistory[customer]),ROW(orderHistory[customer])), ""), ROWS($A$1:A7)+$B$3))),"")</f>
        <v/>
      </c>
      <c r="U16" s="608" t="str">
        <f t="array" ref="U16">IFERROR(IF($E$9="ALL",INDEX(orderHistory[amount_sold],ROW()-9+$B$3),INDEX(orderHistory[amount_sold], SMALL(IF(ISNUMBER(MATCH(orderHistory[customer], $E$9, 0)), MATCH(ROW(orderHistory[customer]),ROW(orderHistory[customer])), ""), ROWS($A$1:A7)+$B$3))),"")</f>
        <v/>
      </c>
      <c r="V16" s="609" t="str">
        <f t="array" ref="V16">IFERROR(IF($E$9="ALL",INDEX(orderHistory[status],ROW()-9+$B$3),INDEX(orderHistory[status], SMALL(IF(ISNUMBER(MATCH(orderHistory[customer], $E$9, 0)), MATCH(ROW(orderHistory[customer]),ROW(orderHistory[customer])), ""), ROWS($A$1:A7)+$B$3))),"")</f>
        <v/>
      </c>
      <c r="W16" s="589"/>
      <c r="X16" s="330"/>
      <c r="Y16" s="207"/>
      <c r="Z16" s="207"/>
      <c r="AO16" s="3"/>
      <c r="AQ16" s="592" t="s">
        <v>485</v>
      </c>
      <c r="AR16" s="344"/>
      <c r="AS16" s="344"/>
      <c r="AT16" s="344"/>
      <c r="AU16" s="345"/>
      <c r="AV16" s="3"/>
      <c r="AW16" s="622"/>
      <c r="AX16" s="623"/>
      <c r="AY16" s="623"/>
      <c r="AZ16" s="623"/>
      <c r="BA16" s="623"/>
      <c r="BB16" s="623"/>
      <c r="BC16" s="623"/>
      <c r="BD16" s="623"/>
      <c r="BE16" s="623"/>
      <c r="BF16" s="623"/>
      <c r="BG16" s="623"/>
      <c r="BH16" s="623"/>
      <c r="BI16" s="623"/>
      <c r="BJ16" s="623"/>
      <c r="BK16" s="624"/>
      <c r="BL16" s="589"/>
      <c r="BO16" s="630" t="str">
        <f t="array" ref="BO16">IFERROR(IF($AO$9="ALL",INDEX(orderHistory[order_id],ROW()-9),INDEX(orderHistory[order_id], MATCH(0, IF($AO$9=orderHistory[customer],COUNTIF($BO$9:$BO15,orderHistory[order_id]), "")), 0)),"")</f>
        <v/>
      </c>
      <c r="BT16" s="322"/>
      <c r="BU16" s="3"/>
      <c r="BV16" s="3"/>
      <c r="BW16" s="3"/>
      <c r="BX16" s="3"/>
      <c r="BY16" s="323"/>
    </row>
    <row r="17" spans="5:77">
      <c r="E17" s="371"/>
      <c r="G17" s="355"/>
      <c r="H17" s="344"/>
      <c r="I17" s="344"/>
      <c r="J17" s="344"/>
      <c r="K17" s="345"/>
      <c r="L17" s="340"/>
      <c r="M17" s="610" t="str">
        <f t="array" ref="M17">IFERROR(IF($E$9="ALL",INDEX(orderHistory[order_id],ROW()-9+$B$3),INDEX(orderHistory[order_id], SMALL(IF(ISNUMBER(MATCH(orderHistory[customer], $E$9, 0)), MATCH(ROW(orderHistory[customer]),ROW(orderHistory[customer])), ""), ROWS($A$1:A8)+$B$3))),"")</f>
        <v/>
      </c>
      <c r="N17" s="605" t="str">
        <f t="array" ref="N17">IFERROR(IF($E$9="ALL",INDEX(orderHistory[order_date],ROW()-9+$B$3),INDEX(orderHistory[order_date], SMALL(IF(ISNUMBER(MATCH(orderHistory[customer], $E$9, 0)), MATCH(ROW(orderHistory[customer]),ROW(orderHistory[customer])), ""), ROWS($A$1:A8)+$B$3))),"")</f>
        <v/>
      </c>
      <c r="O17" s="606" t="str">
        <f t="array" ref="O17">IFERROR(IF($E$9="ALL",INDEX(orderHistory[carton_no],ROW()-9+$B$3),INDEX(orderHistory[carton_no], SMALL(IF(ISNUMBER(MATCH(orderHistory[customer], $E$9, 0)), MATCH(ROW(orderHistory[customer]),ROW(orderHistory[customer])), ""), ROWS($A$1:A8)+$B$3))),"")</f>
        <v/>
      </c>
      <c r="P17" s="611" t="str">
        <f t="array" ref="P17">IFERROR(IF($E$9="ALL",INDEX(orderHistory[pallet_no],ROW()-9+$B$3),INDEX(orderHistory[pallet_no], SMALL(IF(ISNUMBER(MATCH(orderHistory[customer], $E$9, 0)), MATCH(ROW(orderHistory[customer]),ROW(orderHistory[customer])), ""), ROWS($A$1:A8)+$B$3))),"")</f>
        <v/>
      </c>
      <c r="Q17" s="606" t="str">
        <f t="array" ref="Q17">IFERROR(IF($E$9="ALL",INDEX(orderHistory[invoice_no],ROW()-9+$B$3),INDEX(orderHistory[invoice_no], SMALL(IF(ISNUMBER(MATCH(orderHistory[customer], $E$9, 0)), MATCH(ROW(orderHistory[customer]),ROW(orderHistory[customer])), ""), ROWS($A$1:A8)+$B$3))),"")</f>
        <v/>
      </c>
      <c r="R17" s="605" t="str">
        <f t="array" ref="R17">IFERROR(IF($E$9="ALL",INDEX(orderHistory[invoice_date],ROW()-9+$B$3),INDEX(orderHistory[invoice_date], SMALL(IF(ISNUMBER(MATCH(orderHistory[customer], $E$9, 0)), MATCH(ROW(orderHistory[customer]),ROW(orderHistory[customer])), ""), ROWS($A$1:A8)+$B$3))),"")</f>
        <v/>
      </c>
      <c r="S17" s="607" t="str">
        <f t="array" ref="S17">IFERROR(IF($E$9="ALL",INDEX(orderHistory[payed],ROW()-9+$B$3),INDEX(orderHistory[payed], SMALL(IF(ISNUMBER(MATCH(orderHistory[customer], $E$9, 0)), MATCH(ROW(orderHistory[customer]),ROW(orderHistory[customer])), ""), ROWS($A$1:A8)+$B$3))),"")</f>
        <v/>
      </c>
      <c r="T17" s="605" t="str">
        <f t="array" ref="T17">IFERROR(IF($E$9="ALL",INDEX(orderHistory[payment_date],ROW()-9+$B$3),INDEX(orderHistory[payment_date], SMALL(IF(ISNUMBER(MATCH(orderHistory[customer], $E$9, 0)), MATCH(ROW(orderHistory[customer]),ROW(orderHistory[customer])), ""), ROWS($A$1:A8)+$B$3))),"")</f>
        <v/>
      </c>
      <c r="U17" s="608" t="str">
        <f t="array" ref="U17">IFERROR(IF($E$9="ALL",INDEX(orderHistory[amount_sold],ROW()-9+$B$3),INDEX(orderHistory[amount_sold], SMALL(IF(ISNUMBER(MATCH(orderHistory[customer], $E$9, 0)), MATCH(ROW(orderHistory[customer]),ROW(orderHistory[customer])), ""), ROWS($A$1:A8)+$B$3))),"")</f>
        <v/>
      </c>
      <c r="V17" s="609" t="str">
        <f t="array" ref="V17">IFERROR(IF($E$9="ALL",INDEX(orderHistory[status],ROW()-9+$B$3),INDEX(orderHistory[status], SMALL(IF(ISNUMBER(MATCH(orderHistory[customer], $E$9, 0)), MATCH(ROW(orderHistory[customer]),ROW(orderHistory[customer])), ""), ROWS($A$1:A8)+$B$3))),"")</f>
        <v/>
      </c>
      <c r="W17" s="588"/>
      <c r="X17" s="330"/>
      <c r="Y17" s="207"/>
      <c r="Z17" s="207"/>
      <c r="AO17" s="20" t="s">
        <v>530</v>
      </c>
      <c r="AQ17" s="592" t="s">
        <v>486</v>
      </c>
      <c r="AR17" s="344"/>
      <c r="AS17" s="344"/>
      <c r="AT17" s="344"/>
      <c r="AU17" s="345"/>
      <c r="AV17" s="3"/>
      <c r="AW17" s="622"/>
      <c r="AX17" s="623"/>
      <c r="AY17" s="623"/>
      <c r="AZ17" s="623"/>
      <c r="BA17" s="623"/>
      <c r="BB17" s="623"/>
      <c r="BC17" s="623"/>
      <c r="BD17" s="623"/>
      <c r="BE17" s="623"/>
      <c r="BF17" s="623"/>
      <c r="BG17" s="623"/>
      <c r="BH17" s="623"/>
      <c r="BI17" s="623"/>
      <c r="BJ17" s="623"/>
      <c r="BK17" s="624"/>
      <c r="BL17" s="589"/>
      <c r="BO17" s="630" t="str">
        <f t="array" ref="BO17">IFERROR(IF($AO$9="ALL",INDEX(orderHistory[order_id],ROW()-9),INDEX(orderHistory[order_id], MATCH(0, IF($AO$9=orderHistory[customer],COUNTIF($BO$9:$BO16,orderHistory[order_id]), "")), 0)),"")</f>
        <v/>
      </c>
      <c r="BT17" s="322" t="s">
        <v>448</v>
      </c>
      <c r="BU17" s="3"/>
      <c r="BV17" s="3"/>
      <c r="BW17" s="3"/>
      <c r="BX17" s="3"/>
      <c r="BY17" s="323"/>
    </row>
    <row r="18" spans="5:77" ht="14.5" customHeight="1">
      <c r="E18" s="371"/>
      <c r="G18" s="381" t="s">
        <v>481</v>
      </c>
      <c r="H18" s="566" t="str">
        <f>INDEX(dbClienti[METODO DI PAGAMENTO],MATCH($E$9,dbClienti[COD CLIENTE],0))</f>
        <v>024 - IN ADVANCE</v>
      </c>
      <c r="I18" s="567"/>
      <c r="J18" s="568"/>
      <c r="K18" s="345"/>
      <c r="L18" s="207"/>
      <c r="M18" s="610" t="str">
        <f t="array" ref="M18">IFERROR(IF($E$9="ALL",INDEX(orderHistory[order_id],ROW()-9+$B$3),INDEX(orderHistory[order_id], SMALL(IF(ISNUMBER(MATCH(orderHistory[customer], $E$9, 0)), MATCH(ROW(orderHistory[customer]),ROW(orderHistory[customer])), ""), ROWS($A$1:A9)+$B$3))),"")</f>
        <v/>
      </c>
      <c r="N18" s="605" t="str">
        <f t="array" ref="N18">IFERROR(IF($E$9="ALL",INDEX(orderHistory[order_date],ROW()-9+$B$3),INDEX(orderHistory[order_date], SMALL(IF(ISNUMBER(MATCH(orderHistory[customer], $E$9, 0)), MATCH(ROW(orderHistory[customer]),ROW(orderHistory[customer])), ""), ROWS($A$1:A9)+$B$3))),"")</f>
        <v/>
      </c>
      <c r="O18" s="606" t="str">
        <f t="array" ref="O18">IFERROR(IF($E$9="ALL",INDEX(orderHistory[carton_no],ROW()-9+$B$3),INDEX(orderHistory[carton_no], SMALL(IF(ISNUMBER(MATCH(orderHistory[customer], $E$9, 0)), MATCH(ROW(orderHistory[customer]),ROW(orderHistory[customer])), ""), ROWS($A$1:A9)+$B$3))),"")</f>
        <v/>
      </c>
      <c r="P18" s="606" t="str">
        <f t="array" ref="P18">IFERROR(IF($E$9="ALL",INDEX(orderHistory[pallet_no],ROW()-9+$B$3),INDEX(orderHistory[pallet_no], SMALL(IF(ISNUMBER(MATCH(orderHistory[customer], $E$9, 0)), MATCH(ROW(orderHistory[customer]),ROW(orderHistory[customer])), ""), ROWS($A$1:A9)+$B$3))),"")</f>
        <v/>
      </c>
      <c r="Q18" s="606" t="str">
        <f t="array" ref="Q18">IFERROR(IF($E$9="ALL",INDEX(orderHistory[invoice_no],ROW()-9+$B$3),INDEX(orderHistory[invoice_no], SMALL(IF(ISNUMBER(MATCH(orderHistory[customer], $E$9, 0)), MATCH(ROW(orderHistory[customer]),ROW(orderHistory[customer])), ""), ROWS($A$1:A9)+$B$3))),"")</f>
        <v/>
      </c>
      <c r="R18" s="605" t="str">
        <f t="array" ref="R18">IFERROR(IF($E$9="ALL",INDEX(orderHistory[invoice_date],ROW()-9+$B$3),INDEX(orderHistory[invoice_date], SMALL(IF(ISNUMBER(MATCH(orderHistory[customer], $E$9, 0)), MATCH(ROW(orderHistory[customer]),ROW(orderHistory[customer])), ""), ROWS($A$1:A9)+$B$3))),"")</f>
        <v/>
      </c>
      <c r="S18" s="607" t="str">
        <f t="array" ref="S18">IFERROR(IF($E$9="ALL",INDEX(orderHistory[payed],ROW()-9+$B$3),INDEX(orderHistory[payed], SMALL(IF(ISNUMBER(MATCH(orderHistory[customer], $E$9, 0)), MATCH(ROW(orderHistory[customer]),ROW(orderHistory[customer])), ""), ROWS($A$1:A9)+$B$3))),"")</f>
        <v/>
      </c>
      <c r="T18" s="605" t="str">
        <f t="array" ref="T18">IFERROR(IF($E$9="ALL",INDEX(orderHistory[payment_date],ROW()-9+$B$3),INDEX(orderHistory[payment_date], SMALL(IF(ISNUMBER(MATCH(orderHistory[customer], $E$9, 0)), MATCH(ROW(orderHistory[customer]),ROW(orderHistory[customer])), ""), ROWS($A$1:A9)+$B$3))),"")</f>
        <v/>
      </c>
      <c r="U18" s="608" t="str">
        <f t="array" ref="U18">IFERROR(IF($E$9="ALL",INDEX(orderHistory[amount_sold],ROW()-9+$B$3),INDEX(orderHistory[amount_sold], SMALL(IF(ISNUMBER(MATCH(orderHistory[customer], $E$9, 0)), MATCH(ROW(orderHistory[customer]),ROW(orderHistory[customer])), ""), ROWS($A$1:A9)+$B$3))),"")</f>
        <v/>
      </c>
      <c r="V18" s="609" t="str">
        <f t="array" ref="V18">IFERROR(IF($E$9="ALL",INDEX(orderHistory[status],ROW()-9+$B$3),INDEX(orderHistory[status], SMALL(IF(ISNUMBER(MATCH(orderHistory[customer], $E$9, 0)), MATCH(ROW(orderHistory[customer]),ROW(orderHistory[customer])), ""), ROWS($A$1:A9)+$B$3))),"")</f>
        <v/>
      </c>
      <c r="W18" s="589"/>
      <c r="X18" s="330"/>
      <c r="Y18" s="207"/>
      <c r="Z18" s="207"/>
      <c r="AO18" s="586" t="s">
        <v>531</v>
      </c>
      <c r="AQ18" s="592"/>
      <c r="AR18" s="344"/>
      <c r="AS18" s="344"/>
      <c r="AT18" s="344"/>
      <c r="AU18" s="345"/>
      <c r="AV18" s="3"/>
      <c r="AW18" s="622"/>
      <c r="AX18" s="623"/>
      <c r="AY18" s="623"/>
      <c r="AZ18" s="623"/>
      <c r="BA18" s="623"/>
      <c r="BB18" s="623"/>
      <c r="BC18" s="623"/>
      <c r="BD18" s="623"/>
      <c r="BE18" s="623"/>
      <c r="BF18" s="623"/>
      <c r="BG18" s="623"/>
      <c r="BH18" s="623"/>
      <c r="BI18" s="623"/>
      <c r="BJ18" s="623"/>
      <c r="BK18" s="624"/>
      <c r="BL18" s="589"/>
      <c r="BO18" s="630" t="str">
        <f t="array" ref="BO18">IFERROR(IF($AO$9="ALL",INDEX(orderHistory[order_id],ROW()-9),INDEX(orderHistory[order_id], MATCH(0, IF($AO$9=orderHistory[customer],COUNTIF($BO$9:$BO17,orderHistory[order_id]), "")), 0)),"")</f>
        <v/>
      </c>
      <c r="BT18" s="322"/>
      <c r="BU18" s="3"/>
      <c r="BV18" s="3"/>
      <c r="BW18" s="3"/>
      <c r="BX18" s="3"/>
      <c r="BY18" s="323"/>
    </row>
    <row r="19" spans="5:77">
      <c r="E19" s="3"/>
      <c r="G19" s="358"/>
      <c r="H19" s="344"/>
      <c r="I19" s="344"/>
      <c r="J19" s="344"/>
      <c r="K19" s="345"/>
      <c r="L19" s="207"/>
      <c r="M19" s="610" t="str">
        <f t="array" ref="M19">IFERROR(IF($E$9="ALL",INDEX(orderHistory[order_id],ROW()-9+$B$3),INDEX(orderHistory[order_id], SMALL(IF(ISNUMBER(MATCH(orderHistory[customer], $E$9, 0)), MATCH(ROW(orderHistory[customer]),ROW(orderHistory[customer])), ""), ROWS($A$1:A10)+$B$3))),"")</f>
        <v/>
      </c>
      <c r="N19" s="605" t="str">
        <f t="array" ref="N19">IFERROR(IF($E$9="ALL",INDEX(orderHistory[order_date],ROW()-9+$B$3),INDEX(orderHistory[order_date], SMALL(IF(ISNUMBER(MATCH(orderHistory[customer], $E$9, 0)), MATCH(ROW(orderHistory[customer]),ROW(orderHistory[customer])), ""), ROWS($A$1:A10)+$B$3))),"")</f>
        <v/>
      </c>
      <c r="O19" s="606" t="str">
        <f t="array" ref="O19">IFERROR(IF($E$9="ALL",INDEX(orderHistory[carton_no],ROW()-9+$B$3),INDEX(orderHistory[carton_no], SMALL(IF(ISNUMBER(MATCH(orderHistory[customer], $E$9, 0)), MATCH(ROW(orderHistory[customer]),ROW(orderHistory[customer])), ""), ROWS($A$1:A10)+$B$3))),"")</f>
        <v/>
      </c>
      <c r="P19" s="606" t="str">
        <f t="array" ref="P19">IFERROR(IF($E$9="ALL",INDEX(orderHistory[pallet_no],ROW()-9+$B$3),INDEX(orderHistory[pallet_no], SMALL(IF(ISNUMBER(MATCH(orderHistory[customer], $E$9, 0)), MATCH(ROW(orderHistory[customer]),ROW(orderHistory[customer])), ""), ROWS($A$1:A10)+$B$3))),"")</f>
        <v/>
      </c>
      <c r="Q19" s="606" t="str">
        <f t="array" ref="Q19">IFERROR(IF($E$9="ALL",INDEX(orderHistory[invoice_no],ROW()-9+$B$3),INDEX(orderHistory[invoice_no], SMALL(IF(ISNUMBER(MATCH(orderHistory[customer], $E$9, 0)), MATCH(ROW(orderHistory[customer]),ROW(orderHistory[customer])), ""), ROWS($A$1:A10)+$B$3))),"")</f>
        <v/>
      </c>
      <c r="R19" s="605" t="str">
        <f t="array" ref="R19">IFERROR(IF($E$9="ALL",INDEX(orderHistory[invoice_date],ROW()-9+$B$3),INDEX(orderHistory[invoice_date], SMALL(IF(ISNUMBER(MATCH(orderHistory[customer], $E$9, 0)), MATCH(ROW(orderHistory[customer]),ROW(orderHistory[customer])), ""), ROWS($A$1:A10)+$B$3))),"")</f>
        <v/>
      </c>
      <c r="S19" s="607" t="str">
        <f t="array" ref="S19">IFERROR(IF($E$9="ALL",INDEX(orderHistory[payed],ROW()-9+$B$3),INDEX(orderHistory[payed], SMALL(IF(ISNUMBER(MATCH(orderHistory[customer], $E$9, 0)), MATCH(ROW(orderHistory[customer]),ROW(orderHistory[customer])), ""), ROWS($A$1:A10)+$B$3))),"")</f>
        <v/>
      </c>
      <c r="T19" s="605" t="str">
        <f t="array" ref="T19">IFERROR(IF($E$9="ALL",INDEX(orderHistory[payment_date],ROW()-9+$B$3),INDEX(orderHistory[payment_date], SMALL(IF(ISNUMBER(MATCH(orderHistory[customer], $E$9, 0)), MATCH(ROW(orderHistory[customer]),ROW(orderHistory[customer])), ""), ROWS($A$1:A10)+$B$3))),"")</f>
        <v/>
      </c>
      <c r="U19" s="608" t="str">
        <f t="array" ref="U19">IFERROR(IF($E$9="ALL",INDEX(orderHistory[amount_sold],ROW()-9+$B$3),INDEX(orderHistory[amount_sold], SMALL(IF(ISNUMBER(MATCH(orderHistory[customer], $E$9, 0)), MATCH(ROW(orderHistory[customer]),ROW(orderHistory[customer])), ""), ROWS($A$1:A10)+$B$3))),"")</f>
        <v/>
      </c>
      <c r="V19" s="609" t="str">
        <f t="array" ref="V19">IFERROR(IF($E$9="ALL",INDEX(orderHistory[status],ROW()-9+$B$3),INDEX(orderHistory[status], SMALL(IF(ISNUMBER(MATCH(orderHistory[customer], $E$9, 0)), MATCH(ROW(orderHistory[customer]),ROW(orderHistory[customer])), ""), ROWS($A$1:A10)+$B$3))),"")</f>
        <v/>
      </c>
      <c r="W19" s="589"/>
      <c r="X19" s="330"/>
      <c r="AQ19" s="595" t="s">
        <v>396</v>
      </c>
      <c r="AR19" s="344"/>
      <c r="AS19" s="344"/>
      <c r="AT19" s="344"/>
      <c r="AU19" s="345"/>
      <c r="AV19" s="3"/>
      <c r="AW19" s="622"/>
      <c r="AX19" s="623"/>
      <c r="AY19" s="623"/>
      <c r="AZ19" s="623"/>
      <c r="BA19" s="623"/>
      <c r="BB19" s="623"/>
      <c r="BC19" s="623"/>
      <c r="BD19" s="623"/>
      <c r="BE19" s="623"/>
      <c r="BF19" s="623"/>
      <c r="BG19" s="623"/>
      <c r="BH19" s="623"/>
      <c r="BI19" s="623"/>
      <c r="BJ19" s="623"/>
      <c r="BK19" s="624"/>
      <c r="BL19" s="589"/>
      <c r="BO19" s="630" t="str">
        <f t="array" ref="BO19">IFERROR(IF($AO$9="ALL",INDEX(orderHistory[order_id],ROW()-9),INDEX(orderHistory[order_id], MATCH(0, IF($AO$9=orderHistory[customer],COUNTIF($BO$9:$BO18,orderHistory[order_id]), "")), 0)),"")</f>
        <v/>
      </c>
      <c r="BT19" s="322" t="s">
        <v>449</v>
      </c>
      <c r="BU19" s="3"/>
      <c r="BV19" s="3"/>
      <c r="BW19" s="3"/>
      <c r="BX19" s="3"/>
      <c r="BY19" s="323"/>
    </row>
    <row r="20" spans="5:77">
      <c r="G20" s="355" t="s">
        <v>480</v>
      </c>
      <c r="H20" s="566" t="str">
        <f>INDEX(dbClienti[VAT NO],MATCH($E$9,dbClienti[COD CLIENTE],0))</f>
        <v>MT11556301</v>
      </c>
      <c r="I20" s="567"/>
      <c r="J20" s="568"/>
      <c r="K20" s="345"/>
      <c r="L20" s="207"/>
      <c r="M20" s="610" t="str">
        <f t="array" ref="M20">IFERROR(IF($E$9="ALL",INDEX(orderHistory[order_id],ROW()-9+$B$3),INDEX(orderHistory[order_id], SMALL(IF(ISNUMBER(MATCH(orderHistory[customer], $E$9, 0)), MATCH(ROW(orderHistory[customer]),ROW(orderHistory[customer])), ""), ROWS($A$1:A11)+$B$3))),"")</f>
        <v/>
      </c>
      <c r="N20" s="605" t="str">
        <f t="array" ref="N20">IFERROR(IF($E$9="ALL",INDEX(orderHistory[order_date],ROW()-9+$B$3),INDEX(orderHistory[order_date], SMALL(IF(ISNUMBER(MATCH(orderHistory[customer], $E$9, 0)), MATCH(ROW(orderHistory[customer]),ROW(orderHistory[customer])), ""), ROWS($A$1:A11)+$B$3))),"")</f>
        <v/>
      </c>
      <c r="O20" s="606" t="str">
        <f t="array" ref="O20">IFERROR(IF($E$9="ALL",INDEX(orderHistory[carton_no],ROW()-9+$B$3),INDEX(orderHistory[carton_no], SMALL(IF(ISNUMBER(MATCH(orderHistory[customer], $E$9, 0)), MATCH(ROW(orderHistory[customer]),ROW(orderHistory[customer])), ""), ROWS($A$1:A11)+$B$3))),"")</f>
        <v/>
      </c>
      <c r="P20" s="606" t="str">
        <f t="array" ref="P20">IFERROR(IF($E$9="ALL",INDEX(orderHistory[pallet_no],ROW()-9+$B$3),INDEX(orderHistory[pallet_no], SMALL(IF(ISNUMBER(MATCH(orderHistory[customer], $E$9, 0)), MATCH(ROW(orderHistory[customer]),ROW(orderHistory[customer])), ""), ROWS($A$1:A11)+$B$3))),"")</f>
        <v/>
      </c>
      <c r="Q20" s="606" t="str">
        <f t="array" ref="Q20">IFERROR(IF($E$9="ALL",INDEX(orderHistory[invoice_no],ROW()-9+$B$3),INDEX(orderHistory[invoice_no], SMALL(IF(ISNUMBER(MATCH(orderHistory[customer], $E$9, 0)), MATCH(ROW(orderHistory[customer]),ROW(orderHistory[customer])), ""), ROWS($A$1:A11)+$B$3))),"")</f>
        <v/>
      </c>
      <c r="R20" s="605" t="str">
        <f t="array" ref="R20">IFERROR(IF($E$9="ALL",INDEX(orderHistory[invoice_date],ROW()-9+$B$3),INDEX(orderHistory[invoice_date], SMALL(IF(ISNUMBER(MATCH(orderHistory[customer], $E$9, 0)), MATCH(ROW(orderHistory[customer]),ROW(orderHistory[customer])), ""), ROWS($A$1:A11)+$B$3))),"")</f>
        <v/>
      </c>
      <c r="S20" s="607" t="str">
        <f t="array" ref="S20">IFERROR(IF($E$9="ALL",INDEX(orderHistory[payed],ROW()-9+$B$3),INDEX(orderHistory[payed], SMALL(IF(ISNUMBER(MATCH(orderHistory[customer], $E$9, 0)), MATCH(ROW(orderHistory[customer]),ROW(orderHistory[customer])), ""), ROWS($A$1:A11)+$B$3))),"")</f>
        <v/>
      </c>
      <c r="T20" s="605" t="str">
        <f t="array" ref="T20">IFERROR(IF($E$9="ALL",INDEX(orderHistory[payment_date],ROW()-9+$B$3),INDEX(orderHistory[payment_date], SMALL(IF(ISNUMBER(MATCH(orderHistory[customer], $E$9, 0)), MATCH(ROW(orderHistory[customer]),ROW(orderHistory[customer])), ""), ROWS($A$1:A11)+$B$3))),"")</f>
        <v/>
      </c>
      <c r="U20" s="608" t="str">
        <f t="array" ref="U20">IFERROR(IF($E$9="ALL",INDEX(orderHistory[amount_sold],ROW()-9+$B$3),INDEX(orderHistory[amount_sold], SMALL(IF(ISNUMBER(MATCH(orderHistory[customer], $E$9, 0)), MATCH(ROW(orderHistory[customer]),ROW(orderHistory[customer])), ""), ROWS($A$1:A11)+$B$3))),"")</f>
        <v/>
      </c>
      <c r="V20" s="609" t="str">
        <f t="array" ref="V20">IFERROR(IF($E$9="ALL",INDEX(orderHistory[status],ROW()-9+$B$3),INDEX(orderHistory[status], SMALL(IF(ISNUMBER(MATCH(orderHistory[customer], $E$9, 0)), MATCH(ROW(orderHistory[customer]),ROW(orderHistory[customer])), ""), ROWS($A$1:A11)+$B$3))),"")</f>
        <v/>
      </c>
      <c r="W20" s="589"/>
      <c r="X20" s="330"/>
      <c r="AQ20" s="596" t="s">
        <v>487</v>
      </c>
      <c r="AR20" s="344"/>
      <c r="AS20" s="344"/>
      <c r="AT20" s="344"/>
      <c r="AU20" s="345"/>
      <c r="AV20" s="3"/>
      <c r="AW20" s="622"/>
      <c r="AX20" s="623"/>
      <c r="AY20" s="623"/>
      <c r="AZ20" s="623"/>
      <c r="BA20" s="623"/>
      <c r="BB20" s="623"/>
      <c r="BC20" s="623"/>
      <c r="BD20" s="623"/>
      <c r="BE20" s="623"/>
      <c r="BF20" s="623"/>
      <c r="BG20" s="623"/>
      <c r="BH20" s="623"/>
      <c r="BI20" s="623"/>
      <c r="BJ20" s="623"/>
      <c r="BK20" s="624"/>
      <c r="BL20" s="589"/>
      <c r="BO20" s="630" t="str">
        <f t="array" ref="BO20">IFERROR(IF($AO$9="ALL",INDEX(orderHistory[order_id],ROW()-9),INDEX(orderHistory[order_id], MATCH(0, IF($AO$9=orderHistory[customer],COUNTIF($BO$9:$BO19,orderHistory[order_id]), "")), 0)),"")</f>
        <v/>
      </c>
      <c r="BT20" s="322"/>
      <c r="BU20" s="3"/>
      <c r="BV20" s="3"/>
      <c r="BW20" s="3"/>
      <c r="BX20" s="3"/>
      <c r="BY20" s="323"/>
    </row>
    <row r="21" spans="5:77">
      <c r="G21" s="355"/>
      <c r="H21" s="344"/>
      <c r="I21" s="344"/>
      <c r="J21" s="344"/>
      <c r="K21" s="345"/>
      <c r="L21" s="207"/>
      <c r="M21" s="610" t="str">
        <f t="array" ref="M21">IFERROR(IF($E$9="ALL",INDEX(orderHistory[order_id],ROW()-9+$B$3),INDEX(orderHistory[order_id], SMALL(IF(ISNUMBER(MATCH(orderHistory[customer], $E$9, 0)), MATCH(ROW(orderHistory[customer]),ROW(orderHistory[customer])), ""), ROWS($A$1:A12)+$B$3))),"")</f>
        <v/>
      </c>
      <c r="N21" s="605" t="str">
        <f t="array" ref="N21">IFERROR(IF($E$9="ALL",INDEX(orderHistory[order_date],ROW()-9+$B$3),INDEX(orderHistory[order_date], SMALL(IF(ISNUMBER(MATCH(orderHistory[customer], $E$9, 0)), MATCH(ROW(orderHistory[customer]),ROW(orderHistory[customer])), ""), ROWS($A$1:A12)+$B$3))),"")</f>
        <v/>
      </c>
      <c r="O21" s="606" t="str">
        <f t="array" ref="O21">IFERROR(IF($E$9="ALL",INDEX(orderHistory[carton_no],ROW()-9+$B$3),INDEX(orderHistory[carton_no], SMALL(IF(ISNUMBER(MATCH(orderHistory[customer], $E$9, 0)), MATCH(ROW(orderHistory[customer]),ROW(orderHistory[customer])), ""), ROWS($A$1:A12)+$B$3))),"")</f>
        <v/>
      </c>
      <c r="P21" s="606" t="str">
        <f t="array" ref="P21">IFERROR(IF($E$9="ALL",INDEX(orderHistory[pallet_no],ROW()-9+$B$3),INDEX(orderHistory[pallet_no], SMALL(IF(ISNUMBER(MATCH(orderHistory[customer], $E$9, 0)), MATCH(ROW(orderHistory[customer]),ROW(orderHistory[customer])), ""), ROWS($A$1:A12)+$B$3))),"")</f>
        <v/>
      </c>
      <c r="Q21" s="606" t="str">
        <f t="array" ref="Q21">IFERROR(IF($E$9="ALL",INDEX(orderHistory[invoice_no],ROW()-9+$B$3),INDEX(orderHistory[invoice_no], SMALL(IF(ISNUMBER(MATCH(orderHistory[customer], $E$9, 0)), MATCH(ROW(orderHistory[customer]),ROW(orderHistory[customer])), ""), ROWS($A$1:A12)+$B$3))),"")</f>
        <v/>
      </c>
      <c r="R21" s="605" t="str">
        <f t="array" ref="R21">IFERROR(IF($E$9="ALL",INDEX(orderHistory[invoice_date],ROW()-9+$B$3),INDEX(orderHistory[invoice_date], SMALL(IF(ISNUMBER(MATCH(orderHistory[customer], $E$9, 0)), MATCH(ROW(orderHistory[customer]),ROW(orderHistory[customer])), ""), ROWS($A$1:A12)+$B$3))),"")</f>
        <v/>
      </c>
      <c r="S21" s="607" t="str">
        <f t="array" ref="S21">IFERROR(IF($E$9="ALL",INDEX(orderHistory[payed],ROW()-9+$B$3),INDEX(orderHistory[payed], SMALL(IF(ISNUMBER(MATCH(orderHistory[customer], $E$9, 0)), MATCH(ROW(orderHistory[customer]),ROW(orderHistory[customer])), ""), ROWS($A$1:A12)+$B$3))),"")</f>
        <v/>
      </c>
      <c r="T21" s="605" t="str">
        <f t="array" ref="T21">IFERROR(IF($E$9="ALL",INDEX(orderHistory[payment_date],ROW()-9+$B$3),INDEX(orderHistory[payment_date], SMALL(IF(ISNUMBER(MATCH(orderHistory[customer], $E$9, 0)), MATCH(ROW(orderHistory[customer]),ROW(orderHistory[customer])), ""), ROWS($A$1:A12)+$B$3))),"")</f>
        <v/>
      </c>
      <c r="U21" s="608" t="str">
        <f t="array" ref="U21">IFERROR(IF($E$9="ALL",INDEX(orderHistory[amount_sold],ROW()-9+$B$3),INDEX(orderHistory[amount_sold], SMALL(IF(ISNUMBER(MATCH(orderHistory[customer], $E$9, 0)), MATCH(ROW(orderHistory[customer]),ROW(orderHistory[customer])), ""), ROWS($A$1:A12)+$B$3))),"")</f>
        <v/>
      </c>
      <c r="V21" s="609" t="str">
        <f t="array" ref="V21">IFERROR(IF($E$9="ALL",INDEX(orderHistory[status],ROW()-9+$B$3),INDEX(orderHistory[status], SMALL(IF(ISNUMBER(MATCH(orderHistory[customer], $E$9, 0)), MATCH(ROW(orderHistory[customer]),ROW(orderHistory[customer])), ""), ROWS($A$1:A12)+$B$3))),"")</f>
        <v/>
      </c>
      <c r="W21" s="588"/>
      <c r="X21" s="330"/>
      <c r="AQ21" s="596" t="s">
        <v>488</v>
      </c>
      <c r="AR21" s="344"/>
      <c r="AS21" s="344"/>
      <c r="AT21" s="344"/>
      <c r="AU21" s="345"/>
      <c r="AV21" s="3"/>
      <c r="AW21" s="622"/>
      <c r="AX21" s="623"/>
      <c r="AY21" s="623"/>
      <c r="AZ21" s="623"/>
      <c r="BA21" s="623"/>
      <c r="BB21" s="623"/>
      <c r="BC21" s="623"/>
      <c r="BD21" s="623"/>
      <c r="BE21" s="623"/>
      <c r="BF21" s="623"/>
      <c r="BG21" s="623"/>
      <c r="BH21" s="623"/>
      <c r="BI21" s="623"/>
      <c r="BJ21" s="623"/>
      <c r="BK21" s="624"/>
      <c r="BL21" s="589"/>
      <c r="BO21" s="630" t="str">
        <f t="array" ref="BO21">IFERROR(IF($AO$9="ALL",INDEX(orderHistory[order_id],ROW()-9),INDEX(orderHistory[order_id], MATCH(0, IF($AO$9=orderHistory[customer],COUNTIF($BO$9:$BO20,orderHistory[order_id]), "")), 0)),"")</f>
        <v/>
      </c>
      <c r="BT21" s="322"/>
      <c r="BU21" s="3"/>
      <c r="BV21" s="3"/>
      <c r="BW21" s="3"/>
      <c r="BX21" s="3"/>
      <c r="BY21" s="323"/>
    </row>
    <row r="22" spans="5:77">
      <c r="G22" s="355" t="s">
        <v>484</v>
      </c>
      <c r="H22" s="364">
        <f>INDEX(dbClienti[INDIRIZZO LEGALE 1],MATCH($E$9,dbClienti[COD CLIENTE],0))</f>
        <v>0</v>
      </c>
      <c r="I22" s="363"/>
      <c r="J22" s="237"/>
      <c r="K22" s="345"/>
      <c r="L22" s="207"/>
      <c r="M22" s="610" t="str">
        <f t="array" ref="M22">IFERROR(IF($E$9="ALL",INDEX(orderHistory[order_id],ROW()-9+$B$3),INDEX(orderHistory[order_id], SMALL(IF(ISNUMBER(MATCH(orderHistory[customer], $E$9, 0)), MATCH(ROW(orderHistory[customer]),ROW(orderHistory[customer])), ""), ROWS($A$1:A13)+$B$3))),"")</f>
        <v/>
      </c>
      <c r="N22" s="605" t="str">
        <f t="array" ref="N22">IFERROR(IF($E$9="ALL",INDEX(orderHistory[order_date],ROW()-9+$B$3),INDEX(orderHistory[order_date], SMALL(IF(ISNUMBER(MATCH(orderHistory[customer], $E$9, 0)), MATCH(ROW(orderHistory[customer]),ROW(orderHistory[customer])), ""), ROWS($A$1:A13)+$B$3))),"")</f>
        <v/>
      </c>
      <c r="O22" s="606" t="str">
        <f t="array" ref="O22">IFERROR(IF($E$9="ALL",INDEX(orderHistory[carton_no],ROW()-9+$B$3),INDEX(orderHistory[carton_no], SMALL(IF(ISNUMBER(MATCH(orderHistory[customer], $E$9, 0)), MATCH(ROW(orderHistory[customer]),ROW(orderHistory[customer])), ""), ROWS($A$1:A13)+$B$3))),"")</f>
        <v/>
      </c>
      <c r="P22" s="606" t="str">
        <f t="array" ref="P22">IFERROR(IF($E$9="ALL",INDEX(orderHistory[pallet_no],ROW()-9+$B$3),INDEX(orderHistory[pallet_no], SMALL(IF(ISNUMBER(MATCH(orderHistory[customer], $E$9, 0)), MATCH(ROW(orderHistory[customer]),ROW(orderHistory[customer])), ""), ROWS($A$1:A13)+$B$3))),"")</f>
        <v/>
      </c>
      <c r="Q22" s="606" t="str">
        <f t="array" ref="Q22">IFERROR(IF($E$9="ALL",INDEX(orderHistory[invoice_no],ROW()-9+$B$3),INDEX(orderHistory[invoice_no], SMALL(IF(ISNUMBER(MATCH(orderHistory[customer], $E$9, 0)), MATCH(ROW(orderHistory[customer]),ROW(orderHistory[customer])), ""), ROWS($A$1:A13)+$B$3))),"")</f>
        <v/>
      </c>
      <c r="R22" s="605" t="str">
        <f t="array" ref="R22">IFERROR(IF($E$9="ALL",INDEX(orderHistory[invoice_date],ROW()-9+$B$3),INDEX(orderHistory[invoice_date], SMALL(IF(ISNUMBER(MATCH(orderHistory[customer], $E$9, 0)), MATCH(ROW(orderHistory[customer]),ROW(orderHistory[customer])), ""), ROWS($A$1:A13)+$B$3))),"")</f>
        <v/>
      </c>
      <c r="S22" s="607" t="str">
        <f t="array" ref="S22">IFERROR(IF($E$9="ALL",INDEX(orderHistory[payed],ROW()-9+$B$3),INDEX(orderHistory[payed], SMALL(IF(ISNUMBER(MATCH(orderHistory[customer], $E$9, 0)), MATCH(ROW(orderHistory[customer]),ROW(orderHistory[customer])), ""), ROWS($A$1:A13)+$B$3))),"")</f>
        <v/>
      </c>
      <c r="T22" s="605" t="str">
        <f t="array" ref="T22">IFERROR(IF($E$9="ALL",INDEX(orderHistory[payment_date],ROW()-9+$B$3),INDEX(orderHistory[payment_date], SMALL(IF(ISNUMBER(MATCH(orderHistory[customer], $E$9, 0)), MATCH(ROW(orderHistory[customer]),ROW(orderHistory[customer])), ""), ROWS($A$1:A13)+$B$3))),"")</f>
        <v/>
      </c>
      <c r="U22" s="608" t="str">
        <f t="array" ref="U22">IFERROR(IF($E$9="ALL",INDEX(orderHistory[amount_sold],ROW()-9+$B$3),INDEX(orderHistory[amount_sold], SMALL(IF(ISNUMBER(MATCH(orderHistory[customer], $E$9, 0)), MATCH(ROW(orderHistory[customer]),ROW(orderHistory[customer])), ""), ROWS($A$1:A13)+$B$3))),"")</f>
        <v/>
      </c>
      <c r="V22" s="609" t="str">
        <f t="array" ref="V22">IFERROR(IF($E$9="ALL",INDEX(orderHistory[status],ROW()-9+$B$3),INDEX(orderHistory[status], SMALL(IF(ISNUMBER(MATCH(orderHistory[customer], $E$9, 0)), MATCH(ROW(orderHistory[customer]),ROW(orderHistory[customer])), ""), ROWS($A$1:A13)+$B$3))),"")</f>
        <v/>
      </c>
      <c r="W22" s="589"/>
      <c r="X22" s="330"/>
      <c r="AQ22" s="596" t="s">
        <v>489</v>
      </c>
      <c r="AR22" s="344"/>
      <c r="AS22" s="344"/>
      <c r="AT22" s="344"/>
      <c r="AU22" s="345"/>
      <c r="AV22" s="3"/>
      <c r="AW22" s="622"/>
      <c r="AX22" s="623"/>
      <c r="AY22" s="623"/>
      <c r="AZ22" s="623"/>
      <c r="BA22" s="623"/>
      <c r="BB22" s="623"/>
      <c r="BC22" s="623"/>
      <c r="BD22" s="623"/>
      <c r="BE22" s="623"/>
      <c r="BF22" s="623"/>
      <c r="BG22" s="623"/>
      <c r="BH22" s="623"/>
      <c r="BI22" s="623"/>
      <c r="BJ22" s="623"/>
      <c r="BK22" s="624"/>
      <c r="BL22" s="589"/>
      <c r="BO22" s="630" t="str">
        <f t="array" ref="BO22">IFERROR(IF($AO$9="ALL",INDEX(orderHistory[order_id],ROW()-9),INDEX(orderHistory[order_id], MATCH(0, IF($AO$9=orderHistory[customer],COUNTIF($BO$9:$BO21,orderHistory[order_id]), "")), 0)),"")</f>
        <v/>
      </c>
      <c r="BT22" s="322"/>
      <c r="BU22" s="3"/>
      <c r="BV22" s="3"/>
      <c r="BW22" s="3"/>
      <c r="BX22" s="3"/>
      <c r="BY22" s="323"/>
    </row>
    <row r="23" spans="5:77">
      <c r="E23" s="3"/>
      <c r="G23" s="355"/>
      <c r="H23" s="365">
        <f>INDEX(dbClienti[INDIRIZZO LEGALE 2],MATCH($E$9,dbClienti[COD CLIENTE],0))</f>
        <v>0</v>
      </c>
      <c r="I23" s="359"/>
      <c r="J23" s="360"/>
      <c r="K23" s="345"/>
      <c r="L23" s="207"/>
      <c r="M23" s="610" t="str">
        <f t="array" ref="M23">IFERROR(IF($E$9="ALL",INDEX(orderHistory[order_id],ROW()-9+$B$3),INDEX(orderHistory[order_id], SMALL(IF(ISNUMBER(MATCH(orderHistory[customer], $E$9, 0)), MATCH(ROW(orderHistory[customer]),ROW(orderHistory[customer])), ""), ROWS($A$1:A14)+$B$3))),"")</f>
        <v/>
      </c>
      <c r="N23" s="605" t="str">
        <f t="array" ref="N23">IFERROR(IF($E$9="ALL",INDEX(orderHistory[order_date],ROW()-9+$B$3),INDEX(orderHistory[order_date], SMALL(IF(ISNUMBER(MATCH(orderHistory[customer], $E$9, 0)), MATCH(ROW(orderHistory[customer]),ROW(orderHistory[customer])), ""), ROWS($A$1:A14)+$B$3))),"")</f>
        <v/>
      </c>
      <c r="O23" s="606" t="str">
        <f t="array" ref="O23">IFERROR(IF($E$9="ALL",INDEX(orderHistory[carton_no],ROW()-9+$B$3),INDEX(orderHistory[carton_no], SMALL(IF(ISNUMBER(MATCH(orderHistory[customer], $E$9, 0)), MATCH(ROW(orderHistory[customer]),ROW(orderHistory[customer])), ""), ROWS($A$1:A14)+$B$3))),"")</f>
        <v/>
      </c>
      <c r="P23" s="606" t="str">
        <f t="array" ref="P23">IFERROR(IF($E$9="ALL",INDEX(orderHistory[pallet_no],ROW()-9+$B$3),INDEX(orderHistory[pallet_no], SMALL(IF(ISNUMBER(MATCH(orderHistory[customer], $E$9, 0)), MATCH(ROW(orderHistory[customer]),ROW(orderHistory[customer])), ""), ROWS($A$1:A14)+$B$3))),"")</f>
        <v/>
      </c>
      <c r="Q23" s="606" t="str">
        <f t="array" ref="Q23">IFERROR(IF($E$9="ALL",INDEX(orderHistory[invoice_no],ROW()-9+$B$3),INDEX(orderHistory[invoice_no], SMALL(IF(ISNUMBER(MATCH(orderHistory[customer], $E$9, 0)), MATCH(ROW(orderHistory[customer]),ROW(orderHistory[customer])), ""), ROWS($A$1:A14)+$B$3))),"")</f>
        <v/>
      </c>
      <c r="R23" s="605" t="str">
        <f t="array" ref="R23">IFERROR(IF($E$9="ALL",INDEX(orderHistory[invoice_date],ROW()-9+$B$3),INDEX(orderHistory[invoice_date], SMALL(IF(ISNUMBER(MATCH(orderHistory[customer], $E$9, 0)), MATCH(ROW(orderHistory[customer]),ROW(orderHistory[customer])), ""), ROWS($A$1:A14)+$B$3))),"")</f>
        <v/>
      </c>
      <c r="S23" s="607" t="str">
        <f t="array" ref="S23">IFERROR(IF($E$9="ALL",INDEX(orderHistory[payed],ROW()-9+$B$3),INDEX(orderHistory[payed], SMALL(IF(ISNUMBER(MATCH(orderHistory[customer], $E$9, 0)), MATCH(ROW(orderHistory[customer]),ROW(orderHistory[customer])), ""), ROWS($A$1:A14)+$B$3))),"")</f>
        <v/>
      </c>
      <c r="T23" s="605" t="str">
        <f t="array" ref="T23">IFERROR(IF($E$9="ALL",INDEX(orderHistory[payment_date],ROW()-9+$B$3),INDEX(orderHistory[payment_date], SMALL(IF(ISNUMBER(MATCH(orderHistory[customer], $E$9, 0)), MATCH(ROW(orderHistory[customer]),ROW(orderHistory[customer])), ""), ROWS($A$1:A14)+$B$3))),"")</f>
        <v/>
      </c>
      <c r="U23" s="608" t="str">
        <f t="array" ref="U23">IFERROR(IF($E$9="ALL",INDEX(orderHistory[amount_sold],ROW()-9+$B$3),INDEX(orderHistory[amount_sold], SMALL(IF(ISNUMBER(MATCH(orderHistory[customer], $E$9, 0)), MATCH(ROW(orderHistory[customer]),ROW(orderHistory[customer])), ""), ROWS($A$1:A14)+$B$3))),"")</f>
        <v/>
      </c>
      <c r="V23" s="609" t="str">
        <f t="array" ref="V23">IFERROR(IF($E$9="ALL",INDEX(orderHistory[status],ROW()-9+$B$3),INDEX(orderHistory[status], SMALL(IF(ISNUMBER(MATCH(orderHistory[customer], $E$9, 0)), MATCH(ROW(orderHistory[customer]),ROW(orderHistory[customer])), ""), ROWS($A$1:A14)+$B$3))),"")</f>
        <v/>
      </c>
      <c r="W23" s="589"/>
      <c r="AQ23" s="596" t="s">
        <v>490</v>
      </c>
      <c r="AR23" s="344"/>
      <c r="AS23" s="344"/>
      <c r="AT23" s="344"/>
      <c r="AU23" s="345"/>
      <c r="AV23" s="3"/>
      <c r="AW23" s="622"/>
      <c r="AX23" s="623"/>
      <c r="AY23" s="623"/>
      <c r="AZ23" s="623"/>
      <c r="BA23" s="623"/>
      <c r="BB23" s="623"/>
      <c r="BC23" s="623"/>
      <c r="BD23" s="623"/>
      <c r="BE23" s="623"/>
      <c r="BF23" s="623"/>
      <c r="BG23" s="623"/>
      <c r="BH23" s="623"/>
      <c r="BI23" s="623"/>
      <c r="BJ23" s="623"/>
      <c r="BK23" s="624"/>
      <c r="BL23" s="589"/>
      <c r="BO23" s="630" t="str">
        <f t="array" ref="BO23">IFERROR(IF($AO$9="ALL",INDEX(orderHistory[order_id],ROW()-9),INDEX(orderHistory[order_id], MATCH(0, IF($AO$9=orderHistory[customer],COUNTIF($BO$9:$BO22,orderHistory[order_id]), "")), 0)),"")</f>
        <v/>
      </c>
      <c r="BT23" s="322"/>
      <c r="BU23" s="3"/>
      <c r="BV23" s="3"/>
      <c r="BW23" s="3"/>
      <c r="BX23" s="3"/>
      <c r="BY23" s="323"/>
    </row>
    <row r="24" spans="5:77" ht="15" thickBot="1">
      <c r="E24" s="3"/>
      <c r="G24" s="355"/>
      <c r="H24" s="366">
        <f>INDEX(dbClienti[INDIRIZZO LEGALE 3],MATCH($E$9,dbClienti[COD CLIENTE],0))</f>
        <v>0</v>
      </c>
      <c r="I24" s="361"/>
      <c r="J24" s="362"/>
      <c r="K24" s="345"/>
      <c r="L24" s="207"/>
      <c r="M24" s="610" t="str">
        <f t="array" ref="M24">IFERROR(IF($E$9="ALL",INDEX(orderHistory[order_id],ROW()-9+$B$3),INDEX(orderHistory[order_id], SMALL(IF(ISNUMBER(MATCH(orderHistory[customer], $E$9, 0)), MATCH(ROW(orderHistory[customer]),ROW(orderHistory[customer])), ""), ROWS($A$1:A15)+$B$3))),"")</f>
        <v/>
      </c>
      <c r="N24" s="605" t="str">
        <f t="array" ref="N24">IFERROR(IF($E$9="ALL",INDEX(orderHistory[order_date],ROW()-9+$B$3),INDEX(orderHistory[order_date], SMALL(IF(ISNUMBER(MATCH(orderHistory[customer], $E$9, 0)), MATCH(ROW(orderHistory[customer]),ROW(orderHistory[customer])), ""), ROWS($A$1:A15)+$B$3))),"")</f>
        <v/>
      </c>
      <c r="O24" s="606" t="str">
        <f t="array" ref="O24">IFERROR(IF($E$9="ALL",INDEX(orderHistory[carton_no],ROW()-9+$B$3),INDEX(orderHistory[carton_no], SMALL(IF(ISNUMBER(MATCH(orderHistory[customer], $E$9, 0)), MATCH(ROW(orderHistory[customer]),ROW(orderHistory[customer])), ""), ROWS($A$1:A15)+$B$3))),"")</f>
        <v/>
      </c>
      <c r="P24" s="606" t="str">
        <f t="array" ref="P24">IFERROR(IF($E$9="ALL",INDEX(orderHistory[pallet_no],ROW()-9+$B$3),INDEX(orderHistory[pallet_no], SMALL(IF(ISNUMBER(MATCH(orderHistory[customer], $E$9, 0)), MATCH(ROW(orderHistory[customer]),ROW(orderHistory[customer])), ""), ROWS($A$1:A15)+$B$3))),"")</f>
        <v/>
      </c>
      <c r="Q24" s="606" t="str">
        <f t="array" ref="Q24">IFERROR(IF($E$9="ALL",INDEX(orderHistory[invoice_no],ROW()-9+$B$3),INDEX(orderHistory[invoice_no], SMALL(IF(ISNUMBER(MATCH(orderHistory[customer], $E$9, 0)), MATCH(ROW(orderHistory[customer]),ROW(orderHistory[customer])), ""), ROWS($A$1:A15)+$B$3))),"")</f>
        <v/>
      </c>
      <c r="R24" s="605" t="str">
        <f t="array" ref="R24">IFERROR(IF($E$9="ALL",INDEX(orderHistory[invoice_date],ROW()-9+$B$3),INDEX(orderHistory[invoice_date], SMALL(IF(ISNUMBER(MATCH(orderHistory[customer], $E$9, 0)), MATCH(ROW(orderHistory[customer]),ROW(orderHistory[customer])), ""), ROWS($A$1:A15)+$B$3))),"")</f>
        <v/>
      </c>
      <c r="S24" s="607" t="str">
        <f t="array" ref="S24">IFERROR(IF($E$9="ALL",INDEX(orderHistory[payed],ROW()-9+$B$3),INDEX(orderHistory[payed], SMALL(IF(ISNUMBER(MATCH(orderHistory[customer], $E$9, 0)), MATCH(ROW(orderHistory[customer]),ROW(orderHistory[customer])), ""), ROWS($A$1:A15)+$B$3))),"")</f>
        <v/>
      </c>
      <c r="T24" s="605" t="str">
        <f t="array" ref="T24">IFERROR(IF($E$9="ALL",INDEX(orderHistory[payment_date],ROW()-9+$B$3),INDEX(orderHistory[payment_date], SMALL(IF(ISNUMBER(MATCH(orderHistory[customer], $E$9, 0)), MATCH(ROW(orderHistory[customer]),ROW(orderHistory[customer])), ""), ROWS($A$1:A15)+$B$3))),"")</f>
        <v/>
      </c>
      <c r="U24" s="608" t="str">
        <f t="array" ref="U24">IFERROR(IF($E$9="ALL",INDEX(orderHistory[amount_sold],ROW()-9+$B$3),INDEX(orderHistory[amount_sold], SMALL(IF(ISNUMBER(MATCH(orderHistory[customer], $E$9, 0)), MATCH(ROW(orderHistory[customer]),ROW(orderHistory[customer])), ""), ROWS($A$1:A15)+$B$3))),"")</f>
        <v/>
      </c>
      <c r="V24" s="609" t="str">
        <f t="array" ref="V24">IFERROR(IF($E$9="ALL",INDEX(orderHistory[status],ROW()-9+$B$3),INDEX(orderHistory[status], SMALL(IF(ISNUMBER(MATCH(orderHistory[customer], $E$9, 0)), MATCH(ROW(orderHistory[customer]),ROW(orderHistory[customer])), ""), ROWS($A$1:A15)+$B$3))),"")</f>
        <v/>
      </c>
      <c r="W24" s="589"/>
      <c r="AQ24" s="596" t="s">
        <v>491</v>
      </c>
      <c r="AR24" s="344"/>
      <c r="AS24" s="344"/>
      <c r="AT24" s="597"/>
      <c r="AU24" s="598"/>
      <c r="AV24" s="327"/>
      <c r="AW24" s="625"/>
      <c r="AX24" s="623"/>
      <c r="AY24" s="623"/>
      <c r="AZ24" s="623"/>
      <c r="BA24" s="623"/>
      <c r="BB24" s="623"/>
      <c r="BC24" s="623"/>
      <c r="BD24" s="623"/>
      <c r="BE24" s="623"/>
      <c r="BF24" s="623"/>
      <c r="BG24" s="623"/>
      <c r="BH24" s="623"/>
      <c r="BI24" s="623"/>
      <c r="BJ24" s="623"/>
      <c r="BK24" s="624"/>
      <c r="BL24" s="589"/>
      <c r="BO24" s="630" t="str">
        <f t="array" ref="BO24">IFERROR(IF($AO$9="ALL",INDEX(orderHistory[order_id],ROW()-9),INDEX(orderHistory[order_id], MATCH(0, IF($AO$9=orderHistory[customer],COUNTIF($BO$9:$BO23,orderHistory[order_id]), "")), 0)),"")</f>
        <v/>
      </c>
      <c r="BT24" s="324"/>
      <c r="BU24" s="325"/>
      <c r="BV24" s="325"/>
      <c r="BW24" s="325"/>
      <c r="BX24" s="325"/>
      <c r="BY24" s="326"/>
    </row>
    <row r="25" spans="5:77">
      <c r="E25" s="3"/>
      <c r="G25" s="355"/>
      <c r="H25" s="344"/>
      <c r="I25" s="344"/>
      <c r="J25" s="344"/>
      <c r="K25" s="345"/>
      <c r="L25" s="207"/>
      <c r="M25" s="610" t="str">
        <f t="array" ref="M25">IFERROR(IF($E$9="ALL",INDEX(orderHistory[order_id],ROW()-9+$B$3),INDEX(orderHistory[order_id], SMALL(IF(ISNUMBER(MATCH(orderHistory[customer], $E$9, 0)), MATCH(ROW(orderHistory[customer]),ROW(orderHistory[customer])), ""), ROWS($A$1:A16)+$B$3))),"")</f>
        <v/>
      </c>
      <c r="N25" s="605" t="str">
        <f t="array" ref="N25">IFERROR(IF($E$9="ALL",INDEX(orderHistory[order_date],ROW()-9+$B$3),INDEX(orderHistory[order_date], SMALL(IF(ISNUMBER(MATCH(orderHistory[customer], $E$9, 0)), MATCH(ROW(orderHistory[customer]),ROW(orderHistory[customer])), ""), ROWS($A$1:A16)+$B$3))),"")</f>
        <v/>
      </c>
      <c r="O25" s="606" t="str">
        <f t="array" ref="O25">IFERROR(IF($E$9="ALL",INDEX(orderHistory[carton_no],ROW()-9+$B$3),INDEX(orderHistory[carton_no], SMALL(IF(ISNUMBER(MATCH(orderHistory[customer], $E$9, 0)), MATCH(ROW(orderHistory[customer]),ROW(orderHistory[customer])), ""), ROWS($A$1:A16)+$B$3))),"")</f>
        <v/>
      </c>
      <c r="P25" s="606" t="str">
        <f t="array" ref="P25">IFERROR(IF($E$9="ALL",INDEX(orderHistory[pallet_no],ROW()-9+$B$3),INDEX(orderHistory[pallet_no], SMALL(IF(ISNUMBER(MATCH(orderHistory[customer], $E$9, 0)), MATCH(ROW(orderHistory[customer]),ROW(orderHistory[customer])), ""), ROWS($A$1:A16)+$B$3))),"")</f>
        <v/>
      </c>
      <c r="Q25" s="606" t="str">
        <f t="array" ref="Q25">IFERROR(IF($E$9="ALL",INDEX(orderHistory[invoice_no],ROW()-9+$B$3),INDEX(orderHistory[invoice_no], SMALL(IF(ISNUMBER(MATCH(orderHistory[customer], $E$9, 0)), MATCH(ROW(orderHistory[customer]),ROW(orderHistory[customer])), ""), ROWS($A$1:A16)+$B$3))),"")</f>
        <v/>
      </c>
      <c r="R25" s="605" t="str">
        <f t="array" ref="R25">IFERROR(IF($E$9="ALL",INDEX(orderHistory[invoice_date],ROW()-9+$B$3),INDEX(orderHistory[invoice_date], SMALL(IF(ISNUMBER(MATCH(orderHistory[customer], $E$9, 0)), MATCH(ROW(orderHistory[customer]),ROW(orderHistory[customer])), ""), ROWS($A$1:A16)+$B$3))),"")</f>
        <v/>
      </c>
      <c r="S25" s="607" t="str">
        <f t="array" ref="S25">IFERROR(IF($E$9="ALL",INDEX(orderHistory[payed],ROW()-9+$B$3),INDEX(orderHistory[payed], SMALL(IF(ISNUMBER(MATCH(orderHistory[customer], $E$9, 0)), MATCH(ROW(orderHistory[customer]),ROW(orderHistory[customer])), ""), ROWS($A$1:A16)+$B$3))),"")</f>
        <v/>
      </c>
      <c r="T25" s="605" t="str">
        <f t="array" ref="T25">IFERROR(IF($E$9="ALL",INDEX(orderHistory[payment_date],ROW()-9+$B$3),INDEX(orderHistory[payment_date], SMALL(IF(ISNUMBER(MATCH(orderHistory[customer], $E$9, 0)), MATCH(ROW(orderHistory[customer]),ROW(orderHistory[customer])), ""), ROWS($A$1:A16)+$B$3))),"")</f>
        <v/>
      </c>
      <c r="U25" s="608" t="str">
        <f t="array" ref="U25">IFERROR(IF($E$9="ALL",INDEX(orderHistory[amount_sold],ROW()-9+$B$3),INDEX(orderHistory[amount_sold], SMALL(IF(ISNUMBER(MATCH(orderHistory[customer], $E$9, 0)), MATCH(ROW(orderHistory[customer]),ROW(orderHistory[customer])), ""), ROWS($A$1:A16)+$B$3))),"")</f>
        <v/>
      </c>
      <c r="V25" s="609" t="str">
        <f t="array" ref="V25">IFERROR(IF($E$9="ALL",INDEX(orderHistory[status],ROW()-9+$B$3),INDEX(orderHistory[status], SMALL(IF(ISNUMBER(MATCH(orderHistory[customer], $E$9, 0)), MATCH(ROW(orderHistory[customer]),ROW(orderHistory[customer])), ""), ROWS($A$1:A16)+$B$3))),"")</f>
        <v/>
      </c>
      <c r="W25" s="589"/>
      <c r="AQ25" s="596" t="s">
        <v>492</v>
      </c>
      <c r="AR25" s="344"/>
      <c r="AS25" s="344"/>
      <c r="AT25" s="597"/>
      <c r="AU25" s="598"/>
      <c r="AV25" s="327"/>
      <c r="AW25" s="625"/>
      <c r="AX25" s="623"/>
      <c r="AY25" s="623"/>
      <c r="AZ25" s="623"/>
      <c r="BA25" s="623"/>
      <c r="BB25" s="623"/>
      <c r="BC25" s="623"/>
      <c r="BD25" s="623"/>
      <c r="BE25" s="623"/>
      <c r="BF25" s="623"/>
      <c r="BG25" s="623"/>
      <c r="BH25" s="623"/>
      <c r="BI25" s="623"/>
      <c r="BJ25" s="623"/>
      <c r="BK25" s="624"/>
      <c r="BL25" s="589"/>
      <c r="BO25" s="630" t="str">
        <f t="array" ref="BO25">IFERROR(IF($AO$9="ALL",INDEX(orderHistory[order_id],ROW()-9),INDEX(orderHistory[order_id], MATCH(0, IF($AO$9=orderHistory[customer],COUNTIF($BO$9:$BO24,orderHistory[order_id]), "")), 0)),"")</f>
        <v/>
      </c>
      <c r="BT25" s="207"/>
      <c r="BU25" s="207"/>
      <c r="BV25" s="207"/>
      <c r="BW25" s="207"/>
      <c r="BX25" s="207"/>
      <c r="BY25" s="207"/>
    </row>
    <row r="26" spans="5:77">
      <c r="E26" s="3"/>
      <c r="G26" s="355" t="s">
        <v>512</v>
      </c>
      <c r="H26" s="364" t="str">
        <f>INDEX(dbClienti[INDIRIZZO LOGISTICA 1],MATCH($E$9,dbClienti[COD CLIENTE],0))</f>
        <v>33, PAUL &amp; WATERS</v>
      </c>
      <c r="I26" s="352"/>
      <c r="J26" s="353"/>
      <c r="K26" s="345"/>
      <c r="L26" s="207"/>
      <c r="M26" s="610" t="str">
        <f t="array" ref="M26">IFERROR(IF($E$9="ALL",INDEX(orderHistory[order_id],ROW()-9+$B$3),INDEX(orderHistory[order_id], SMALL(IF(ISNUMBER(MATCH(orderHistory[customer], $E$9, 0)), MATCH(ROW(orderHistory[customer]),ROW(orderHistory[customer])), ""), ROWS($A$1:A17)+$B$3))),"")</f>
        <v/>
      </c>
      <c r="N26" s="605" t="str">
        <f t="array" ref="N26">IFERROR(IF($E$9="ALL",INDEX(orderHistory[order_date],ROW()-9+$B$3),INDEX(orderHistory[order_date], SMALL(IF(ISNUMBER(MATCH(orderHistory[customer], $E$9, 0)), MATCH(ROW(orderHistory[customer]),ROW(orderHistory[customer])), ""), ROWS($A$1:A17)+$B$3))),"")</f>
        <v/>
      </c>
      <c r="O26" s="606" t="str">
        <f t="array" ref="O26">IFERROR(IF($E$9="ALL",INDEX(orderHistory[carton_no],ROW()-9+$B$3),INDEX(orderHistory[carton_no], SMALL(IF(ISNUMBER(MATCH(orderHistory[customer], $E$9, 0)), MATCH(ROW(orderHistory[customer]),ROW(orderHistory[customer])), ""), ROWS($A$1:A17)+$B$3))),"")</f>
        <v/>
      </c>
      <c r="P26" s="606" t="str">
        <f t="array" ref="P26">IFERROR(IF($E$9="ALL",INDEX(orderHistory[pallet_no],ROW()-9+$B$3),INDEX(orderHistory[pallet_no], SMALL(IF(ISNUMBER(MATCH(orderHistory[customer], $E$9, 0)), MATCH(ROW(orderHistory[customer]),ROW(orderHistory[customer])), ""), ROWS($A$1:A17)+$B$3))),"")</f>
        <v/>
      </c>
      <c r="Q26" s="606" t="str">
        <f t="array" ref="Q26">IFERROR(IF($E$9="ALL",INDEX(orderHistory[invoice_no],ROW()-9+$B$3),INDEX(orderHistory[invoice_no], SMALL(IF(ISNUMBER(MATCH(orderHistory[customer], $E$9, 0)), MATCH(ROW(orderHistory[customer]),ROW(orderHistory[customer])), ""), ROWS($A$1:A17)+$B$3))),"")</f>
        <v/>
      </c>
      <c r="R26" s="605" t="str">
        <f t="array" ref="R26">IFERROR(IF($E$9="ALL",INDEX(orderHistory[invoice_date],ROW()-9+$B$3),INDEX(orderHistory[invoice_date], SMALL(IF(ISNUMBER(MATCH(orderHistory[customer], $E$9, 0)), MATCH(ROW(orderHistory[customer]),ROW(orderHistory[customer])), ""), ROWS($A$1:A17)+$B$3))),"")</f>
        <v/>
      </c>
      <c r="S26" s="607" t="str">
        <f t="array" ref="S26">IFERROR(IF($E$9="ALL",INDEX(orderHistory[payed],ROW()-9+$B$3),INDEX(orderHistory[payed], SMALL(IF(ISNUMBER(MATCH(orderHistory[customer], $E$9, 0)), MATCH(ROW(orderHistory[customer]),ROW(orderHistory[customer])), ""), ROWS($A$1:A17)+$B$3))),"")</f>
        <v/>
      </c>
      <c r="T26" s="605" t="str">
        <f t="array" ref="T26">IFERROR(IF($E$9="ALL",INDEX(orderHistory[payment_date],ROW()-9+$B$3),INDEX(orderHistory[payment_date], SMALL(IF(ISNUMBER(MATCH(orderHistory[customer], $E$9, 0)), MATCH(ROW(orderHistory[customer]),ROW(orderHistory[customer])), ""), ROWS($A$1:A17)+$B$3))),"")</f>
        <v/>
      </c>
      <c r="U26" s="608" t="str">
        <f t="array" ref="U26">IFERROR(IF($E$9="ALL",INDEX(orderHistory[amount_sold],ROW()-9+$B$3),INDEX(orderHistory[amount_sold], SMALL(IF(ISNUMBER(MATCH(orderHistory[customer], $E$9, 0)), MATCH(ROW(orderHistory[customer]),ROW(orderHistory[customer])), ""), ROWS($A$1:A17)+$B$3))),"")</f>
        <v/>
      </c>
      <c r="V26" s="609" t="str">
        <f t="array" ref="V26">IFERROR(IF($E$9="ALL",INDEX(orderHistory[status],ROW()-9+$B$3),INDEX(orderHistory[status], SMALL(IF(ISNUMBER(MATCH(orderHistory[customer], $E$9, 0)), MATCH(ROW(orderHistory[customer]),ROW(orderHistory[customer])), ""), ROWS($A$1:A17)+$B$3))),"")</f>
        <v/>
      </c>
      <c r="W26" s="589"/>
      <c r="AQ26" s="596" t="s">
        <v>493</v>
      </c>
      <c r="AR26" s="344"/>
      <c r="AS26" s="344"/>
      <c r="AT26" s="597"/>
      <c r="AU26" s="598"/>
      <c r="AV26" s="327"/>
      <c r="AW26" s="625"/>
      <c r="AX26" s="623"/>
      <c r="AY26" s="623"/>
      <c r="AZ26" s="623"/>
      <c r="BA26" s="623"/>
      <c r="BB26" s="623"/>
      <c r="BC26" s="623"/>
      <c r="BD26" s="623"/>
      <c r="BE26" s="623"/>
      <c r="BF26" s="623"/>
      <c r="BG26" s="623"/>
      <c r="BH26" s="623"/>
      <c r="BI26" s="623"/>
      <c r="BJ26" s="623"/>
      <c r="BK26" s="624"/>
      <c r="BL26" s="589"/>
      <c r="BO26" s="630" t="str">
        <f t="array" ref="BO26">IFERROR(IF($AO$9="ALL",INDEX(orderHistory[order_id],ROW()-9),INDEX(orderHistory[order_id], MATCH(0, IF($AO$9=orderHistory[customer],COUNTIF($BO$9:$BO25,orderHistory[order_id]), "")), 0)),"")</f>
        <v/>
      </c>
      <c r="BT26" s="207"/>
      <c r="BU26" s="207"/>
      <c r="BV26" s="207"/>
      <c r="BW26" s="207"/>
      <c r="BX26" s="207"/>
      <c r="BY26" s="207"/>
    </row>
    <row r="27" spans="5:77">
      <c r="E27" s="3"/>
      <c r="G27" s="356"/>
      <c r="H27" s="365" t="str">
        <f>INDEX(dbClienti[INDIRIZZO LOGISTICA 2],MATCH($E$9,dbClienti[COD CLIENTE],0))</f>
        <v>TRIQ IL-KARMELITANI</v>
      </c>
      <c r="I27" s="349"/>
      <c r="J27" s="354"/>
      <c r="K27" s="345"/>
      <c r="L27" s="207"/>
      <c r="M27" s="610" t="str">
        <f t="array" ref="M27">IFERROR(IF($E$9="ALL",INDEX(orderHistory[order_id],ROW()-9+$B$3),INDEX(orderHistory[order_id], SMALL(IF(ISNUMBER(MATCH(orderHistory[customer], $E$9, 0)), MATCH(ROW(orderHistory[customer]),ROW(orderHistory[customer])), ""), ROWS($A$1:A18)+$B$3))),"")</f>
        <v/>
      </c>
      <c r="N27" s="605" t="str">
        <f t="array" ref="N27">IFERROR(IF($E$9="ALL",INDEX(orderHistory[order_date],ROW()-9+$B$3),INDEX(orderHistory[order_date], SMALL(IF(ISNUMBER(MATCH(orderHistory[customer], $E$9, 0)), MATCH(ROW(orderHistory[customer]),ROW(orderHistory[customer])), ""), ROWS($A$1:A18)+$B$3))),"")</f>
        <v/>
      </c>
      <c r="O27" s="606" t="str">
        <f t="array" ref="O27">IFERROR(IF($E$9="ALL",INDEX(orderHistory[carton_no],ROW()-9+$B$3),INDEX(orderHistory[carton_no], SMALL(IF(ISNUMBER(MATCH(orderHistory[customer], $E$9, 0)), MATCH(ROW(orderHistory[customer]),ROW(orderHistory[customer])), ""), ROWS($A$1:A18)+$B$3))),"")</f>
        <v/>
      </c>
      <c r="P27" s="606" t="str">
        <f t="array" ref="P27">IFERROR(IF($E$9="ALL",INDEX(orderHistory[pallet_no],ROW()-9+$B$3),INDEX(orderHistory[pallet_no], SMALL(IF(ISNUMBER(MATCH(orderHistory[customer], $E$9, 0)), MATCH(ROW(orderHistory[customer]),ROW(orderHistory[customer])), ""), ROWS($A$1:A18)+$B$3))),"")</f>
        <v/>
      </c>
      <c r="Q27" s="606" t="str">
        <f t="array" ref="Q27">IFERROR(IF($E$9="ALL",INDEX(orderHistory[invoice_no],ROW()-9+$B$3),INDEX(orderHistory[invoice_no], SMALL(IF(ISNUMBER(MATCH(orderHistory[customer], $E$9, 0)), MATCH(ROW(orderHistory[customer]),ROW(orderHistory[customer])), ""), ROWS($A$1:A18)+$B$3))),"")</f>
        <v/>
      </c>
      <c r="R27" s="605" t="str">
        <f t="array" ref="R27">IFERROR(IF($E$9="ALL",INDEX(orderHistory[invoice_date],ROW()-9+$B$3),INDEX(orderHistory[invoice_date], SMALL(IF(ISNUMBER(MATCH(orderHistory[customer], $E$9, 0)), MATCH(ROW(orderHistory[customer]),ROW(orderHistory[customer])), ""), ROWS($A$1:A18)+$B$3))),"")</f>
        <v/>
      </c>
      <c r="S27" s="607" t="str">
        <f t="array" ref="S27">IFERROR(IF($E$9="ALL",INDEX(orderHistory[payed],ROW()-9+$B$3),INDEX(orderHistory[payed], SMALL(IF(ISNUMBER(MATCH(orderHistory[customer], $E$9, 0)), MATCH(ROW(orderHistory[customer]),ROW(orderHistory[customer])), ""), ROWS($A$1:A18)+$B$3))),"")</f>
        <v/>
      </c>
      <c r="T27" s="605" t="str">
        <f t="array" ref="T27">IFERROR(IF($E$9="ALL",INDEX(orderHistory[payment_date],ROW()-9+$B$3),INDEX(orderHistory[payment_date], SMALL(IF(ISNUMBER(MATCH(orderHistory[customer], $E$9, 0)), MATCH(ROW(orderHistory[customer]),ROW(orderHistory[customer])), ""), ROWS($A$1:A18)+$B$3))),"")</f>
        <v/>
      </c>
      <c r="U27" s="608" t="str">
        <f t="array" ref="U27">IFERROR(IF($E$9="ALL",INDEX(orderHistory[amount_sold],ROW()-9+$B$3),INDEX(orderHistory[amount_sold], SMALL(IF(ISNUMBER(MATCH(orderHistory[customer], $E$9, 0)), MATCH(ROW(orderHistory[customer]),ROW(orderHistory[customer])), ""), ROWS($A$1:A18)+$B$3))),"")</f>
        <v/>
      </c>
      <c r="V27" s="609" t="str">
        <f t="array" ref="V27">IFERROR(IF($E$9="ALL",INDEX(orderHistory[status],ROW()-9+$B$3),INDEX(orderHistory[status], SMALL(IF(ISNUMBER(MATCH(orderHistory[customer], $E$9, 0)), MATCH(ROW(orderHistory[customer]),ROW(orderHistory[customer])), ""), ROWS($A$1:A18)+$B$3))),"")</f>
        <v/>
      </c>
      <c r="W27" s="589"/>
      <c r="AQ27" s="592"/>
      <c r="AR27" s="344"/>
      <c r="AS27" s="344"/>
      <c r="AT27" s="597"/>
      <c r="AU27" s="598"/>
      <c r="AV27" s="327"/>
      <c r="AW27" s="625"/>
      <c r="AX27" s="623"/>
      <c r="AY27" s="623"/>
      <c r="AZ27" s="623"/>
      <c r="BA27" s="623"/>
      <c r="BB27" s="623"/>
      <c r="BC27" s="623"/>
      <c r="BD27" s="623"/>
      <c r="BE27" s="623"/>
      <c r="BF27" s="623"/>
      <c r="BG27" s="623"/>
      <c r="BH27" s="623"/>
      <c r="BI27" s="623"/>
      <c r="BJ27" s="623"/>
      <c r="BK27" s="624"/>
      <c r="BL27" s="589"/>
      <c r="BO27" s="630" t="str">
        <f t="array" ref="BO27">IFERROR(IF($AO$9="ALL",INDEX(orderHistory[order_id],ROW()-9),INDEX(orderHistory[order_id], MATCH(0, IF($AO$9=orderHistory[customer],COUNTIF($BO$9:$BO26,orderHistory[order_id]), "")), 0)),"")</f>
        <v/>
      </c>
      <c r="BT27" s="207"/>
      <c r="BU27" s="207"/>
      <c r="BV27" s="207"/>
      <c r="BW27" s="207"/>
      <c r="BX27" s="207"/>
      <c r="BY27" s="207"/>
    </row>
    <row r="28" spans="5:77">
      <c r="E28" s="3"/>
      <c r="G28" s="356"/>
      <c r="H28" s="366" t="str">
        <f>INDEX(dbClienti[INDIRIZZO LOGISTICA 3],MATCH($E$9,dbClienti[COD CLIENTE],0))</f>
        <v>FGURA, MALTA</v>
      </c>
      <c r="I28" s="350"/>
      <c r="J28" s="351"/>
      <c r="K28" s="345"/>
      <c r="L28" s="207"/>
      <c r="M28" s="610" t="str">
        <f t="array" ref="M28">IFERROR(IF($E$9="ALL",INDEX(orderHistory[order_id],ROW()-9+$B$3),INDEX(orderHistory[order_id], SMALL(IF(ISNUMBER(MATCH(orderHistory[customer], $E$9, 0)), MATCH(ROW(orderHistory[customer]),ROW(orderHistory[customer])), ""), ROWS($A$1:A19)+$B$3))),"")</f>
        <v/>
      </c>
      <c r="N28" s="605" t="str">
        <f t="array" ref="N28">IFERROR(IF($E$9="ALL",INDEX(orderHistory[order_date],ROW()-9+$B$3),INDEX(orderHistory[order_date], SMALL(IF(ISNUMBER(MATCH(orderHistory[customer], $E$9, 0)), MATCH(ROW(orderHistory[customer]),ROW(orderHistory[customer])), ""), ROWS($A$1:A19)+$B$3))),"")</f>
        <v/>
      </c>
      <c r="O28" s="606" t="str">
        <f t="array" ref="O28">IFERROR(IF($E$9="ALL",INDEX(orderHistory[carton_no],ROW()-9+$B$3),INDEX(orderHistory[carton_no], SMALL(IF(ISNUMBER(MATCH(orderHistory[customer], $E$9, 0)), MATCH(ROW(orderHistory[customer]),ROW(orderHistory[customer])), ""), ROWS($A$1:A19)+$B$3))),"")</f>
        <v/>
      </c>
      <c r="P28" s="606" t="str">
        <f t="array" ref="P28">IFERROR(IF($E$9="ALL",INDEX(orderHistory[pallet_no],ROW()-9+$B$3),INDEX(orderHistory[pallet_no], SMALL(IF(ISNUMBER(MATCH(orderHistory[customer], $E$9, 0)), MATCH(ROW(orderHistory[customer]),ROW(orderHistory[customer])), ""), ROWS($A$1:A19)+$B$3))),"")</f>
        <v/>
      </c>
      <c r="Q28" s="606" t="str">
        <f t="array" ref="Q28">IFERROR(IF($E$9="ALL",INDEX(orderHistory[invoice_no],ROW()-9+$B$3),INDEX(orderHistory[invoice_no], SMALL(IF(ISNUMBER(MATCH(orderHistory[customer], $E$9, 0)), MATCH(ROW(orderHistory[customer]),ROW(orderHistory[customer])), ""), ROWS($A$1:A19)+$B$3))),"")</f>
        <v/>
      </c>
      <c r="R28" s="605" t="str">
        <f t="array" ref="R28">IFERROR(IF($E$9="ALL",INDEX(orderHistory[invoice_date],ROW()-9+$B$3),INDEX(orderHistory[invoice_date], SMALL(IF(ISNUMBER(MATCH(orderHistory[customer], $E$9, 0)), MATCH(ROW(orderHistory[customer]),ROW(orderHistory[customer])), ""), ROWS($A$1:A19)+$B$3))),"")</f>
        <v/>
      </c>
      <c r="S28" s="607" t="str">
        <f t="array" ref="S28">IFERROR(IF($E$9="ALL",INDEX(orderHistory[payed],ROW()-9+$B$3),INDEX(orderHistory[payed], SMALL(IF(ISNUMBER(MATCH(orderHistory[customer], $E$9, 0)), MATCH(ROW(orderHistory[customer]),ROW(orderHistory[customer])), ""), ROWS($A$1:A19)+$B$3))),"")</f>
        <v/>
      </c>
      <c r="T28" s="605" t="str">
        <f t="array" ref="T28">IFERROR(IF($E$9="ALL",INDEX(orderHistory[payment_date],ROW()-9+$B$3),INDEX(orderHistory[payment_date], SMALL(IF(ISNUMBER(MATCH(orderHistory[customer], $E$9, 0)), MATCH(ROW(orderHistory[customer]),ROW(orderHistory[customer])), ""), ROWS($A$1:A19)+$B$3))),"")</f>
        <v/>
      </c>
      <c r="U28" s="608" t="str">
        <f t="array" ref="U28">IFERROR(IF($E$9="ALL",INDEX(orderHistory[amount_sold],ROW()-9+$B$3),INDEX(orderHistory[amount_sold], SMALL(IF(ISNUMBER(MATCH(orderHistory[customer], $E$9, 0)), MATCH(ROW(orderHistory[customer]),ROW(orderHistory[customer])), ""), ROWS($A$1:A19)+$B$3))),"")</f>
        <v/>
      </c>
      <c r="V28" s="609" t="str">
        <f t="array" ref="V28">IFERROR(IF($E$9="ALL",INDEX(orderHistory[status],ROW()-9+$B$3),INDEX(orderHistory[status], SMALL(IF(ISNUMBER(MATCH(orderHistory[customer], $E$9, 0)), MATCH(ROW(orderHistory[customer]),ROW(orderHistory[customer])), ""), ROWS($A$1:A19)+$B$3))),"")</f>
        <v/>
      </c>
      <c r="W28" s="589"/>
      <c r="AQ28" s="595" t="s">
        <v>399</v>
      </c>
      <c r="AR28" s="344"/>
      <c r="AS28" s="344"/>
      <c r="AT28" s="344"/>
      <c r="AU28" s="345"/>
      <c r="AV28" s="3"/>
      <c r="AW28" s="622"/>
      <c r="AX28" s="623"/>
      <c r="AY28" s="623"/>
      <c r="AZ28" s="623"/>
      <c r="BA28" s="623"/>
      <c r="BB28" s="623"/>
      <c r="BC28" s="623"/>
      <c r="BD28" s="623"/>
      <c r="BE28" s="623"/>
      <c r="BF28" s="623"/>
      <c r="BG28" s="623"/>
      <c r="BH28" s="623"/>
      <c r="BI28" s="623"/>
      <c r="BJ28" s="623"/>
      <c r="BK28" s="624"/>
      <c r="BL28" s="589"/>
      <c r="BO28" s="630" t="str">
        <f t="array" ref="BO28">IFERROR(IF($AO$9="ALL",INDEX(orderHistory[order_id],ROW()-9),INDEX(orderHistory[order_id], MATCH(0, IF($AO$9=orderHistory[customer],COUNTIF($BO$9:$BO27,orderHistory[order_id]), "")), 0)),"")</f>
        <v/>
      </c>
      <c r="BT28" s="207"/>
      <c r="BU28" s="207"/>
      <c r="BV28" s="207"/>
      <c r="BW28" s="207"/>
      <c r="BX28" s="207"/>
      <c r="BY28" s="207"/>
    </row>
    <row r="29" spans="5:77" ht="15" thickBot="1">
      <c r="E29" s="3"/>
      <c r="G29" s="346"/>
      <c r="H29" s="347"/>
      <c r="I29" s="347"/>
      <c r="J29" s="347"/>
      <c r="K29" s="348"/>
      <c r="L29" s="207"/>
      <c r="M29" s="610" t="str">
        <f t="array" ref="M29">IFERROR(IF($E$9="ALL",INDEX(orderHistory[order_id],ROW()-9+$B$3),INDEX(orderHistory[order_id], SMALL(IF(ISNUMBER(MATCH(orderHistory[customer], $E$9, 0)), MATCH(ROW(orderHistory[customer]),ROW(orderHistory[customer])), ""), ROWS($A$1:A20)+$B$3))),"")</f>
        <v/>
      </c>
      <c r="N29" s="605" t="str">
        <f t="array" ref="N29">IFERROR(IF($E$9="ALL",INDEX(orderHistory[order_date],ROW()-9+$B$3),INDEX(orderHistory[order_date], SMALL(IF(ISNUMBER(MATCH(orderHistory[customer], $E$9, 0)), MATCH(ROW(orderHistory[customer]),ROW(orderHistory[customer])), ""), ROWS($A$1:A20)+$B$3))),"")</f>
        <v/>
      </c>
      <c r="O29" s="606" t="str">
        <f t="array" ref="O29">IFERROR(IF($E$9="ALL",INDEX(orderHistory[carton_no],ROW()-9+$B$3),INDEX(orderHistory[carton_no], SMALL(IF(ISNUMBER(MATCH(orderHistory[customer], $E$9, 0)), MATCH(ROW(orderHistory[customer]),ROW(orderHistory[customer])), ""), ROWS($A$1:A20)+$B$3))),"")</f>
        <v/>
      </c>
      <c r="P29" s="606" t="str">
        <f t="array" ref="P29">IFERROR(IF($E$9="ALL",INDEX(orderHistory[pallet_no],ROW()-9+$B$3),INDEX(orderHistory[pallet_no], SMALL(IF(ISNUMBER(MATCH(orderHistory[customer], $E$9, 0)), MATCH(ROW(orderHistory[customer]),ROW(orderHistory[customer])), ""), ROWS($A$1:A20)+$B$3))),"")</f>
        <v/>
      </c>
      <c r="Q29" s="606" t="str">
        <f t="array" ref="Q29">IFERROR(IF($E$9="ALL",INDEX(orderHistory[invoice_no],ROW()-9+$B$3),INDEX(orderHistory[invoice_no], SMALL(IF(ISNUMBER(MATCH(orderHistory[customer], $E$9, 0)), MATCH(ROW(orderHistory[customer]),ROW(orderHistory[customer])), ""), ROWS($A$1:A20)+$B$3))),"")</f>
        <v/>
      </c>
      <c r="R29" s="605" t="str">
        <f t="array" ref="R29">IFERROR(IF($E$9="ALL",INDEX(orderHistory[invoice_date],ROW()-9+$B$3),INDEX(orderHistory[invoice_date], SMALL(IF(ISNUMBER(MATCH(orderHistory[customer], $E$9, 0)), MATCH(ROW(orderHistory[customer]),ROW(orderHistory[customer])), ""), ROWS($A$1:A20)+$B$3))),"")</f>
        <v/>
      </c>
      <c r="S29" s="607" t="str">
        <f t="array" ref="S29">IFERROR(IF($E$9="ALL",INDEX(orderHistory[payed],ROW()-9+$B$3),INDEX(orderHistory[payed], SMALL(IF(ISNUMBER(MATCH(orderHistory[customer], $E$9, 0)), MATCH(ROW(orderHistory[customer]),ROW(orderHistory[customer])), ""), ROWS($A$1:A20)+$B$3))),"")</f>
        <v/>
      </c>
      <c r="T29" s="605" t="str">
        <f t="array" ref="T29">IFERROR(IF($E$9="ALL",INDEX(orderHistory[payment_date],ROW()-9+$B$3),INDEX(orderHistory[payment_date], SMALL(IF(ISNUMBER(MATCH(orderHistory[customer], $E$9, 0)), MATCH(ROW(orderHistory[customer]),ROW(orderHistory[customer])), ""), ROWS($A$1:A20)+$B$3))),"")</f>
        <v/>
      </c>
      <c r="U29" s="608" t="str">
        <f t="array" ref="U29">IFERROR(IF($E$9="ALL",INDEX(orderHistory[amount_sold],ROW()-9+$B$3),INDEX(orderHistory[amount_sold], SMALL(IF(ISNUMBER(MATCH(orderHistory[customer], $E$9, 0)), MATCH(ROW(orderHistory[customer]),ROW(orderHistory[customer])), ""), ROWS($A$1:A20)+$B$3))),"")</f>
        <v/>
      </c>
      <c r="V29" s="609" t="str">
        <f t="array" ref="V29">IFERROR(IF($E$9="ALL",INDEX(orderHistory[status],ROW()-9+$B$3),INDEX(orderHistory[status], SMALL(IF(ISNUMBER(MATCH(orderHistory[customer], $E$9, 0)), MATCH(ROW(orderHistory[customer]),ROW(orderHistory[customer])), ""), ROWS($A$1:A20)+$B$3))),"")</f>
        <v/>
      </c>
      <c r="W29" s="589"/>
      <c r="AQ29" s="596" t="s">
        <v>446</v>
      </c>
      <c r="AR29" s="344"/>
      <c r="AS29" s="344"/>
      <c r="AT29" s="344"/>
      <c r="AU29" s="345"/>
      <c r="AV29" s="3"/>
      <c r="AW29" s="622"/>
      <c r="AX29" s="623"/>
      <c r="AY29" s="623"/>
      <c r="AZ29" s="623"/>
      <c r="BA29" s="623"/>
      <c r="BB29" s="623"/>
      <c r="BC29" s="623"/>
      <c r="BD29" s="623"/>
      <c r="BE29" s="623"/>
      <c r="BF29" s="623"/>
      <c r="BG29" s="623"/>
      <c r="BH29" s="623"/>
      <c r="BI29" s="623"/>
      <c r="BJ29" s="623"/>
      <c r="BK29" s="624"/>
      <c r="BL29" s="589"/>
      <c r="BO29" s="630" t="str">
        <f t="array" ref="BO29">IFERROR(IF($AO$9="ALL",INDEX(orderHistory[order_id],ROW()-9),INDEX(orderHistory[order_id], MATCH(0, IF($AO$9=orderHistory[customer],COUNTIF($BO$9:$BO28,orderHistory[order_id]), "")), 0)),"")</f>
        <v/>
      </c>
      <c r="BT29" s="207"/>
      <c r="BU29" s="207"/>
      <c r="BV29" s="207"/>
      <c r="BW29" s="207"/>
      <c r="BX29" s="207"/>
      <c r="BY29" s="207"/>
    </row>
    <row r="30" spans="5:77" ht="15" thickBot="1">
      <c r="E30" s="3"/>
      <c r="G30" s="379" t="s">
        <v>543</v>
      </c>
      <c r="H30" s="3"/>
      <c r="I30" s="3"/>
      <c r="J30" s="3"/>
      <c r="K30" s="3"/>
      <c r="L30" s="207"/>
      <c r="M30" s="610" t="str">
        <f t="array" ref="M30">IFERROR(IF($E$9="ALL",INDEX(orderHistory[order_id],ROW()-9+$B$3),INDEX(orderHistory[order_id], SMALL(IF(ISNUMBER(MATCH(orderHistory[customer], $E$9, 0)), MATCH(ROW(orderHistory[customer]),ROW(orderHistory[customer])), ""), ROWS($A$1:A21)+$B$3))),"")</f>
        <v/>
      </c>
      <c r="N30" s="605" t="str">
        <f t="array" ref="N30">IFERROR(IF($E$9="ALL",INDEX(orderHistory[order_date],ROW()-9+$B$3),INDEX(orderHistory[order_date], SMALL(IF(ISNUMBER(MATCH(orderHistory[customer], $E$9, 0)), MATCH(ROW(orderHistory[customer]),ROW(orderHistory[customer])), ""), ROWS($A$1:A21)+$B$3))),"")</f>
        <v/>
      </c>
      <c r="O30" s="606" t="str">
        <f t="array" ref="O30">IFERROR(IF($E$9="ALL",INDEX(orderHistory[carton_no],ROW()-9+$B$3),INDEX(orderHistory[carton_no], SMALL(IF(ISNUMBER(MATCH(orderHistory[customer], $E$9, 0)), MATCH(ROW(orderHistory[customer]),ROW(orderHistory[customer])), ""), ROWS($A$1:A21)+$B$3))),"")</f>
        <v/>
      </c>
      <c r="P30" s="606" t="str">
        <f t="array" ref="P30">IFERROR(IF($E$9="ALL",INDEX(orderHistory[pallet_no],ROW()-9+$B$3),INDEX(orderHistory[pallet_no], SMALL(IF(ISNUMBER(MATCH(orderHistory[customer], $E$9, 0)), MATCH(ROW(orderHistory[customer]),ROW(orderHistory[customer])), ""), ROWS($A$1:A21)+$B$3))),"")</f>
        <v/>
      </c>
      <c r="Q30" s="606" t="str">
        <f t="array" ref="Q30">IFERROR(IF($E$9="ALL",INDEX(orderHistory[invoice_no],ROW()-9+$B$3),INDEX(orderHistory[invoice_no], SMALL(IF(ISNUMBER(MATCH(orderHistory[customer], $E$9, 0)), MATCH(ROW(orderHistory[customer]),ROW(orderHistory[customer])), ""), ROWS($A$1:A21)+$B$3))),"")</f>
        <v/>
      </c>
      <c r="R30" s="605" t="str">
        <f t="array" ref="R30">IFERROR(IF($E$9="ALL",INDEX(orderHistory[invoice_date],ROW()-9+$B$3),INDEX(orderHistory[invoice_date], SMALL(IF(ISNUMBER(MATCH(orderHistory[customer], $E$9, 0)), MATCH(ROW(orderHistory[customer]),ROW(orderHistory[customer])), ""), ROWS($A$1:A21)+$B$3))),"")</f>
        <v/>
      </c>
      <c r="S30" s="607" t="str">
        <f t="array" ref="S30">IFERROR(IF($E$9="ALL",INDEX(orderHistory[payed],ROW()-9+$B$3),INDEX(orderHistory[payed], SMALL(IF(ISNUMBER(MATCH(orderHistory[customer], $E$9, 0)), MATCH(ROW(orderHistory[customer]),ROW(orderHistory[customer])), ""), ROWS($A$1:A21)+$B$3))),"")</f>
        <v/>
      </c>
      <c r="T30" s="605" t="str">
        <f t="array" ref="T30">IFERROR(IF($E$9="ALL",INDEX(orderHistory[payment_date],ROW()-9+$B$3),INDEX(orderHistory[payment_date], SMALL(IF(ISNUMBER(MATCH(orderHistory[customer], $E$9, 0)), MATCH(ROW(orderHistory[customer]),ROW(orderHistory[customer])), ""), ROWS($A$1:A21)+$B$3))),"")</f>
        <v/>
      </c>
      <c r="U30" s="608" t="str">
        <f t="array" ref="U30">IFERROR(IF($E$9="ALL",INDEX(orderHistory[amount_sold],ROW()-9+$B$3),INDEX(orderHistory[amount_sold], SMALL(IF(ISNUMBER(MATCH(orderHistory[customer], $E$9, 0)), MATCH(ROW(orderHistory[customer]),ROW(orderHistory[customer])), ""), ROWS($A$1:A21)+$B$3))),"")</f>
        <v/>
      </c>
      <c r="V30" s="609" t="str">
        <f t="array" ref="V30">IFERROR(IF($E$9="ALL",INDEX(orderHistory[status],ROW()-9+$B$3),INDEX(orderHistory[status], SMALL(IF(ISNUMBER(MATCH(orderHistory[customer], $E$9, 0)), MATCH(ROW(orderHistory[customer]),ROW(orderHistory[customer])), ""), ROWS($A$1:A21)+$B$3))),"")</f>
        <v/>
      </c>
      <c r="W30" s="589"/>
      <c r="AQ30" s="596" t="s">
        <v>400</v>
      </c>
      <c r="AR30" s="344"/>
      <c r="AS30" s="344"/>
      <c r="AT30" s="344"/>
      <c r="AU30" s="345"/>
      <c r="AV30" s="3"/>
      <c r="AW30" s="622"/>
      <c r="AX30" s="623"/>
      <c r="AY30" s="623"/>
      <c r="AZ30" s="623"/>
      <c r="BA30" s="623"/>
      <c r="BB30" s="623"/>
      <c r="BC30" s="623"/>
      <c r="BD30" s="623"/>
      <c r="BE30" s="623"/>
      <c r="BF30" s="623"/>
      <c r="BG30" s="623"/>
      <c r="BH30" s="623"/>
      <c r="BI30" s="623"/>
      <c r="BJ30" s="623"/>
      <c r="BK30" s="624"/>
      <c r="BL30" s="589"/>
      <c r="BO30" s="630" t="str">
        <f t="array" ref="BO30">IFERROR(IF($AO$9="ALL",INDEX(orderHistory[order_id],ROW()-9),INDEX(orderHistory[order_id], MATCH(0, IF($AO$9=orderHistory[customer],COUNTIF($BO$9:$BO29,orderHistory[order_id]), "")), 0)),"")</f>
        <v/>
      </c>
      <c r="BT30" s="207"/>
      <c r="BU30" s="207"/>
      <c r="BV30" s="207"/>
      <c r="BW30" s="207"/>
      <c r="BX30" s="207"/>
      <c r="BY30" s="207"/>
    </row>
    <row r="31" spans="5:77">
      <c r="E31" s="3"/>
      <c r="G31" s="380"/>
      <c r="H31" s="342"/>
      <c r="I31" s="342"/>
      <c r="J31" s="342"/>
      <c r="K31" s="343"/>
      <c r="L31" s="207"/>
      <c r="M31" s="612" t="str">
        <f t="array" ref="M31">IFERROR(IF($E$9="ALL",INDEX(orderHistory[order_id],ROW()-9+$B$3),INDEX(orderHistory[order_id], SMALL(IF(ISNUMBER(MATCH(orderHistory[customer], $E$9, 0)), MATCH(ROW(orderHistory[customer]),ROW(orderHistory[customer])), ""), ROWS($A$1:A22)+$B$3))),"")</f>
        <v/>
      </c>
      <c r="N31" s="605" t="str">
        <f t="array" ref="N31">IFERROR(IF($E$9="ALL",INDEX(orderHistory[order_date],ROW()-9+$B$3),INDEX(orderHistory[order_date], SMALL(IF(ISNUMBER(MATCH(orderHistory[customer], $E$9, 0)), MATCH(ROW(orderHistory[customer]),ROW(orderHistory[customer])), ""), ROWS($A$1:A22)+$B$3))),"")</f>
        <v/>
      </c>
      <c r="O31" s="606" t="str">
        <f t="array" ref="O31">IFERROR(IF($E$9="ALL",INDEX(orderHistory[carton_no],ROW()-9+$B$3),INDEX(orderHistory[carton_no], SMALL(IF(ISNUMBER(MATCH(orderHistory[customer], $E$9, 0)), MATCH(ROW(orderHistory[customer]),ROW(orderHistory[customer])), ""), ROWS($A$1:A22)+$B$3))),"")</f>
        <v/>
      </c>
      <c r="P31" s="606" t="str">
        <f t="array" ref="P31">IFERROR(IF($E$9="ALL",INDEX(orderHistory[pallet_no],ROW()-9+$B$3),INDEX(orderHistory[pallet_no], SMALL(IF(ISNUMBER(MATCH(orderHistory[customer], $E$9, 0)), MATCH(ROW(orderHistory[customer]),ROW(orderHistory[customer])), ""), ROWS($A$1:A22)+$B$3))),"")</f>
        <v/>
      </c>
      <c r="Q31" s="606" t="str">
        <f t="array" ref="Q31">IFERROR(IF($E$9="ALL",INDEX(orderHistory[invoice_no],ROW()-9+$B$3),INDEX(orderHistory[invoice_no], SMALL(IF(ISNUMBER(MATCH(orderHistory[customer], $E$9, 0)), MATCH(ROW(orderHistory[customer]),ROW(orderHistory[customer])), ""), ROWS($A$1:A22)+$B$3))),"")</f>
        <v/>
      </c>
      <c r="R31" s="605" t="str">
        <f t="array" ref="R31">IFERROR(IF($E$9="ALL",INDEX(orderHistory[invoice_date],ROW()-9+$B$3),INDEX(orderHistory[invoice_date], SMALL(IF(ISNUMBER(MATCH(orderHistory[customer], $E$9, 0)), MATCH(ROW(orderHistory[customer]),ROW(orderHistory[customer])), ""), ROWS($A$1:A22)+$B$3))),"")</f>
        <v/>
      </c>
      <c r="S31" s="607" t="str">
        <f t="array" ref="S31">IFERROR(IF($E$9="ALL",INDEX(orderHistory[payed],ROW()-9+$B$3),INDEX(orderHistory[payed], SMALL(IF(ISNUMBER(MATCH(orderHistory[customer], $E$9, 0)), MATCH(ROW(orderHistory[customer]),ROW(orderHistory[customer])), ""), ROWS($A$1:A22)+$B$3))),"")</f>
        <v/>
      </c>
      <c r="T31" s="605" t="str">
        <f t="array" ref="T31">IFERROR(IF($E$9="ALL",INDEX(orderHistory[payment_date],ROW()-9+$B$3),INDEX(orderHistory[payment_date], SMALL(IF(ISNUMBER(MATCH(orderHistory[customer], $E$9, 0)), MATCH(ROW(orderHistory[customer]),ROW(orderHistory[customer])), ""), ROWS($A$1:A22)+$B$3))),"")</f>
        <v/>
      </c>
      <c r="U31" s="608" t="str">
        <f t="array" ref="U31">IFERROR(IF($E$9="ALL",INDEX(orderHistory[amount_sold],ROW()-9+$B$3),INDEX(orderHistory[amount_sold], SMALL(IF(ISNUMBER(MATCH(orderHistory[customer], $E$9, 0)), MATCH(ROW(orderHistory[customer]),ROW(orderHistory[customer])), ""), ROWS($A$1:A22)+$B$3))),"")</f>
        <v/>
      </c>
      <c r="V31" s="609" t="str">
        <f t="array" ref="V31">IFERROR(IF($E$9="ALL",INDEX(orderHistory[status],ROW()-9+$B$3),INDEX(orderHistory[status], SMALL(IF(ISNUMBER(MATCH(orderHistory[customer], $E$9, 0)), MATCH(ROW(orderHistory[customer]),ROW(orderHistory[customer])), ""), ROWS($A$1:A22)+$B$3))),"")</f>
        <v/>
      </c>
      <c r="W31" s="589"/>
      <c r="AQ31" s="592"/>
      <c r="AR31" s="344"/>
      <c r="AS31" s="344"/>
      <c r="AT31" s="344"/>
      <c r="AU31" s="345"/>
      <c r="AV31" s="3"/>
      <c r="AW31" s="622"/>
      <c r="AX31" s="623"/>
      <c r="AY31" s="623"/>
      <c r="AZ31" s="623"/>
      <c r="BA31" s="623"/>
      <c r="BB31" s="623"/>
      <c r="BC31" s="623"/>
      <c r="BD31" s="623"/>
      <c r="BE31" s="623"/>
      <c r="BF31" s="623"/>
      <c r="BG31" s="623"/>
      <c r="BH31" s="623"/>
      <c r="BI31" s="623"/>
      <c r="BJ31" s="623"/>
      <c r="BK31" s="624"/>
      <c r="BL31" s="589"/>
      <c r="BO31" s="630" t="str">
        <f t="array" ref="BO31">IFERROR(IF($AO$9="ALL",INDEX(orderHistory[order_id],ROW()-9),INDEX(orderHistory[order_id], MATCH(0, IF($AO$9=orderHistory[customer],COUNTIF($BO$9:$BO30,orderHistory[order_id]), "")), 0)),"")</f>
        <v/>
      </c>
      <c r="BT31" s="207"/>
      <c r="BU31" s="207"/>
      <c r="BV31" s="207"/>
      <c r="BW31" s="207"/>
      <c r="BX31" s="207"/>
      <c r="BY31" s="207"/>
    </row>
    <row r="32" spans="5:77">
      <c r="E32" s="3"/>
      <c r="G32" s="355" t="s">
        <v>546</v>
      </c>
      <c r="H32" s="593">
        <f>COUNTIF(orderHistory[customer],$E$9)</f>
        <v>2</v>
      </c>
      <c r="I32" s="344"/>
      <c r="J32" s="344"/>
      <c r="K32" s="345"/>
      <c r="L32" s="207"/>
      <c r="M32" s="610" t="str">
        <f t="array" ref="M32">IFERROR(IF($E$9="ALL",INDEX(orderHistory[order_id],ROW()-9+$B$3),INDEX(orderHistory[order_id], SMALL(IF(ISNUMBER(MATCH(orderHistory[customer], $E$9, 0)), MATCH(ROW(orderHistory[customer]),ROW(orderHistory[customer])), ""), ROWS($A$1:A23)+$B$3))),"")</f>
        <v/>
      </c>
      <c r="N32" s="605" t="str">
        <f t="array" ref="N32">IFERROR(IF($E$9="ALL",INDEX(orderHistory[order_date],ROW()-9+$B$3),INDEX(orderHistory[order_date], SMALL(IF(ISNUMBER(MATCH(orderHistory[customer], $E$9, 0)), MATCH(ROW(orderHistory[customer]),ROW(orderHistory[customer])), ""), ROWS($A$1:A23)+$B$3))),"")</f>
        <v/>
      </c>
      <c r="O32" s="606" t="str">
        <f t="array" ref="O32">IFERROR(IF($E$9="ALL",INDEX(orderHistory[carton_no],ROW()-9+$B$3),INDEX(orderHistory[carton_no], SMALL(IF(ISNUMBER(MATCH(orderHistory[customer], $E$9, 0)), MATCH(ROW(orderHistory[customer]),ROW(orderHistory[customer])), ""), ROWS($A$1:A23)+$B$3))),"")</f>
        <v/>
      </c>
      <c r="P32" s="606" t="str">
        <f t="array" ref="P32">IFERROR(IF($E$9="ALL",INDEX(orderHistory[pallet_no],ROW()-9+$B$3),INDEX(orderHistory[pallet_no], SMALL(IF(ISNUMBER(MATCH(orderHistory[customer], $E$9, 0)), MATCH(ROW(orderHistory[customer]),ROW(orderHistory[customer])), ""), ROWS($A$1:A23)+$B$3))),"")</f>
        <v/>
      </c>
      <c r="Q32" s="606" t="str">
        <f t="array" ref="Q32">IFERROR(IF($E$9="ALL",INDEX(orderHistory[invoice_no],ROW()-9+$B$3),INDEX(orderHistory[invoice_no], SMALL(IF(ISNUMBER(MATCH(orderHistory[customer], $E$9, 0)), MATCH(ROW(orderHistory[customer]),ROW(orderHistory[customer])), ""), ROWS($A$1:A23)+$B$3))),"")</f>
        <v/>
      </c>
      <c r="R32" s="605" t="str">
        <f t="array" ref="R32">IFERROR(IF($E$9="ALL",INDEX(orderHistory[invoice_date],ROW()-9+$B$3),INDEX(orderHistory[invoice_date], SMALL(IF(ISNUMBER(MATCH(orderHistory[customer], $E$9, 0)), MATCH(ROW(orderHistory[customer]),ROW(orderHistory[customer])), ""), ROWS($A$1:A23)+$B$3))),"")</f>
        <v/>
      </c>
      <c r="S32" s="607" t="str">
        <f t="array" ref="S32">IFERROR(IF($E$9="ALL",INDEX(orderHistory[payed],ROW()-9+$B$3),INDEX(orderHistory[payed], SMALL(IF(ISNUMBER(MATCH(orderHistory[customer], $E$9, 0)), MATCH(ROW(orderHistory[customer]),ROW(orderHistory[customer])), ""), ROWS($A$1:A23)+$B$3))),"")</f>
        <v/>
      </c>
      <c r="T32" s="605" t="str">
        <f t="array" ref="T32">IFERROR(IF($E$9="ALL",INDEX(orderHistory[payment_date],ROW()-9+$B$3),INDEX(orderHistory[payment_date], SMALL(IF(ISNUMBER(MATCH(orderHistory[customer], $E$9, 0)), MATCH(ROW(orderHistory[customer]),ROW(orderHistory[customer])), ""), ROWS($A$1:A23)+$B$3))),"")</f>
        <v/>
      </c>
      <c r="U32" s="608" t="str">
        <f t="array" ref="U32">IFERROR(IF($E$9="ALL",INDEX(orderHistory[amount_sold],ROW()-9+$B$3),INDEX(orderHistory[amount_sold], SMALL(IF(ISNUMBER(MATCH(orderHistory[customer], $E$9, 0)), MATCH(ROW(orderHistory[customer]),ROW(orderHistory[customer])), ""), ROWS($A$1:A23)+$B$3))),"")</f>
        <v/>
      </c>
      <c r="V32" s="609" t="str">
        <f t="array" ref="V32">IFERROR(IF($E$9="ALL",INDEX(orderHistory[status],ROW()-9+$B$3),INDEX(orderHistory[status], SMALL(IF(ISNUMBER(MATCH(orderHistory[customer], $E$9, 0)), MATCH(ROW(orderHistory[customer]),ROW(orderHistory[customer])), ""), ROWS($A$1:A23)+$B$3))),"")</f>
        <v/>
      </c>
      <c r="W32" s="589"/>
      <c r="AQ32" s="595" t="s">
        <v>401</v>
      </c>
      <c r="AR32" s="344"/>
      <c r="AS32" s="344"/>
      <c r="AT32" s="344"/>
      <c r="AU32" s="345"/>
      <c r="AV32" s="3"/>
      <c r="AW32" s="622"/>
      <c r="AX32" s="623"/>
      <c r="AY32" s="623"/>
      <c r="AZ32" s="623"/>
      <c r="BA32" s="623"/>
      <c r="BB32" s="623"/>
      <c r="BC32" s="623"/>
      <c r="BD32" s="623"/>
      <c r="BE32" s="623"/>
      <c r="BF32" s="623"/>
      <c r="BG32" s="623"/>
      <c r="BH32" s="623"/>
      <c r="BI32" s="623"/>
      <c r="BJ32" s="623"/>
      <c r="BK32" s="624"/>
      <c r="BL32" s="589"/>
      <c r="BO32" s="630" t="str">
        <f t="array" ref="BO32">IFERROR(IF($AO$9="ALL",INDEX(orderHistory[order_id],ROW()-9),INDEX(orderHistory[order_id], MATCH(0, IF($AO$9=orderHistory[customer],COUNTIF($BO$9:$BO31,orderHistory[order_id]), "")), 0)),"")</f>
        <v/>
      </c>
      <c r="BT32" s="207"/>
      <c r="BU32" s="207"/>
      <c r="BV32" s="207"/>
      <c r="BW32" s="207"/>
      <c r="BX32" s="207"/>
      <c r="BY32" s="207"/>
    </row>
    <row r="33" spans="5:77">
      <c r="E33" s="3"/>
      <c r="G33" s="592"/>
      <c r="H33" s="344"/>
      <c r="I33" s="344"/>
      <c r="J33" s="344"/>
      <c r="K33" s="345"/>
      <c r="L33" s="207"/>
      <c r="M33" s="604" t="str">
        <f t="array" ref="M33">IFERROR(IF($E$9="ALL",INDEX(orderHistory[order_id],ROW()-9+$B$3),INDEX(orderHistory[order_id], SMALL(IF(ISNUMBER(MATCH(orderHistory[customer], $E$9, 0)), MATCH(ROW(orderHistory[customer]),ROW(orderHistory[customer])), ""), ROWS($A$1:A24)+$B$3))),"")</f>
        <v/>
      </c>
      <c r="N33" s="605" t="str">
        <f t="array" ref="N33">IFERROR(IF($E$9="ALL",INDEX(orderHistory[order_date],ROW()-9+$B$3),INDEX(orderHistory[order_date], SMALL(IF(ISNUMBER(MATCH(orderHistory[customer], $E$9, 0)), MATCH(ROW(orderHistory[customer]),ROW(orderHistory[customer])), ""), ROWS($A$1:A24)+$B$3))),"")</f>
        <v/>
      </c>
      <c r="O33" s="606" t="str">
        <f t="array" ref="O33">IFERROR(IF($E$9="ALL",INDEX(orderHistory[carton_no],ROW()-9+$B$3),INDEX(orderHistory[carton_no], SMALL(IF(ISNUMBER(MATCH(orderHistory[customer], $E$9, 0)), MATCH(ROW(orderHistory[customer]),ROW(orderHistory[customer])), ""), ROWS($A$1:A24)+$B$3))),"")</f>
        <v/>
      </c>
      <c r="P33" s="606" t="str">
        <f t="array" ref="P33">IFERROR(IF($E$9="ALL",INDEX(orderHistory[pallet_no],ROW()-9+$B$3),INDEX(orderHistory[pallet_no], SMALL(IF(ISNUMBER(MATCH(orderHistory[customer], $E$9, 0)), MATCH(ROW(orderHistory[customer]),ROW(orderHistory[customer])), ""), ROWS($A$1:A24)+$B$3))),"")</f>
        <v/>
      </c>
      <c r="Q33" s="606" t="str">
        <f t="array" ref="Q33">IFERROR(IF($E$9="ALL",INDEX(orderHistory[invoice_no],ROW()-9+$B$3),INDEX(orderHistory[invoice_no], SMALL(IF(ISNUMBER(MATCH(orderHistory[customer], $E$9, 0)), MATCH(ROW(orderHistory[customer]),ROW(orderHistory[customer])), ""), ROWS($A$1:A24)+$B$3))),"")</f>
        <v/>
      </c>
      <c r="R33" s="605" t="str">
        <f t="array" ref="R33">IFERROR(IF($E$9="ALL",INDEX(orderHistory[invoice_date],ROW()-9+$B$3),INDEX(orderHistory[invoice_date], SMALL(IF(ISNUMBER(MATCH(orderHistory[customer], $E$9, 0)), MATCH(ROW(orderHistory[customer]),ROW(orderHistory[customer])), ""), ROWS($A$1:A24)+$B$3))),"")</f>
        <v/>
      </c>
      <c r="S33" s="607" t="str">
        <f t="array" ref="S33">IFERROR(IF($E$9="ALL",INDEX(orderHistory[payed],ROW()-9+$B$3),INDEX(orderHistory[payed], SMALL(IF(ISNUMBER(MATCH(orderHistory[customer], $E$9, 0)), MATCH(ROW(orderHistory[customer]),ROW(orderHistory[customer])), ""), ROWS($A$1:A24)+$B$3))),"")</f>
        <v/>
      </c>
      <c r="T33" s="605" t="str">
        <f t="array" ref="T33">IFERROR(IF($E$9="ALL",INDEX(orderHistory[payment_date],ROW()-9+$B$3),INDEX(orderHistory[payment_date], SMALL(IF(ISNUMBER(MATCH(orderHistory[customer], $E$9, 0)), MATCH(ROW(orderHistory[customer]),ROW(orderHistory[customer])), ""), ROWS($A$1:A24)+$B$3))),"")</f>
        <v/>
      </c>
      <c r="U33" s="608" t="str">
        <f t="array" ref="U33">IFERROR(IF($E$9="ALL",INDEX(orderHistory[amount_sold],ROW()-9+$B$3),INDEX(orderHistory[amount_sold], SMALL(IF(ISNUMBER(MATCH(orderHistory[customer], $E$9, 0)), MATCH(ROW(orderHistory[customer]),ROW(orderHistory[customer])), ""), ROWS($A$1:A24)+$B$3))),"")</f>
        <v/>
      </c>
      <c r="V33" s="609" t="str">
        <f t="array" ref="V33">IFERROR(IF($E$9="ALL",INDEX(orderHistory[status],ROW()-9+$B$3),INDEX(orderHistory[status], SMALL(IF(ISNUMBER(MATCH(orderHistory[customer], $E$9, 0)), MATCH(ROW(orderHistory[customer]),ROW(orderHistory[customer])), ""), ROWS($A$1:A24)+$B$3))),"")</f>
        <v/>
      </c>
      <c r="W33" s="589"/>
      <c r="AQ33" s="596"/>
      <c r="AR33" s="344"/>
      <c r="AS33" s="344"/>
      <c r="AT33" s="344"/>
      <c r="AU33" s="345"/>
      <c r="AV33" s="3"/>
      <c r="AW33" s="622"/>
      <c r="AX33" s="623"/>
      <c r="AY33" s="623"/>
      <c r="AZ33" s="623"/>
      <c r="BA33" s="623"/>
      <c r="BB33" s="623"/>
      <c r="BC33" s="623"/>
      <c r="BD33" s="623"/>
      <c r="BE33" s="623"/>
      <c r="BF33" s="623"/>
      <c r="BG33" s="623"/>
      <c r="BH33" s="623"/>
      <c r="BI33" s="623"/>
      <c r="BJ33" s="623"/>
      <c r="BK33" s="624"/>
      <c r="BL33" s="589"/>
      <c r="BO33" s="630" t="str">
        <f t="array" ref="BO33">IFERROR(IF($AO$9="ALL",INDEX(orderHistory[order_id],ROW()-9),INDEX(orderHistory[order_id], MATCH(0, IF($AO$9=orderHistory[customer],COUNTIF($BO$9:$BO32,orderHistory[order_id]), "")), 0)),"")</f>
        <v/>
      </c>
      <c r="BT33" s="207"/>
      <c r="BU33" s="207"/>
      <c r="BV33" s="207"/>
      <c r="BW33" s="207"/>
      <c r="BX33" s="207"/>
      <c r="BY33" s="207"/>
    </row>
    <row r="34" spans="5:77">
      <c r="E34" s="3"/>
      <c r="G34" s="355" t="s">
        <v>541</v>
      </c>
      <c r="H34" s="570">
        <f>MIN($N$10:$N$40)</f>
        <v>45294</v>
      </c>
      <c r="I34" s="571"/>
      <c r="J34" s="344"/>
      <c r="K34" s="345"/>
      <c r="L34" s="207"/>
      <c r="M34" s="604" t="str">
        <f t="array" ref="M34">IFERROR(IF($E$9="ALL",INDEX(orderHistory[order_id],ROW()-9+$B$3),INDEX(orderHistory[order_id], SMALL(IF(ISNUMBER(MATCH(orderHistory[customer], $E$9, 0)), MATCH(ROW(orderHistory[customer]),ROW(orderHistory[customer])), ""), ROWS($A$1:A25)+$B$3))),"")</f>
        <v/>
      </c>
      <c r="N34" s="605" t="str">
        <f t="array" ref="N34">IFERROR(IF($E$9="ALL",INDEX(orderHistory[order_date],ROW()-9+$B$3),INDEX(orderHistory[order_date], SMALL(IF(ISNUMBER(MATCH(orderHistory[customer], $E$9, 0)), MATCH(ROW(orderHistory[customer]),ROW(orderHistory[customer])), ""), ROWS($A$1:A25)+$B$3))),"")</f>
        <v/>
      </c>
      <c r="O34" s="606" t="str">
        <f t="array" ref="O34">IFERROR(IF($E$9="ALL",INDEX(orderHistory[carton_no],ROW()-9+$B$3),INDEX(orderHistory[carton_no], SMALL(IF(ISNUMBER(MATCH(orderHistory[customer], $E$9, 0)), MATCH(ROW(orderHistory[customer]),ROW(orderHistory[customer])), ""), ROWS($A$1:A25)+$B$3))),"")</f>
        <v/>
      </c>
      <c r="P34" s="606" t="str">
        <f t="array" ref="P34">IFERROR(IF($E$9="ALL",INDEX(orderHistory[pallet_no],ROW()-9+$B$3),INDEX(orderHistory[pallet_no], SMALL(IF(ISNUMBER(MATCH(orderHistory[customer], $E$9, 0)), MATCH(ROW(orderHistory[customer]),ROW(orderHistory[customer])), ""), ROWS($A$1:A25)+$B$3))),"")</f>
        <v/>
      </c>
      <c r="Q34" s="606" t="str">
        <f t="array" ref="Q34">IFERROR(IF($E$9="ALL",INDEX(orderHistory[invoice_no],ROW()-9+$B$3),INDEX(orderHistory[invoice_no], SMALL(IF(ISNUMBER(MATCH(orderHistory[customer], $E$9, 0)), MATCH(ROW(orderHistory[customer]),ROW(orderHistory[customer])), ""), ROWS($A$1:A25)+$B$3))),"")</f>
        <v/>
      </c>
      <c r="R34" s="605" t="str">
        <f t="array" ref="R34">IFERROR(IF($E$9="ALL",INDEX(orderHistory[invoice_date],ROW()-9+$B$3),INDEX(orderHistory[invoice_date], SMALL(IF(ISNUMBER(MATCH(orderHistory[customer], $E$9, 0)), MATCH(ROW(orderHistory[customer]),ROW(orderHistory[customer])), ""), ROWS($A$1:A25)+$B$3))),"")</f>
        <v/>
      </c>
      <c r="S34" s="607" t="str">
        <f t="array" ref="S34">IFERROR(IF($E$9="ALL",INDEX(orderHistory[payed],ROW()-9+$B$3),INDEX(orderHistory[payed], SMALL(IF(ISNUMBER(MATCH(orderHistory[customer], $E$9, 0)), MATCH(ROW(orderHistory[customer]),ROW(orderHistory[customer])), ""), ROWS($A$1:A25)+$B$3))),"")</f>
        <v/>
      </c>
      <c r="T34" s="605" t="str">
        <f t="array" ref="T34">IFERROR(IF($E$9="ALL",INDEX(orderHistory[payment_date],ROW()-9+$B$3),INDEX(orderHistory[payment_date], SMALL(IF(ISNUMBER(MATCH(orderHistory[customer], $E$9, 0)), MATCH(ROW(orderHistory[customer]),ROW(orderHistory[customer])), ""), ROWS($A$1:A25)+$B$3))),"")</f>
        <v/>
      </c>
      <c r="U34" s="608" t="str">
        <f t="array" ref="U34">IFERROR(IF($E$9="ALL",INDEX(orderHistory[amount_sold],ROW()-9+$B$3),INDEX(orderHistory[amount_sold], SMALL(IF(ISNUMBER(MATCH(orderHistory[customer], $E$9, 0)), MATCH(ROW(orderHistory[customer]),ROW(orderHistory[customer])), ""), ROWS($A$1:A25)+$B$3))),"")</f>
        <v/>
      </c>
      <c r="V34" s="609" t="str">
        <f t="array" ref="V34">IFERROR(IF($E$9="ALL",INDEX(orderHistory[status],ROW()-9+$B$3),INDEX(orderHistory[status], SMALL(IF(ISNUMBER(MATCH(orderHistory[customer], $E$9, 0)), MATCH(ROW(orderHistory[customer]),ROW(orderHistory[customer])), ""), ROWS($A$1:A25)+$B$3))),"")</f>
        <v/>
      </c>
      <c r="W34" s="589"/>
      <c r="AQ34" s="592"/>
      <c r="AR34" s="344"/>
      <c r="AS34" s="344"/>
      <c r="AT34" s="344"/>
      <c r="AU34" s="345"/>
      <c r="AV34" s="3"/>
      <c r="AW34" s="622"/>
      <c r="AX34" s="623"/>
      <c r="AY34" s="623"/>
      <c r="AZ34" s="623"/>
      <c r="BA34" s="623"/>
      <c r="BB34" s="623"/>
      <c r="BC34" s="623"/>
      <c r="BD34" s="623"/>
      <c r="BE34" s="623"/>
      <c r="BF34" s="623"/>
      <c r="BG34" s="623"/>
      <c r="BH34" s="623"/>
      <c r="BI34" s="623"/>
      <c r="BJ34" s="623"/>
      <c r="BK34" s="624"/>
      <c r="BL34" s="589"/>
      <c r="BO34" s="630" t="str">
        <f t="array" ref="BO34">IFERROR(IF($AO$9="ALL",INDEX(orderHistory[order_id],ROW()-9),INDEX(orderHistory[order_id], MATCH(0, IF($AO$9=orderHistory[customer],COUNTIF($BO$9:$BO33,orderHistory[order_id]), "")), 0)),"")</f>
        <v/>
      </c>
      <c r="BT34" s="207"/>
      <c r="BU34" s="207"/>
      <c r="BV34" s="207"/>
      <c r="BW34" s="207"/>
      <c r="BX34" s="207"/>
      <c r="BY34" s="207"/>
    </row>
    <row r="35" spans="5:77" ht="14.5" customHeight="1">
      <c r="E35" s="3"/>
      <c r="G35" s="355" t="s">
        <v>542</v>
      </c>
      <c r="H35" s="572">
        <f>MAX($N$10:$N$40)</f>
        <v>45306</v>
      </c>
      <c r="I35" s="573"/>
      <c r="J35" s="344"/>
      <c r="K35" s="345"/>
      <c r="M35" s="604" t="str">
        <f t="array" ref="M35">IFERROR(IF($E$9="ALL",INDEX(orderHistory[order_id],ROW()-9+$B$3),INDEX(orderHistory[order_id], SMALL(IF(ISNUMBER(MATCH(orderHistory[customer], $E$9, 0)), MATCH(ROW(orderHistory[customer]),ROW(orderHistory[customer])), ""), ROWS($A$1:A26)+$B$3))),"")</f>
        <v/>
      </c>
      <c r="N35" s="605" t="str">
        <f t="array" ref="N35">IFERROR(IF($E$9="ALL",INDEX(orderHistory[order_date],ROW()-9+$B$3),INDEX(orderHistory[order_date], SMALL(IF(ISNUMBER(MATCH(orderHistory[customer], $E$9, 0)), MATCH(ROW(orderHistory[customer]),ROW(orderHistory[customer])), ""), ROWS($A$1:A26)+$B$3))),"")</f>
        <v/>
      </c>
      <c r="O35" s="606" t="str">
        <f t="array" ref="O35">IFERROR(IF($E$9="ALL",INDEX(orderHistory[carton_no],ROW()-9+$B$3),INDEX(orderHistory[carton_no], SMALL(IF(ISNUMBER(MATCH(orderHistory[customer], $E$9, 0)), MATCH(ROW(orderHistory[customer]),ROW(orderHistory[customer])), ""), ROWS($A$1:A26)+$B$3))),"")</f>
        <v/>
      </c>
      <c r="P35" s="606" t="str">
        <f t="array" ref="P35">IFERROR(IF($E$9="ALL",INDEX(orderHistory[pallet_no],ROW()-9+$B$3),INDEX(orderHistory[pallet_no], SMALL(IF(ISNUMBER(MATCH(orderHistory[customer], $E$9, 0)), MATCH(ROW(orderHistory[customer]),ROW(orderHistory[customer])), ""), ROWS($A$1:A26)+$B$3))),"")</f>
        <v/>
      </c>
      <c r="Q35" s="606" t="str">
        <f t="array" ref="Q35">IFERROR(IF($E$9="ALL",INDEX(orderHistory[invoice_no],ROW()-9+$B$3),INDEX(orderHistory[invoice_no], SMALL(IF(ISNUMBER(MATCH(orderHistory[customer], $E$9, 0)), MATCH(ROW(orderHistory[customer]),ROW(orderHistory[customer])), ""), ROWS($A$1:A26)+$B$3))),"")</f>
        <v/>
      </c>
      <c r="R35" s="605" t="str">
        <f t="array" ref="R35">IFERROR(IF($E$9="ALL",INDEX(orderHistory[invoice_date],ROW()-9+$B$3),INDEX(orderHistory[invoice_date], SMALL(IF(ISNUMBER(MATCH(orderHistory[customer], $E$9, 0)), MATCH(ROW(orderHistory[customer]),ROW(orderHistory[customer])), ""), ROWS($A$1:A26)+$B$3))),"")</f>
        <v/>
      </c>
      <c r="S35" s="607" t="str">
        <f t="array" ref="S35">IFERROR(IF($E$9="ALL",INDEX(orderHistory[payed],ROW()-9+$B$3),INDEX(orderHistory[payed], SMALL(IF(ISNUMBER(MATCH(orderHistory[customer], $E$9, 0)), MATCH(ROW(orderHistory[customer]),ROW(orderHistory[customer])), ""), ROWS($A$1:A26)+$B$3))),"")</f>
        <v/>
      </c>
      <c r="T35" s="605" t="str">
        <f t="array" ref="T35">IFERROR(IF($E$9="ALL",INDEX(orderHistory[payment_date],ROW()-9+$B$3),INDEX(orderHistory[payment_date], SMALL(IF(ISNUMBER(MATCH(orderHistory[customer], $E$9, 0)), MATCH(ROW(orderHistory[customer]),ROW(orderHistory[customer])), ""), ROWS($A$1:A26)+$B$3))),"")</f>
        <v/>
      </c>
      <c r="U35" s="608" t="str">
        <f t="array" ref="U35">IFERROR(IF($E$9="ALL",INDEX(orderHistory[amount_sold],ROW()-9+$B$3),INDEX(orderHistory[amount_sold], SMALL(IF(ISNUMBER(MATCH(orderHistory[customer], $E$9, 0)), MATCH(ROW(orderHistory[customer]),ROW(orderHistory[customer])), ""), ROWS($A$1:A26)+$B$3))),"")</f>
        <v/>
      </c>
      <c r="V35" s="609" t="str">
        <f t="array" ref="V35">IFERROR(IF($E$9="ALL",INDEX(orderHistory[status],ROW()-9+$B$3),INDEX(orderHistory[status], SMALL(IF(ISNUMBER(MATCH(orderHistory[customer], $E$9, 0)), MATCH(ROW(orderHistory[customer]),ROW(orderHistory[customer])), ""), ROWS($A$1:A26)+$B$3))),"")</f>
        <v/>
      </c>
      <c r="W35" s="589"/>
      <c r="AQ35" s="592"/>
      <c r="AR35" s="344"/>
      <c r="AS35" s="344"/>
      <c r="AT35" s="344"/>
      <c r="AU35" s="345"/>
      <c r="AV35" s="3"/>
      <c r="AW35" s="622"/>
      <c r="AX35" s="623"/>
      <c r="AY35" s="623"/>
      <c r="AZ35" s="623"/>
      <c r="BA35" s="623"/>
      <c r="BB35" s="623"/>
      <c r="BC35" s="623"/>
      <c r="BD35" s="623"/>
      <c r="BE35" s="623"/>
      <c r="BF35" s="623"/>
      <c r="BG35" s="623"/>
      <c r="BH35" s="623"/>
      <c r="BI35" s="623"/>
      <c r="BJ35" s="623"/>
      <c r="BK35" s="624"/>
      <c r="BL35" s="589"/>
      <c r="BO35" s="630" t="str">
        <f t="array" ref="BO35">IFERROR(IF($AO$9="ALL",INDEX(orderHistory[order_id],ROW()-9),INDEX(orderHistory[order_id], MATCH(0, IF($AO$9=orderHistory[customer],COUNTIF($BO$9:$BO34,orderHistory[order_id]), "")), 0)),"")</f>
        <v/>
      </c>
    </row>
    <row r="36" spans="5:77" ht="14.5" customHeight="1">
      <c r="G36" s="592"/>
      <c r="H36" s="344"/>
      <c r="I36" s="344"/>
      <c r="J36" s="344"/>
      <c r="K36" s="345"/>
      <c r="M36" s="604" t="str">
        <f t="array" ref="M36">IFERROR(IF($E$9="ALL",INDEX(orderHistory[order_id],ROW()-9+$B$3),INDEX(orderHistory[order_id], SMALL(IF(ISNUMBER(MATCH(orderHistory[customer], $E$9, 0)), MATCH(ROW(orderHistory[customer]),ROW(orderHistory[customer])), ""), ROWS($A$1:A27)+$B$3))),"")</f>
        <v/>
      </c>
      <c r="N36" s="605" t="str">
        <f t="array" ref="N36">IFERROR(IF($E$9="ALL",INDEX(orderHistory[order_date],ROW()-9+$B$3),INDEX(orderHistory[order_date], SMALL(IF(ISNUMBER(MATCH(orderHistory[customer], $E$9, 0)), MATCH(ROW(orderHistory[customer]),ROW(orderHistory[customer])), ""), ROWS($A$1:A27)+$B$3))),"")</f>
        <v/>
      </c>
      <c r="O36" s="606" t="str">
        <f t="array" ref="O36">IFERROR(IF($E$9="ALL",INDEX(orderHistory[carton_no],ROW()-9+$B$3),INDEX(orderHistory[carton_no], SMALL(IF(ISNUMBER(MATCH(orderHistory[customer], $E$9, 0)), MATCH(ROW(orderHistory[customer]),ROW(orderHistory[customer])), ""), ROWS($A$1:A27)+$B$3))),"")</f>
        <v/>
      </c>
      <c r="P36" s="606" t="str">
        <f t="array" ref="P36">IFERROR(IF($E$9="ALL",INDEX(orderHistory[pallet_no],ROW()-9+$B$3),INDEX(orderHistory[pallet_no], SMALL(IF(ISNUMBER(MATCH(orderHistory[customer], $E$9, 0)), MATCH(ROW(orderHistory[customer]),ROW(orderHistory[customer])), ""), ROWS($A$1:A27)+$B$3))),"")</f>
        <v/>
      </c>
      <c r="Q36" s="606" t="str">
        <f t="array" ref="Q36">IFERROR(IF($E$9="ALL",INDEX(orderHistory[invoice_no],ROW()-9+$B$3),INDEX(orderHistory[invoice_no], SMALL(IF(ISNUMBER(MATCH(orderHistory[customer], $E$9, 0)), MATCH(ROW(orderHistory[customer]),ROW(orderHistory[customer])), ""), ROWS($A$1:A27)+$B$3))),"")</f>
        <v/>
      </c>
      <c r="R36" s="605" t="str">
        <f t="array" ref="R36">IFERROR(IF($E$9="ALL",INDEX(orderHistory[invoice_date],ROW()-9+$B$3),INDEX(orderHistory[invoice_date], SMALL(IF(ISNUMBER(MATCH(orderHistory[customer], $E$9, 0)), MATCH(ROW(orderHistory[customer]),ROW(orderHistory[customer])), ""), ROWS($A$1:A27)+$B$3))),"")</f>
        <v/>
      </c>
      <c r="S36" s="607" t="str">
        <f t="array" ref="S36">IFERROR(IF($E$9="ALL",INDEX(orderHistory[payed],ROW()-9+$B$3),INDEX(orderHistory[payed], SMALL(IF(ISNUMBER(MATCH(orderHistory[customer], $E$9, 0)), MATCH(ROW(orderHistory[customer]),ROW(orderHistory[customer])), ""), ROWS($A$1:A27)+$B$3))),"")</f>
        <v/>
      </c>
      <c r="T36" s="605" t="str">
        <f t="array" ref="T36">IFERROR(IF($E$9="ALL",INDEX(orderHistory[payment_date],ROW()-9+$B$3),INDEX(orderHistory[payment_date], SMALL(IF(ISNUMBER(MATCH(orderHistory[customer], $E$9, 0)), MATCH(ROW(orderHistory[customer]),ROW(orderHistory[customer])), ""), ROWS($A$1:A27)+$B$3))),"")</f>
        <v/>
      </c>
      <c r="U36" s="608" t="str">
        <f t="array" ref="U36">IFERROR(IF($E$9="ALL",INDEX(orderHistory[amount_sold],ROW()-9+$B$3),INDEX(orderHistory[amount_sold], SMALL(IF(ISNUMBER(MATCH(orderHistory[customer], $E$9, 0)), MATCH(ROW(orderHistory[customer]),ROW(orderHistory[customer])), ""), ROWS($A$1:A27)+$B$3))),"")</f>
        <v/>
      </c>
      <c r="V36" s="609" t="str">
        <f t="array" ref="V36">IFERROR(IF($E$9="ALL",INDEX(orderHistory[status],ROW()-9+$B$3),INDEX(orderHistory[status], SMALL(IF(ISNUMBER(MATCH(orderHistory[customer], $E$9, 0)), MATCH(ROW(orderHistory[customer]),ROW(orderHistory[customer])), ""), ROWS($A$1:A27)+$B$3))),"")</f>
        <v/>
      </c>
      <c r="W36" s="589"/>
      <c r="AQ36" s="592"/>
      <c r="AR36" s="344"/>
      <c r="AS36" s="344"/>
      <c r="AT36" s="344"/>
      <c r="AU36" s="345"/>
      <c r="AV36" s="3"/>
      <c r="AW36" s="622"/>
      <c r="AX36" s="623"/>
      <c r="AY36" s="623"/>
      <c r="AZ36" s="623"/>
      <c r="BA36" s="623"/>
      <c r="BB36" s="623"/>
      <c r="BC36" s="623"/>
      <c r="BD36" s="623"/>
      <c r="BE36" s="623"/>
      <c r="BF36" s="623"/>
      <c r="BG36" s="623"/>
      <c r="BH36" s="623"/>
      <c r="BI36" s="623"/>
      <c r="BJ36" s="623"/>
      <c r="BK36" s="624"/>
      <c r="BL36" s="589"/>
      <c r="BO36" s="630" t="str">
        <f t="array" ref="BO36">IFERROR(IF($AO$9="ALL",INDEX(orderHistory[order_id],ROW()-9),INDEX(orderHistory[order_id], MATCH(0, IF($AO$9=orderHistory[customer],COUNTIF($BO$9:$BO35,orderHistory[order_id]), "")), 0)),"")</f>
        <v/>
      </c>
    </row>
    <row r="37" spans="5:77" ht="14.5" customHeight="1">
      <c r="E37" s="3"/>
      <c r="G37" s="381" t="s">
        <v>547</v>
      </c>
      <c r="H37" s="574">
        <f>SUMIF(orderHistory[customer],$E$9,orderHistory[cost_of_goods])</f>
        <v>12800</v>
      </c>
      <c r="I37" s="575"/>
      <c r="J37" s="344"/>
      <c r="K37" s="345"/>
      <c r="M37" s="604" t="str">
        <f t="array" ref="M37">IFERROR(IF($E$9="ALL",INDEX(orderHistory[order_id],ROW()-9+$B$3),INDEX(orderHistory[order_id], SMALL(IF(ISNUMBER(MATCH(orderHistory[customer], $E$9, 0)), MATCH(ROW(orderHistory[customer]),ROW(orderHistory[customer])), ""), ROWS($A$1:A28)+$B$3))),"")</f>
        <v/>
      </c>
      <c r="N37" s="605" t="str">
        <f t="array" ref="N37">IFERROR(IF($E$9="ALL",INDEX(orderHistory[order_date],ROW()-9+$B$3),INDEX(orderHistory[order_date], SMALL(IF(ISNUMBER(MATCH(orderHistory[customer], $E$9, 0)), MATCH(ROW(orderHistory[customer]),ROW(orderHistory[customer])), ""), ROWS($A$1:A28)+$B$3))),"")</f>
        <v/>
      </c>
      <c r="O37" s="606" t="str">
        <f t="array" ref="O37">IFERROR(IF($E$9="ALL",INDEX(orderHistory[carton_no],ROW()-9+$B$3),INDEX(orderHistory[carton_no], SMALL(IF(ISNUMBER(MATCH(orderHistory[customer], $E$9, 0)), MATCH(ROW(orderHistory[customer]),ROW(orderHistory[customer])), ""), ROWS($A$1:A28)+$B$3))),"")</f>
        <v/>
      </c>
      <c r="P37" s="606" t="str">
        <f t="array" ref="P37">IFERROR(IF($E$9="ALL",INDEX(orderHistory[pallet_no],ROW()-9+$B$3),INDEX(orderHistory[pallet_no], SMALL(IF(ISNUMBER(MATCH(orderHistory[customer], $E$9, 0)), MATCH(ROW(orderHistory[customer]),ROW(orderHistory[customer])), ""), ROWS($A$1:A28)+$B$3))),"")</f>
        <v/>
      </c>
      <c r="Q37" s="606" t="str">
        <f t="array" ref="Q37">IFERROR(IF($E$9="ALL",INDEX(orderHistory[invoice_no],ROW()-9+$B$3),INDEX(orderHistory[invoice_no], SMALL(IF(ISNUMBER(MATCH(orderHistory[customer], $E$9, 0)), MATCH(ROW(orderHistory[customer]),ROW(orderHistory[customer])), ""), ROWS($A$1:A28)+$B$3))),"")</f>
        <v/>
      </c>
      <c r="R37" s="605" t="str">
        <f t="array" ref="R37">IFERROR(IF($E$9="ALL",INDEX(orderHistory[invoice_date],ROW()-9+$B$3),INDEX(orderHistory[invoice_date], SMALL(IF(ISNUMBER(MATCH(orderHistory[customer], $E$9, 0)), MATCH(ROW(orderHistory[customer]),ROW(orderHistory[customer])), ""), ROWS($A$1:A28)+$B$3))),"")</f>
        <v/>
      </c>
      <c r="S37" s="607" t="str">
        <f t="array" ref="S37">IFERROR(IF($E$9="ALL",INDEX(orderHistory[payed],ROW()-9+$B$3),INDEX(orderHistory[payed], SMALL(IF(ISNUMBER(MATCH(orderHistory[customer], $E$9, 0)), MATCH(ROW(orderHistory[customer]),ROW(orderHistory[customer])), ""), ROWS($A$1:A28)+$B$3))),"")</f>
        <v/>
      </c>
      <c r="T37" s="605" t="str">
        <f t="array" ref="T37">IFERROR(IF($E$9="ALL",INDEX(orderHistory[payment_date],ROW()-9+$B$3),INDEX(orderHistory[payment_date], SMALL(IF(ISNUMBER(MATCH(orderHistory[customer], $E$9, 0)), MATCH(ROW(orderHistory[customer]),ROW(orderHistory[customer])), ""), ROWS($A$1:A28)+$B$3))),"")</f>
        <v/>
      </c>
      <c r="U37" s="608" t="str">
        <f t="array" ref="U37">IFERROR(IF($E$9="ALL",INDEX(orderHistory[amount_sold],ROW()-9+$B$3),INDEX(orderHistory[amount_sold], SMALL(IF(ISNUMBER(MATCH(orderHistory[customer], $E$9, 0)), MATCH(ROW(orderHistory[customer]),ROW(orderHistory[customer])), ""), ROWS($A$1:A28)+$B$3))),"")</f>
        <v/>
      </c>
      <c r="V37" s="609" t="str">
        <f t="array" ref="V37">IFERROR(IF($E$9="ALL",INDEX(orderHistory[status],ROW()-9+$B$3),INDEX(orderHistory[status], SMALL(IF(ISNUMBER(MATCH(orderHistory[customer], $E$9, 0)), MATCH(ROW(orderHistory[customer]),ROW(orderHistory[customer])), ""), ROWS($A$1:A28)+$B$3))),"")</f>
        <v/>
      </c>
      <c r="W37" s="589"/>
      <c r="AQ37" s="592"/>
      <c r="AR37" s="344"/>
      <c r="AS37" s="344"/>
      <c r="AT37" s="344"/>
      <c r="AU37" s="345"/>
      <c r="AV37" s="3"/>
      <c r="AW37" s="622"/>
      <c r="AX37" s="623"/>
      <c r="AY37" s="623"/>
      <c r="AZ37" s="623"/>
      <c r="BA37" s="623"/>
      <c r="BB37" s="623"/>
      <c r="BC37" s="623"/>
      <c r="BD37" s="623"/>
      <c r="BE37" s="623"/>
      <c r="BF37" s="623"/>
      <c r="BG37" s="623"/>
      <c r="BH37" s="623"/>
      <c r="BI37" s="623"/>
      <c r="BJ37" s="623"/>
      <c r="BK37" s="624"/>
      <c r="BL37" s="589"/>
      <c r="BO37" s="630" t="str">
        <f t="array" ref="BO37">IFERROR(IF($AO$9="ALL",INDEX(orderHistory[order_id],ROW()-9),INDEX(orderHistory[order_id], MATCH(0, IF($AO$9=orderHistory[customer],COUNTIF($BO$9:$BO36,orderHistory[order_id]), "")), 0)),"")</f>
        <v/>
      </c>
    </row>
    <row r="38" spans="5:77" ht="14.5" customHeight="1">
      <c r="G38" s="381" t="s">
        <v>544</v>
      </c>
      <c r="H38" s="574">
        <f>SUMIF(orderHistory[customer],$E$9,orderHistory[amount_sold])</f>
        <v>13100</v>
      </c>
      <c r="I38" s="575"/>
      <c r="J38" s="344"/>
      <c r="K38" s="345"/>
      <c r="M38" s="604" t="str">
        <f t="array" ref="M38">IFERROR(IF($E$9="ALL",INDEX(orderHistory[order_id],ROW()-9+$B$3),INDEX(orderHistory[order_id], SMALL(IF(ISNUMBER(MATCH(orderHistory[customer], $E$9, 0)), MATCH(ROW(orderHistory[customer]),ROW(orderHistory[customer])), ""), ROWS($A$1:A29)+$B$3))),"")</f>
        <v/>
      </c>
      <c r="N38" s="605" t="str">
        <f t="array" ref="N38">IFERROR(IF($E$9="ALL",INDEX(orderHistory[order_date],ROW()-9+$B$3),INDEX(orderHistory[order_date], SMALL(IF(ISNUMBER(MATCH(orderHistory[customer], $E$9, 0)), MATCH(ROW(orderHistory[customer]),ROW(orderHistory[customer])), ""), ROWS($A$1:A29)+$B$3))),"")</f>
        <v/>
      </c>
      <c r="O38" s="606" t="str">
        <f t="array" ref="O38">IFERROR(IF($E$9="ALL",INDEX(orderHistory[carton_no],ROW()-9+$B$3),INDEX(orderHistory[carton_no], SMALL(IF(ISNUMBER(MATCH(orderHistory[customer], $E$9, 0)), MATCH(ROW(orderHistory[customer]),ROW(orderHistory[customer])), ""), ROWS($A$1:A29)+$B$3))),"")</f>
        <v/>
      </c>
      <c r="P38" s="606" t="str">
        <f t="array" ref="P38">IFERROR(IF($E$9="ALL",INDEX(orderHistory[pallet_no],ROW()-9+$B$3),INDEX(orderHistory[pallet_no], SMALL(IF(ISNUMBER(MATCH(orderHistory[customer], $E$9, 0)), MATCH(ROW(orderHistory[customer]),ROW(orderHistory[customer])), ""), ROWS($A$1:A29)+$B$3))),"")</f>
        <v/>
      </c>
      <c r="Q38" s="606" t="str">
        <f t="array" ref="Q38">IFERROR(IF($E$9="ALL",INDEX(orderHistory[invoice_no],ROW()-9+$B$3),INDEX(orderHistory[invoice_no], SMALL(IF(ISNUMBER(MATCH(orderHistory[customer], $E$9, 0)), MATCH(ROW(orderHistory[customer]),ROW(orderHistory[customer])), ""), ROWS($A$1:A29)+$B$3))),"")</f>
        <v/>
      </c>
      <c r="R38" s="605" t="str">
        <f t="array" ref="R38">IFERROR(IF($E$9="ALL",INDEX(orderHistory[invoice_date],ROW()-9+$B$3),INDEX(orderHistory[invoice_date], SMALL(IF(ISNUMBER(MATCH(orderHistory[customer], $E$9, 0)), MATCH(ROW(orderHistory[customer]),ROW(orderHistory[customer])), ""), ROWS($A$1:A29)+$B$3))),"")</f>
        <v/>
      </c>
      <c r="S38" s="607" t="str">
        <f t="array" ref="S38">IFERROR(IF($E$9="ALL",INDEX(orderHistory[payed],ROW()-9+$B$3),INDEX(orderHistory[payed], SMALL(IF(ISNUMBER(MATCH(orderHistory[customer], $E$9, 0)), MATCH(ROW(orderHistory[customer]),ROW(orderHistory[customer])), ""), ROWS($A$1:A29)+$B$3))),"")</f>
        <v/>
      </c>
      <c r="T38" s="605" t="str">
        <f t="array" ref="T38">IFERROR(IF($E$9="ALL",INDEX(orderHistory[payment_date],ROW()-9+$B$3),INDEX(orderHistory[payment_date], SMALL(IF(ISNUMBER(MATCH(orderHistory[customer], $E$9, 0)), MATCH(ROW(orderHistory[customer]),ROW(orderHistory[customer])), ""), ROWS($A$1:A29)+$B$3))),"")</f>
        <v/>
      </c>
      <c r="U38" s="608" t="str">
        <f t="array" ref="U38">IFERROR(IF($E$9="ALL",INDEX(orderHistory[amount_sold],ROW()-9+$B$3),INDEX(orderHistory[amount_sold], SMALL(IF(ISNUMBER(MATCH(orderHistory[customer], $E$9, 0)), MATCH(ROW(orderHistory[customer]),ROW(orderHistory[customer])), ""), ROWS($A$1:A29)+$B$3))),"")</f>
        <v/>
      </c>
      <c r="V38" s="609" t="str">
        <f t="array" ref="V38">IFERROR(IF($E$9="ALL",INDEX(orderHistory[status],ROW()-9+$B$3),INDEX(orderHistory[status], SMALL(IF(ISNUMBER(MATCH(orderHistory[customer], $E$9, 0)), MATCH(ROW(orderHistory[customer]),ROW(orderHistory[customer])), ""), ROWS($A$1:A29)+$B$3))),"")</f>
        <v/>
      </c>
      <c r="W38" s="589"/>
      <c r="AQ38" s="592"/>
      <c r="AR38" s="344"/>
      <c r="AS38" s="344"/>
      <c r="AT38" s="344"/>
      <c r="AU38" s="345"/>
      <c r="AW38" s="622"/>
      <c r="AX38" s="623"/>
      <c r="AY38" s="623"/>
      <c r="AZ38" s="623"/>
      <c r="BA38" s="623"/>
      <c r="BB38" s="623"/>
      <c r="BC38" s="623"/>
      <c r="BD38" s="623"/>
      <c r="BE38" s="623"/>
      <c r="BF38" s="623"/>
      <c r="BG38" s="623"/>
      <c r="BH38" s="623"/>
      <c r="BI38" s="623"/>
      <c r="BJ38" s="623"/>
      <c r="BK38" s="624"/>
      <c r="BL38" s="589"/>
      <c r="BO38" s="630" t="str">
        <f t="array" ref="BO38">IFERROR(IF($AO$9="ALL",INDEX(orderHistory[order_id],ROW()-9),INDEX(orderHistory[order_id], MATCH(0, IF($AO$9=orderHistory[customer],COUNTIF($BO$9:$BO37,orderHistory[order_id]), "")), 0)),"")</f>
        <v/>
      </c>
    </row>
    <row r="39" spans="5:77" ht="15.5">
      <c r="G39" s="355" t="s">
        <v>545</v>
      </c>
      <c r="H39" s="574">
        <f>H38*7%</f>
        <v>917.00000000000011</v>
      </c>
      <c r="I39" s="575"/>
      <c r="J39" s="344"/>
      <c r="K39" s="345"/>
      <c r="M39" s="604" t="str">
        <f t="array" ref="M39">IFERROR(IF($E$9="ALL",INDEX(orderHistory[order_id],ROW()-9+$B$3),INDEX(orderHistory[order_id], SMALL(IF(ISNUMBER(MATCH(orderHistory[customer], $E$9, 0)), MATCH(ROW(orderHistory[customer]),ROW(orderHistory[customer])), ""), ROWS($A$1:A30)+$B$3))),"")</f>
        <v/>
      </c>
      <c r="N39" s="605" t="str">
        <f t="array" ref="N39">IFERROR(IF($E$9="ALL",INDEX(orderHistory[order_date],ROW()-9+$B$3),INDEX(orderHistory[order_date], SMALL(IF(ISNUMBER(MATCH(orderHistory[customer], $E$9, 0)), MATCH(ROW(orderHistory[customer]),ROW(orderHistory[customer])), ""), ROWS($A$1:A30)+$B$3))),"")</f>
        <v/>
      </c>
      <c r="O39" s="606" t="str">
        <f t="array" ref="O39">IFERROR(IF($E$9="ALL",INDEX(orderHistory[carton_no],ROW()-9+$B$3),INDEX(orderHistory[carton_no], SMALL(IF(ISNUMBER(MATCH(orderHistory[customer], $E$9, 0)), MATCH(ROW(orderHistory[customer]),ROW(orderHistory[customer])), ""), ROWS($A$1:A30)+$B$3))),"")</f>
        <v/>
      </c>
      <c r="P39" s="606" t="str">
        <f t="array" ref="P39">IFERROR(IF($E$9="ALL",INDEX(orderHistory[pallet_no],ROW()-9+$B$3),INDEX(orderHistory[pallet_no], SMALL(IF(ISNUMBER(MATCH(orderHistory[customer], $E$9, 0)), MATCH(ROW(orderHistory[customer]),ROW(orderHistory[customer])), ""), ROWS($A$1:A30)+$B$3))),"")</f>
        <v/>
      </c>
      <c r="Q39" s="606" t="str">
        <f t="array" ref="Q39">IFERROR(IF($E$9="ALL",INDEX(orderHistory[invoice_no],ROW()-9+$B$3),INDEX(orderHistory[invoice_no], SMALL(IF(ISNUMBER(MATCH(orderHistory[customer], $E$9, 0)), MATCH(ROW(orderHistory[customer]),ROW(orderHistory[customer])), ""), ROWS($A$1:A30)+$B$3))),"")</f>
        <v/>
      </c>
      <c r="R39" s="605" t="str">
        <f t="array" ref="R39">IFERROR(IF($E$9="ALL",INDEX(orderHistory[invoice_date],ROW()-9+$B$3),INDEX(orderHistory[invoice_date], SMALL(IF(ISNUMBER(MATCH(orderHistory[customer], $E$9, 0)), MATCH(ROW(orderHistory[customer]),ROW(orderHistory[customer])), ""), ROWS($A$1:A30)+$B$3))),"")</f>
        <v/>
      </c>
      <c r="S39" s="607" t="str">
        <f t="array" ref="S39">IFERROR(IF($E$9="ALL",INDEX(orderHistory[payed],ROW()-9+$B$3),INDEX(orderHistory[payed], SMALL(IF(ISNUMBER(MATCH(orderHistory[customer], $E$9, 0)), MATCH(ROW(orderHistory[customer]),ROW(orderHistory[customer])), ""), ROWS($A$1:A30)+$B$3))),"")</f>
        <v/>
      </c>
      <c r="T39" s="605" t="str">
        <f t="array" ref="T39">IFERROR(IF($E$9="ALL",INDEX(orderHistory[payment_date],ROW()-9+$B$3),INDEX(orderHistory[payment_date], SMALL(IF(ISNUMBER(MATCH(orderHistory[customer], $E$9, 0)), MATCH(ROW(orderHistory[customer]),ROW(orderHistory[customer])), ""), ROWS($A$1:A30)+$B$3))),"")</f>
        <v/>
      </c>
      <c r="U39" s="608" t="str">
        <f t="array" ref="U39">IFERROR(IF($E$9="ALL",INDEX(orderHistory[amount_sold],ROW()-9+$B$3),INDEX(orderHistory[amount_sold], SMALL(IF(ISNUMBER(MATCH(orderHistory[customer], $E$9, 0)), MATCH(ROW(orderHistory[customer]),ROW(orderHistory[customer])), ""), ROWS($A$1:A30)+$B$3))),"")</f>
        <v/>
      </c>
      <c r="V39" s="609" t="str">
        <f t="array" ref="V39">IFERROR(IF($E$9="ALL",INDEX(orderHistory[status],ROW()-9+$B$3),INDEX(orderHistory[status], SMALL(IF(ISNUMBER(MATCH(orderHistory[customer], $E$9, 0)), MATCH(ROW(orderHistory[customer]),ROW(orderHistory[customer])), ""), ROWS($A$1:A30)+$B$3))),"")</f>
        <v/>
      </c>
      <c r="W39" s="589"/>
      <c r="AQ39" s="592"/>
      <c r="AR39" s="344"/>
      <c r="AS39" s="344"/>
      <c r="AT39" s="344"/>
      <c r="AU39" s="345"/>
      <c r="AW39" s="622"/>
      <c r="AX39" s="623"/>
      <c r="AY39" s="623"/>
      <c r="AZ39" s="623"/>
      <c r="BA39" s="623"/>
      <c r="BB39" s="623"/>
      <c r="BC39" s="623"/>
      <c r="BD39" s="623"/>
      <c r="BE39" s="623"/>
      <c r="BF39" s="623"/>
      <c r="BG39" s="623"/>
      <c r="BH39" s="623"/>
      <c r="BI39" s="623"/>
      <c r="BJ39" s="623"/>
      <c r="BK39" s="624"/>
      <c r="BL39" s="589"/>
      <c r="BO39" s="630" t="str">
        <f t="array" ref="BO39">IFERROR(IF($AO$9="ALL",INDEX(orderHistory[order_id],ROW()-9),INDEX(orderHistory[order_id], MATCH(0, IF($AO$9=orderHistory[customer],COUNTIF($BO$9:$BO38,orderHistory[order_id]), "")), 0)),"")</f>
        <v/>
      </c>
    </row>
    <row r="40" spans="5:77" ht="15" thickBot="1">
      <c r="G40" s="378"/>
      <c r="H40" s="347"/>
      <c r="I40" s="347"/>
      <c r="J40" s="347"/>
      <c r="K40" s="348"/>
      <c r="M40" s="613" t="str">
        <f t="array" ref="M40">IFERROR(IF($E$9="ALL",INDEX(orderHistory[order_id],ROW()-9+$B$3),INDEX(orderHistory[order_id], SMALL(IF(ISNUMBER(MATCH(orderHistory[customer], $E$9, 0)), MATCH(ROW(orderHistory[customer]),ROW(orderHistory[customer])), ""), ROWS($A$1:A31)+$B$3))),"")</f>
        <v/>
      </c>
      <c r="N40" s="614" t="str">
        <f t="array" ref="N40">IFERROR(IF($E$9="ALL",INDEX(orderHistory[order_date],ROW()-9+$B$3),INDEX(orderHistory[order_date], SMALL(IF(ISNUMBER(MATCH(orderHistory[customer], $E$9, 0)), MATCH(ROW(orderHistory[customer]),ROW(orderHistory[customer])), ""), ROWS($A$1:A31)+$B$3))),"")</f>
        <v/>
      </c>
      <c r="O40" s="615" t="str">
        <f t="array" ref="O40">IFERROR(IF($E$9="ALL",INDEX(orderHistory[carton_no],ROW()-9+$B$3),INDEX(orderHistory[carton_no], SMALL(IF(ISNUMBER(MATCH(orderHistory[customer], $E$9, 0)), MATCH(ROW(orderHistory[customer]),ROW(orderHistory[customer])), ""), ROWS($A$1:A31)+$B$3))),"")</f>
        <v/>
      </c>
      <c r="P40" s="615" t="str">
        <f t="array" ref="P40">IFERROR(IF($E$9="ALL",INDEX(orderHistory[pallet_no],ROW()-9+$B$3),INDEX(orderHistory[pallet_no], SMALL(IF(ISNUMBER(MATCH(orderHistory[customer], $E$9, 0)), MATCH(ROW(orderHistory[customer]),ROW(orderHistory[customer])), ""), ROWS($A$1:A31)+$B$3))),"")</f>
        <v/>
      </c>
      <c r="Q40" s="615" t="str">
        <f t="array" ref="Q40">IFERROR(IF($E$9="ALL",INDEX(orderHistory[invoice_no],ROW()-9+$B$3),INDEX(orderHistory[invoice_no], SMALL(IF(ISNUMBER(MATCH(orderHistory[customer], $E$9, 0)), MATCH(ROW(orderHistory[customer]),ROW(orderHistory[customer])), ""), ROWS($A$1:A31)+$B$3))),"")</f>
        <v/>
      </c>
      <c r="R40" s="614" t="str">
        <f t="array" ref="R40">IFERROR(IF($E$9="ALL",INDEX(orderHistory[invoice_date],ROW()-9+$B$3),INDEX(orderHistory[invoice_date], SMALL(IF(ISNUMBER(MATCH(orderHistory[customer], $E$9, 0)), MATCH(ROW(orderHistory[customer]),ROW(orderHistory[customer])), ""), ROWS($A$1:A31)+$B$3))),"")</f>
        <v/>
      </c>
      <c r="S40" s="616" t="str">
        <f t="array" ref="S40">IFERROR(IF($E$9="ALL",INDEX(orderHistory[payed],ROW()-9+$B$3),INDEX(orderHistory[payed], SMALL(IF(ISNUMBER(MATCH(orderHistory[customer], $E$9, 0)), MATCH(ROW(orderHistory[customer]),ROW(orderHistory[customer])), ""), ROWS($A$1:A31)+$B$3))),"")</f>
        <v/>
      </c>
      <c r="T40" s="614" t="str">
        <f t="array" ref="T40">IFERROR(IF($E$9="ALL",INDEX(orderHistory[payment_date],ROW()-9+$B$3),INDEX(orderHistory[payment_date], SMALL(IF(ISNUMBER(MATCH(orderHistory[customer], $E$9, 0)), MATCH(ROW(orderHistory[customer]),ROW(orderHistory[customer])), ""), ROWS($A$1:A31)+$B$3))),"")</f>
        <v/>
      </c>
      <c r="U40" s="617" t="str">
        <f t="array" ref="U40">IFERROR(IF($E$9="ALL",INDEX(orderHistory[amount_sold],ROW()-9+$B$3),INDEX(orderHistory[amount_sold], SMALL(IF(ISNUMBER(MATCH(orderHistory[customer], $E$9, 0)), MATCH(ROW(orderHistory[customer]),ROW(orderHistory[customer])), ""), ROWS($A$1:A31)+$B$3))),"")</f>
        <v/>
      </c>
      <c r="V40" s="618" t="str">
        <f t="array" ref="V40">IFERROR(IF($E$9="ALL",INDEX(orderHistory[status],ROW()-9+$B$3),INDEX(orderHistory[status], SMALL(IF(ISNUMBER(MATCH(orderHistory[customer], $E$9, 0)), MATCH(ROW(orderHistory[customer]),ROW(orderHistory[customer])), ""), ROWS($A$1:A31)+$B$3))),"")</f>
        <v/>
      </c>
      <c r="W40" s="591"/>
      <c r="AQ40" s="346"/>
      <c r="AR40" s="347"/>
      <c r="AS40" s="347"/>
      <c r="AT40" s="347"/>
      <c r="AU40" s="348"/>
      <c r="AW40" s="626"/>
      <c r="AX40" s="627"/>
      <c r="AY40" s="627"/>
      <c r="AZ40" s="627"/>
      <c r="BA40" s="627"/>
      <c r="BB40" s="627"/>
      <c r="BC40" s="627"/>
      <c r="BD40" s="627"/>
      <c r="BE40" s="627"/>
      <c r="BF40" s="627"/>
      <c r="BG40" s="627"/>
      <c r="BH40" s="627"/>
      <c r="BI40" s="627"/>
      <c r="BJ40" s="627"/>
      <c r="BK40" s="628"/>
      <c r="BL40" s="591"/>
      <c r="BO40" s="631" t="str">
        <f t="array" ref="BO40">IFERROR(IF($AO$9="ALL",INDEX(orderHistory[order_id],ROW()-9),INDEX(orderHistory[order_id], MATCH(0, IF($AO$9=orderHistory[customer],COUNTIF($BO$9:$BO39,orderHistory[order_id]), "")), 0)),"")</f>
        <v/>
      </c>
    </row>
    <row r="41" spans="5:77">
      <c r="BO41" s="631" t="str">
        <f t="array" ref="BO41">IFERROR(IF($AO$9="ALL",INDEX(orderHistory[order_id],ROW()-9),INDEX(orderHistory[order_id], MATCH(0, IF($AO$9=orderHistory[customer],COUNTIF($BO$9:$BO40,orderHistory[order_id]), "")), 0)),"")</f>
        <v/>
      </c>
    </row>
    <row r="42" spans="5:77">
      <c r="BO42" s="631" t="str">
        <f t="array" ref="BO42">IFERROR(IF($AO$9="ALL",INDEX(orderHistory[order_id],ROW()-9),INDEX(orderHistory[order_id], MATCH(0, IF($AO$9=orderHistory[customer],COUNTIF($BO$9:$BO41,orderHistory[order_id]), "")), 0)),"")</f>
        <v/>
      </c>
    </row>
    <row r="43" spans="5:77">
      <c r="BO43" s="631" t="str">
        <f t="array" ref="BO43">IFERROR(IF($AO$9="ALL",INDEX(orderHistory[order_id],ROW()-9),INDEX(orderHistory[order_id], MATCH(0, IF($AO$9=orderHistory[customer],COUNTIF($BO$9:$BO42,orderHistory[order_id]), "")), 0)),"")</f>
        <v/>
      </c>
    </row>
    <row r="44" spans="5:77">
      <c r="BO44" s="631" t="str">
        <f t="array" ref="BO44">IFERROR(IF($AO$9="ALL",INDEX(orderHistory[order_id],ROW()-9),INDEX(orderHistory[order_id], MATCH(0, IF($AO$9=orderHistory[customer],COUNTIF($BO$9:$BO43,orderHistory[order_id]), "")), 0)),"")</f>
        <v/>
      </c>
    </row>
    <row r="45" spans="5:77">
      <c r="BO45" s="631" t="str">
        <f t="array" ref="BO45">IFERROR(IF($AO$9="ALL",INDEX(orderHistory[order_id],ROW()-9),INDEX(orderHistory[order_id], MATCH(0, IF($AO$9=orderHistory[customer],COUNTIF($BO$9:$BO44,orderHistory[order_id]), "")), 0)),"")</f>
        <v/>
      </c>
    </row>
    <row r="46" spans="5:77">
      <c r="N46" s="372"/>
      <c r="BO46" s="631" t="str">
        <f t="array" ref="BO46">IFERROR(IF($AO$9="ALL",INDEX(orderHistory[order_id],ROW()-9),INDEX(orderHistory[order_id], MATCH(0, IF($AO$9=orderHistory[customer],COUNTIF($BO$9:$BO45,orderHistory[order_id]), "")), 0)),"")</f>
        <v/>
      </c>
    </row>
    <row r="47" spans="5:77">
      <c r="BO47" s="631" t="str">
        <f t="array" ref="BO47">IFERROR(IF($AO$9="ALL",INDEX(orderHistory[order_id],ROW()-9),INDEX(orderHistory[order_id], MATCH(0, IF($AO$9=orderHistory[customer],COUNTIF($BO$9:$BO46,orderHistory[order_id]), "")), 0)),"")</f>
        <v/>
      </c>
    </row>
    <row r="48" spans="5:77">
      <c r="J48" s="207"/>
      <c r="K48" s="207"/>
      <c r="L48" s="207"/>
      <c r="M48" s="207"/>
      <c r="BO48" s="631" t="str">
        <f t="array" ref="BO48">IFERROR(IF($AO$9="ALL",INDEX(orderHistory[order_id],ROW()-9),INDEX(orderHistory[order_id], MATCH(0, IF($AO$9=orderHistory[customer],COUNTIF($BO$9:$BO47,orderHistory[order_id]), "")), 0)),"")</f>
        <v/>
      </c>
    </row>
    <row r="49" spans="10:67">
      <c r="J49" s="207"/>
      <c r="K49" s="207"/>
      <c r="L49" s="207"/>
      <c r="M49" s="207"/>
      <c r="BO49" s="631" t="str">
        <f t="array" ref="BO49">IFERROR(IF($AO$9="ALL",INDEX(orderHistory[order_id],ROW()-9),INDEX(orderHistory[order_id], MATCH(0, IF($AO$9=orderHistory[customer],COUNTIF($BO$9:$BO48,orderHistory[order_id]), "")), 0)),"")</f>
        <v/>
      </c>
    </row>
    <row r="50" spans="10:67">
      <c r="J50" s="207"/>
      <c r="K50" s="207"/>
      <c r="L50" s="207"/>
      <c r="M50" s="207"/>
      <c r="BO50" s="631" t="str">
        <f t="array" ref="BO50">IFERROR(IF($AO$9="ALL",INDEX(orderHistory[order_id],ROW()-9),INDEX(orderHistory[order_id], MATCH(0, IF($AO$9=orderHistory[customer],COUNTIF($BO$9:$BO49,orderHistory[order_id]), "")), 0)),"")</f>
        <v/>
      </c>
    </row>
    <row r="51" spans="10:67">
      <c r="J51" s="207"/>
      <c r="K51" s="207"/>
      <c r="L51" s="207"/>
      <c r="M51" s="207"/>
      <c r="BO51" s="631" t="str">
        <f t="array" ref="BO51">IFERROR(IF($AO$9="ALL",INDEX(orderHistory[order_id],ROW()-9),INDEX(orderHistory[order_id], MATCH(0, IF($AO$9=orderHistory[customer],COUNTIF($BO$9:$BO50,orderHistory[order_id]), "")), 0)),"")</f>
        <v/>
      </c>
    </row>
    <row r="52" spans="10:67">
      <c r="J52" s="207"/>
      <c r="K52" s="207"/>
      <c r="L52" s="207"/>
      <c r="M52" s="207"/>
      <c r="BO52" s="631" t="str">
        <f t="array" ref="BO52">IFERROR(IF($AO$9="ALL",INDEX(orderHistory[order_id],ROW()-9),INDEX(orderHistory[order_id], MATCH(0, IF($AO$9=orderHistory[customer],COUNTIF($BO$9:$BO51,orderHistory[order_id]), "")), 0)),"")</f>
        <v/>
      </c>
    </row>
    <row r="53" spans="10:67">
      <c r="K53" s="207"/>
      <c r="BO53" s="631" t="str">
        <f t="array" ref="BO53">IFERROR(IF($AO$9="ALL",INDEX(orderHistory[order_id],ROW()-9),INDEX(orderHistory[order_id], MATCH(0, IF($AO$9=orderHistory[customer],COUNTIF($BO$9:$BO52,orderHistory[order_id]), "")), 0)),"")</f>
        <v/>
      </c>
    </row>
    <row r="54" spans="10:67">
      <c r="BO54" s="631" t="str">
        <f t="array" ref="BO54">IFERROR(IF($AO$9="ALL",INDEX(orderHistory[order_id],ROW()-9),INDEX(orderHistory[order_id], MATCH(0, IF($AO$9=orderHistory[customer],COUNTIF($BO$9:$BO53,orderHistory[order_id]), "")), 0)),"")</f>
        <v/>
      </c>
    </row>
    <row r="55" spans="10:67">
      <c r="BO55" s="631" t="str">
        <f t="array" ref="BO55">IFERROR(IF($AO$9="ALL",INDEX(orderHistory[order_id],ROW()-9),INDEX(orderHistory[order_id], MATCH(0, IF($AO$9=orderHistory[customer],COUNTIF($BO$9:$BO54,orderHistory[order_id]), "")), 0)),"")</f>
        <v/>
      </c>
    </row>
    <row r="56" spans="10:67">
      <c r="BO56" s="631" t="str">
        <f t="array" ref="BO56">IFERROR(IF($AO$9="ALL",INDEX(orderHistory[order_id],ROW()-9),INDEX(orderHistory[order_id], MATCH(0, IF($AO$9=orderHistory[customer],COUNTIF($BO$9:$BO55,orderHistory[order_id]), "")), 0)),"")</f>
        <v/>
      </c>
    </row>
    <row r="57" spans="10:67">
      <c r="BO57" s="631" t="str">
        <f t="array" ref="BO57">IFERROR(IF($AO$9="ALL",INDEX(orderHistory[order_id],ROW()-9),INDEX(orderHistory[order_id], MATCH(0, IF($AO$9=orderHistory[customer],COUNTIF($BO$9:$BO56,orderHistory[order_id]), "")), 0)),"")</f>
        <v/>
      </c>
    </row>
    <row r="58" spans="10:67">
      <c r="BO58" s="631" t="str">
        <f t="array" ref="BO58">IFERROR(IF($AO$9="ALL",INDEX(orderHistory[order_id],ROW()-9),INDEX(orderHistory[order_id], MATCH(0, IF($AO$9=orderHistory[customer],COUNTIF($BO$9:$BO57,orderHistory[order_id]), "")), 0)),"")</f>
        <v/>
      </c>
    </row>
    <row r="59" spans="10:67">
      <c r="BO59" s="631" t="str">
        <f t="array" ref="BO59">IFERROR(IF($AO$9="ALL",INDEX(orderHistory[order_id],ROW()-9),INDEX(orderHistory[order_id], MATCH(0, IF($AO$9=orderHistory[customer],COUNTIF($BO$9:$BO58,orderHistory[order_id]), "")), 0)),"")</f>
        <v/>
      </c>
    </row>
    <row r="60" spans="10:67">
      <c r="BO60" s="631" t="str">
        <f t="array" ref="BO60">IFERROR(IF($AO$9="ALL",INDEX(orderHistory[order_id],ROW()-9),INDEX(orderHistory[order_id], MATCH(0, IF($AO$9=orderHistory[customer],COUNTIF($BO$9:$BO59,orderHistory[order_id]), "")), 0)),"")</f>
        <v/>
      </c>
    </row>
    <row r="61" spans="10:67">
      <c r="BO61" s="631" t="str">
        <f t="array" ref="BO61">IFERROR(IF($AO$9="ALL",INDEX(orderHistory[order_id],ROW()-9),INDEX(orderHistory[order_id], MATCH(0, IF($AO$9=orderHistory[customer],COUNTIF($BO$9:$BO60,orderHistory[order_id]), "")), 0)),"")</f>
        <v/>
      </c>
    </row>
    <row r="62" spans="10:67">
      <c r="BO62" s="631" t="str">
        <f t="array" ref="BO62">IFERROR(IF($AO$9="ALL",INDEX(orderHistory[order_id],ROW()-9),INDEX(orderHistory[order_id], MATCH(0, IF($AO$9=orderHistory[customer],COUNTIF($BO$9:$BO61,orderHistory[order_id]), "")), 0)),"")</f>
        <v/>
      </c>
    </row>
    <row r="63" spans="10:67">
      <c r="BO63" s="631" t="str">
        <f t="array" ref="BO63">IFERROR(IF($AO$9="ALL",INDEX(orderHistory[order_id],ROW()-9),INDEX(orderHistory[order_id], MATCH(0, IF($AO$9=orderHistory[customer],COUNTIF($BO$9:$BO62,orderHistory[order_id]), "")), 0)),"")</f>
        <v/>
      </c>
    </row>
    <row r="64" spans="10:67">
      <c r="BO64" s="631" t="str">
        <f t="array" ref="BO64">IFERROR(IF($AO$9="ALL",INDEX(orderHistory[order_id],ROW()-9),INDEX(orderHistory[order_id], MATCH(0, IF($AO$9=orderHistory[customer],COUNTIF($BO$9:$BO63,orderHistory[order_id]), "")), 0)),"")</f>
        <v/>
      </c>
    </row>
    <row r="65" spans="67:67">
      <c r="BO65" s="631" t="str">
        <f t="array" ref="BO65">IFERROR(IF($AO$9="ALL",INDEX(orderHistory[order_id],ROW()-9),INDEX(orderHistory[order_id], MATCH(0, IF($AO$9=orderHistory[customer],COUNTIF($BO$9:$BO64,orderHistory[order_id]), "")), 0)),"")</f>
        <v/>
      </c>
    </row>
    <row r="66" spans="67:67">
      <c r="BO66" s="631" t="str">
        <f t="array" ref="BO66">IFERROR(IF($AO$9="ALL",INDEX(orderHistory[order_id],ROW()-9),INDEX(orderHistory[order_id], MATCH(0, IF($AO$9=orderHistory[customer],COUNTIF($BO$9:$BO65,orderHistory[order_id]), "")), 0)),"")</f>
        <v/>
      </c>
    </row>
    <row r="67" spans="67:67">
      <c r="BO67" s="631" t="str">
        <f t="array" ref="BO67">IFERROR(IF($AO$9="ALL",INDEX(orderHistory[order_id],ROW()-9),INDEX(orderHistory[order_id], MATCH(0, IF($AO$9=orderHistory[customer],COUNTIF($BO$9:$BO66,orderHistory[order_id]), "")), 0)),"")</f>
        <v/>
      </c>
    </row>
    <row r="68" spans="67:67">
      <c r="BO68" s="631" t="str">
        <f t="array" ref="BO68">IFERROR(IF($AO$9="ALL",INDEX(orderHistory[order_id],ROW()-9),INDEX(orderHistory[order_id], MATCH(0, IF($AO$9=orderHistory[customer],COUNTIF($BO$9:$BO67,orderHistory[order_id]), "")), 0)),"")</f>
        <v/>
      </c>
    </row>
    <row r="69" spans="67:67">
      <c r="BO69" s="631" t="str">
        <f t="array" ref="BO69">IFERROR(IF($AO$9="ALL",INDEX(orderHistory[order_id],ROW()-9),INDEX(orderHistory[order_id], MATCH(0, IF($AO$9=orderHistory[customer],COUNTIF($BO$9:$BO68,orderHistory[order_id]), "")), 0)),"")</f>
        <v/>
      </c>
    </row>
    <row r="70" spans="67:67">
      <c r="BO70" s="631" t="str">
        <f t="array" ref="BO70">IFERROR(IF($AO$9="ALL",INDEX(orderHistory[order_id],ROW()-9),INDEX(orderHistory[order_id], MATCH(0, IF($AO$9=orderHistory[customer],COUNTIF($BO$9:$BO69,orderHistory[order_id]), "")), 0)),"")</f>
        <v/>
      </c>
    </row>
    <row r="71" spans="67:67">
      <c r="BO71" s="631" t="str">
        <f t="array" ref="BO71">IFERROR(IF($AO$9="ALL",INDEX(orderHistory[order_id],ROW()-9),INDEX(orderHistory[order_id], MATCH(0, IF($AO$9=orderHistory[customer],COUNTIF($BO$9:$BO70,orderHistory[order_id]), "")), 0)),"")</f>
        <v/>
      </c>
    </row>
    <row r="72" spans="67:67">
      <c r="BO72" s="631" t="str">
        <f t="array" ref="BO72">IFERROR(IF($AO$9="ALL",INDEX(orderHistory[order_id],ROW()-9),INDEX(orderHistory[order_id], MATCH(0, IF($AO$9=orderHistory[customer],COUNTIF($BO$9:$BO71,orderHistory[order_id]), "")), 0)),"")</f>
        <v/>
      </c>
    </row>
    <row r="73" spans="67:67">
      <c r="BO73" s="631" t="str">
        <f t="array" ref="BO73">IFERROR(IF($AO$9="ALL",INDEX(orderHistory[order_id],ROW()-9),INDEX(orderHistory[order_id], MATCH(0, IF($AO$9=orderHistory[customer],COUNTIF($BO$9:$BO72,orderHistory[order_id]), "")), 0)),"")</f>
        <v/>
      </c>
    </row>
    <row r="74" spans="67:67">
      <c r="BO74" s="631" t="str">
        <f t="array" ref="BO74">IFERROR(IF($AO$9="ALL",INDEX(orderHistory[order_id],ROW()-9),INDEX(orderHistory[order_id], MATCH(0, IF($AO$9=orderHistory[customer],COUNTIF($BO$9:$BO73,orderHistory[order_id]), "")), 0)),"")</f>
        <v/>
      </c>
    </row>
    <row r="75" spans="67:67">
      <c r="BO75" s="631" t="str">
        <f t="array" ref="BO75">IFERROR(IF($AO$9="ALL",INDEX(orderHistory[order_id],ROW()-9),INDEX(orderHistory[order_id], MATCH(0, IF($AO$9=orderHistory[customer],COUNTIF($BO$9:$BO74,orderHistory[order_id]), "")), 0)),"")</f>
        <v/>
      </c>
    </row>
    <row r="76" spans="67:67">
      <c r="BO76" s="631" t="str">
        <f t="array" ref="BO76">IFERROR(IF($AO$9="ALL",INDEX(orderHistory[order_id],ROW()-9),INDEX(orderHistory[order_id], MATCH(0, IF($AO$9=orderHistory[customer],COUNTIF($BO$9:$BO75,orderHistory[order_id]), "")), 0)),"")</f>
        <v/>
      </c>
    </row>
    <row r="77" spans="67:67">
      <c r="BO77" s="631" t="str">
        <f t="array" ref="BO77">IFERROR(IF($AO$9="ALL",INDEX(orderHistory[order_id],ROW()-9),INDEX(orderHistory[order_id], MATCH(0, IF($AO$9=orderHistory[customer],COUNTIF($BO$9:$BO76,orderHistory[order_id]), "")), 0)),"")</f>
        <v/>
      </c>
    </row>
    <row r="78" spans="67:67">
      <c r="BO78" s="631" t="str">
        <f t="array" ref="BO78">IFERROR(IF($AO$9="ALL",INDEX(orderHistory[order_id],ROW()-9),INDEX(orderHistory[order_id], MATCH(0, IF($AO$9=orderHistory[customer],COUNTIF($BO$9:$BO77,orderHistory[order_id]), "")), 0)),"")</f>
        <v/>
      </c>
    </row>
    <row r="79" spans="67:67">
      <c r="BO79" s="631" t="str">
        <f t="array" ref="BO79">IFERROR(IF($AO$9="ALL",INDEX(orderHistory[order_id],ROW()-9),INDEX(orderHistory[order_id], MATCH(0, IF($AO$9=orderHistory[customer],COUNTIF($BO$9:$BO78,orderHistory[order_id]), "")), 0)),"")</f>
        <v/>
      </c>
    </row>
    <row r="80" spans="67:67">
      <c r="BO80" s="631" t="str">
        <f t="array" ref="BO80">IFERROR(IF($AO$9="ALL",INDEX(orderHistory[order_id],ROW()-9),INDEX(orderHistory[order_id], MATCH(0, IF($AO$9=orderHistory[customer],COUNTIF($BO$9:$BO79,orderHistory[order_id]), "")), 0)),"")</f>
        <v/>
      </c>
    </row>
    <row r="81" spans="67:67">
      <c r="BO81" s="631" t="str">
        <f t="array" ref="BO81">IFERROR(IF($AO$9="ALL",INDEX(orderHistory[order_id],ROW()-9),INDEX(orderHistory[order_id], MATCH(0, IF($AO$9=orderHistory[customer],COUNTIF($BO$9:$BO80,orderHistory[order_id]), "")), 0)),"")</f>
        <v/>
      </c>
    </row>
    <row r="82" spans="67:67">
      <c r="BO82" s="631" t="str">
        <f t="array" ref="BO82">IFERROR(IF($AO$9="ALL",INDEX(orderHistory[order_id],ROW()-9),INDEX(orderHistory[order_id], MATCH(0, IF($AO$9=orderHistory[customer],COUNTIF($BO$9:$BO81,orderHistory[order_id]), "")), 0)),"")</f>
        <v/>
      </c>
    </row>
    <row r="83" spans="67:67">
      <c r="BO83" s="631" t="str">
        <f t="array" ref="BO83">IFERROR(IF($AO$9="ALL",INDEX(orderHistory[order_id],ROW()-9),INDEX(orderHistory[order_id], MATCH(0, IF($AO$9=orderHistory[customer],COUNTIF($BO$9:$BO82,orderHistory[order_id]), "")), 0)),"")</f>
        <v/>
      </c>
    </row>
    <row r="84" spans="67:67">
      <c r="BO84" s="631" t="str">
        <f t="array" ref="BO84">IFERROR(IF($AO$9="ALL",INDEX(orderHistory[order_id],ROW()-9),INDEX(orderHistory[order_id], MATCH(0, IF($AO$9=orderHistory[customer],COUNTIF($BO$9:$BO83,orderHistory[order_id]), "")), 0)),"")</f>
        <v/>
      </c>
    </row>
    <row r="85" spans="67:67">
      <c r="BO85" s="631" t="str">
        <f t="array" ref="BO85">IFERROR(IF($AO$9="ALL",INDEX(orderHistory[order_id],ROW()-9),INDEX(orderHistory[order_id], MATCH(0, IF($AO$9=orderHistory[customer],COUNTIF($BO$9:$BO84,orderHistory[order_id]), "")), 0)),"")</f>
        <v/>
      </c>
    </row>
    <row r="86" spans="67:67">
      <c r="BO86" s="631" t="str">
        <f t="array" ref="BO86">IFERROR(IF($AO$9="ALL",INDEX(orderHistory[order_id],ROW()-9),INDEX(orderHistory[order_id], MATCH(0, IF($AO$9=orderHistory[customer],COUNTIF($BO$9:$BO85,orderHistory[order_id]), "")), 0)),"")</f>
        <v/>
      </c>
    </row>
    <row r="87" spans="67:67">
      <c r="BO87" s="631" t="str">
        <f t="array" ref="BO87">IFERROR(IF($AO$9="ALL",INDEX(orderHistory[order_id],ROW()-9),INDEX(orderHistory[order_id], MATCH(0, IF($AO$9=orderHistory[customer],COUNTIF($BO$9:$BO86,orderHistory[order_id]), "")), 0)),"")</f>
        <v/>
      </c>
    </row>
    <row r="88" spans="67:67">
      <c r="BO88" s="631" t="str">
        <f t="array" ref="BO88">IFERROR(IF($AO$9="ALL",INDEX(orderHistory[order_id],ROW()-9),INDEX(orderHistory[order_id], MATCH(0, IF($AO$9=orderHistory[customer],COUNTIF($BO$9:$BO87,orderHistory[order_id]), "")), 0)),"")</f>
        <v/>
      </c>
    </row>
    <row r="89" spans="67:67">
      <c r="BO89" s="631" t="str">
        <f t="array" ref="BO89">IFERROR(IF($AO$9="ALL",INDEX(orderHistory[order_id],ROW()-9),INDEX(orderHistory[order_id], MATCH(0, IF($AO$9=orderHistory[customer],COUNTIF($BO$9:$BO88,orderHistory[order_id]), "")), 0)),"")</f>
        <v/>
      </c>
    </row>
    <row r="90" spans="67:67">
      <c r="BO90" s="631" t="str">
        <f t="array" ref="BO90">IFERROR(IF($AO$9="ALL",INDEX(orderHistory[order_id],ROW()-9),INDEX(orderHistory[order_id], MATCH(0, IF($AO$9=orderHistory[customer],COUNTIF($BO$9:$BO89,orderHistory[order_id]), "")), 0)),"")</f>
        <v/>
      </c>
    </row>
    <row r="91" spans="67:67">
      <c r="BO91" s="631" t="str">
        <f t="array" ref="BO91">IFERROR(IF($AO$9="ALL",INDEX(orderHistory[order_id],ROW()-9),INDEX(orderHistory[order_id], MATCH(0, IF($AO$9=orderHistory[customer],COUNTIF($BO$9:$BO90,orderHistory[order_id]), "")), 0)),"")</f>
        <v/>
      </c>
    </row>
    <row r="92" spans="67:67">
      <c r="BO92" s="631" t="str">
        <f t="array" ref="BO92">IFERROR(IF($AO$9="ALL",INDEX(orderHistory[order_id],ROW()-9),INDEX(orderHistory[order_id], MATCH(0, IF($AO$9=orderHistory[customer],COUNTIF($BO$9:$BO91,orderHistory[order_id]), "")), 0)),"")</f>
        <v/>
      </c>
    </row>
    <row r="93" spans="67:67">
      <c r="BO93" s="631" t="str">
        <f t="array" ref="BO93">IFERROR(IF($AO$9="ALL",INDEX(orderHistory[order_id],ROW()-9),INDEX(orderHistory[order_id], MATCH(0, IF($AO$9=orderHistory[customer],COUNTIF($BO$9:$BO92,orderHistory[order_id]), "")), 0)),"")</f>
        <v/>
      </c>
    </row>
    <row r="94" spans="67:67">
      <c r="BO94" s="631" t="str">
        <f t="array" ref="BO94">IFERROR(IF($AO$9="ALL",INDEX(orderHistory[order_id],ROW()-9),INDEX(orderHistory[order_id], MATCH(0, IF($AO$9=orderHistory[customer],COUNTIF($BO$9:$BO93,orderHistory[order_id]), "")), 0)),"")</f>
        <v/>
      </c>
    </row>
    <row r="95" spans="67:67">
      <c r="BO95" s="631" t="str">
        <f t="array" ref="BO95">IFERROR(IF($AO$9="ALL",INDEX(orderHistory[order_id],ROW()-9),INDEX(orderHistory[order_id], MATCH(0, IF($AO$9=orderHistory[customer],COUNTIF($BO$9:$BO94,orderHistory[order_id]), "")), 0)),"")</f>
        <v/>
      </c>
    </row>
    <row r="96" spans="67:67">
      <c r="BO96" s="631" t="str">
        <f t="array" ref="BO96">IFERROR(IF($AO$9="ALL",INDEX(orderHistory[order_id],ROW()-9),INDEX(orderHistory[order_id], MATCH(0, IF($AO$9=orderHistory[customer],COUNTIF($BO$9:$BO95,orderHistory[order_id]), "")), 0)),"")</f>
        <v/>
      </c>
    </row>
    <row r="97" spans="67:67">
      <c r="BO97" s="631" t="str">
        <f t="array" ref="BO97">IFERROR(IF($AO$9="ALL",INDEX(orderHistory[order_id],ROW()-9),INDEX(orderHistory[order_id], MATCH(0, IF($AO$9=orderHistory[customer],COUNTIF($BO$9:$BO96,orderHistory[order_id]), "")), 0)),"")</f>
        <v/>
      </c>
    </row>
    <row r="98" spans="67:67">
      <c r="BO98" s="631" t="str">
        <f t="array" ref="BO98">IFERROR(IF($AO$9="ALL",INDEX(orderHistory[order_id],ROW()-9),INDEX(orderHistory[order_id], MATCH(0, IF($AO$9=orderHistory[customer],COUNTIF($BO$9:$BO97,orderHistory[order_id]), "")), 0)),"")</f>
        <v/>
      </c>
    </row>
    <row r="99" spans="67:67">
      <c r="BO99" s="631" t="str">
        <f t="array" ref="BO99">IFERROR(IF($AO$9="ALL",INDEX(orderHistory[order_id],ROW()-9),INDEX(orderHistory[order_id], MATCH(0, IF($AO$9=orderHistory[customer],COUNTIF($BO$9:$BO98,orderHistory[order_id]), "")), 0)),"")</f>
        <v/>
      </c>
    </row>
    <row r="100" spans="67:67">
      <c r="BO100" s="631" t="str">
        <f t="array" ref="BO100">IFERROR(IF($AO$9="ALL",INDEX(orderHistory[order_id],ROW()-9),INDEX(orderHistory[order_id], MATCH(0, IF($AO$9=orderHistory[customer],COUNTIF($BO$9:$BO99,orderHistory[order_id]), "")), 0)),"")</f>
        <v/>
      </c>
    </row>
    <row r="101" spans="67:67">
      <c r="BO101" s="631" t="str">
        <f t="array" ref="BO101">IFERROR(IF($AO$9="ALL",INDEX(orderHistory[order_id],ROW()-9),INDEX(orderHistory[order_id], MATCH(0, IF($AO$9=orderHistory[customer],COUNTIF($BO$9:$BO100,orderHistory[order_id]), "")), 0)),"")</f>
        <v/>
      </c>
    </row>
    <row r="102" spans="67:67">
      <c r="BO102" s="631" t="str">
        <f t="array" ref="BO102">IFERROR(IF($AO$9="ALL",INDEX(orderHistory[order_id],ROW()-9),INDEX(orderHistory[order_id], MATCH(0, IF($AO$9=orderHistory[customer],COUNTIF($BO$9:$BO101,orderHistory[order_id]), "")), 0)),"")</f>
        <v/>
      </c>
    </row>
    <row r="103" spans="67:67">
      <c r="BO103" s="631" t="str">
        <f t="array" ref="BO103">IFERROR(IF($AO$9="ALL",INDEX(orderHistory[order_id],ROW()-9),INDEX(orderHistory[order_id], MATCH(0, IF($AO$9=orderHistory[customer],COUNTIF($BO$9:$BO102,orderHistory[order_id]), "")), 0)),"")</f>
        <v/>
      </c>
    </row>
    <row r="104" spans="67:67">
      <c r="BO104" s="631" t="str">
        <f t="array" ref="BO104">IFERROR(IF($AO$9="ALL",INDEX(orderHistory[order_id],ROW()-9),INDEX(orderHistory[order_id], MATCH(0, IF($AO$9=orderHistory[customer],COUNTIF($BO$9:$BO103,orderHistory[order_id]), "")), 0)),"")</f>
        <v/>
      </c>
    </row>
    <row r="105" spans="67:67">
      <c r="BO105" s="631" t="str">
        <f t="array" ref="BO105">IFERROR(IF($AO$9="ALL",INDEX(orderHistory[order_id],ROW()-9),INDEX(orderHistory[order_id], MATCH(0, IF($AO$9=orderHistory[customer],COUNTIF($BO$9:$BO104,orderHistory[order_id]), "")), 0)),"")</f>
        <v/>
      </c>
    </row>
    <row r="106" spans="67:67">
      <c r="BO106" s="631" t="str">
        <f t="array" ref="BO106">IFERROR(IF($AO$9="ALL",INDEX(orderHistory[order_id],ROW()-9),INDEX(orderHistory[order_id], MATCH(0, IF($AO$9=orderHistory[customer],COUNTIF($BO$9:$BO105,orderHistory[order_id]), "")), 0)),"")</f>
        <v/>
      </c>
    </row>
    <row r="107" spans="67:67">
      <c r="BO107" s="631" t="str">
        <f t="array" ref="BO107">IFERROR(IF($AO$9="ALL",INDEX(orderHistory[order_id],ROW()-9),INDEX(orderHistory[order_id], MATCH(0, IF($AO$9=orderHistory[customer],COUNTIF($BO$9:$BO106,orderHistory[order_id]), "")), 0)),"")</f>
        <v/>
      </c>
    </row>
    <row r="108" spans="67:67">
      <c r="BO108" s="631" t="str">
        <f t="array" ref="BO108">IFERROR(IF($AO$9="ALL",INDEX(orderHistory[order_id],ROW()-9),INDEX(orderHistory[order_id], MATCH(0, IF($AO$9=orderHistory[customer],COUNTIF($BO$9:$BO107,orderHistory[order_id]), "")), 0)),"")</f>
        <v/>
      </c>
    </row>
    <row r="109" spans="67:67">
      <c r="BO109" s="631" t="str">
        <f t="array" ref="BO109">IFERROR(IF($AO$9="ALL",INDEX(orderHistory[order_id],ROW()-9),INDEX(orderHistory[order_id], MATCH(0, IF($AO$9=orderHistory[customer],COUNTIF($BO$9:$BO108,orderHistory[order_id]), "")), 0)),"")</f>
        <v/>
      </c>
    </row>
    <row r="110" spans="67:67">
      <c r="BO110" s="631" t="str">
        <f t="array" ref="BO110">IFERROR(IF($AO$9="ALL",INDEX(orderHistory[order_id],ROW()-9),INDEX(orderHistory[order_id], MATCH(0, IF($AO$9=orderHistory[customer],COUNTIF($BO$9:$BO109,orderHistory[order_id]), "")), 0)),"")</f>
        <v/>
      </c>
    </row>
    <row r="111" spans="67:67">
      <c r="BO111" s="631" t="str">
        <f t="array" ref="BO111">IFERROR(IF($AO$9="ALL",INDEX(orderHistory[order_id],ROW()-9),INDEX(orderHistory[order_id], MATCH(0, IF($AO$9=orderHistory[customer],COUNTIF($BO$9:$BO110,orderHistory[order_id]), "")), 0)),"")</f>
        <v/>
      </c>
    </row>
    <row r="112" spans="67:67">
      <c r="BO112" s="631" t="str">
        <f t="array" ref="BO112">IFERROR(IF($AO$9="ALL",INDEX(orderHistory[order_id],ROW()-9),INDEX(orderHistory[order_id], MATCH(0, IF($AO$9=orderHistory[customer],COUNTIF($BO$9:$BO111,orderHistory[order_id]), "")), 0)),"")</f>
        <v/>
      </c>
    </row>
    <row r="113" spans="67:67">
      <c r="BO113" s="631" t="str">
        <f t="array" ref="BO113">IFERROR(IF($AO$9="ALL",INDEX(orderHistory[order_id],ROW()-9),INDEX(orderHistory[order_id], MATCH(0, IF($AO$9=orderHistory[customer],COUNTIF($BO$9:$BO112,orderHistory[order_id]), "")), 0)),"")</f>
        <v/>
      </c>
    </row>
    <row r="114" spans="67:67">
      <c r="BO114" s="631" t="str">
        <f t="array" ref="BO114">IFERROR(IF($AO$9="ALL",INDEX(orderHistory[order_id],ROW()-9),INDEX(orderHistory[order_id], MATCH(0, IF($AO$9=orderHistory[customer],COUNTIF($BO$9:$BO113,orderHistory[order_id]), "")), 0)),"")</f>
        <v/>
      </c>
    </row>
    <row r="115" spans="67:67">
      <c r="BO115" s="631" t="str">
        <f t="array" ref="BO115">IFERROR(IF($AO$9="ALL",INDEX(orderHistory[order_id],ROW()-9),INDEX(orderHistory[order_id], MATCH(0, IF($AO$9=orderHistory[customer],COUNTIF($BO$9:$BO114,orderHistory[order_id]), "")), 0)),"")</f>
        <v/>
      </c>
    </row>
    <row r="116" spans="67:67">
      <c r="BO116" s="631" t="str">
        <f t="array" ref="BO116">IFERROR(IF($AO$9="ALL",INDEX(orderHistory[order_id],ROW()-9),INDEX(orderHistory[order_id], MATCH(0, IF($AO$9=orderHistory[customer],COUNTIF($BO$9:$BO115,orderHistory[order_id]), "")), 0)),"")</f>
        <v/>
      </c>
    </row>
    <row r="117" spans="67:67">
      <c r="BO117" s="631" t="str">
        <f t="array" ref="BO117">IFERROR(IF($AO$9="ALL",INDEX(orderHistory[order_id],ROW()-9),INDEX(orderHistory[order_id], MATCH(0, IF($AO$9=orderHistory[customer],COUNTIF($BO$9:$BO116,orderHistory[order_id]), "")), 0)),"")</f>
        <v/>
      </c>
    </row>
    <row r="118" spans="67:67">
      <c r="BO118" s="631" t="str">
        <f t="array" ref="BO118">IFERROR(IF($AO$9="ALL",INDEX(orderHistory[order_id],ROW()-9),INDEX(orderHistory[order_id], MATCH(0, IF($AO$9=orderHistory[customer],COUNTIF($BO$9:$BO117,orderHistory[order_id]), "")), 0)),"")</f>
        <v/>
      </c>
    </row>
    <row r="119" spans="67:67">
      <c r="BO119" s="631" t="str">
        <f t="array" ref="BO119">IFERROR(IF($AO$9="ALL",INDEX(orderHistory[order_id],ROW()-9),INDEX(orderHistory[order_id], MATCH(0, IF($AO$9=orderHistory[customer],COUNTIF($BO$9:$BO118,orderHistory[order_id]), "")), 0)),"")</f>
        <v/>
      </c>
    </row>
    <row r="120" spans="67:67">
      <c r="BO120" s="631" t="str">
        <f t="array" ref="BO120">IFERROR(IF($AO$9="ALL",INDEX(orderHistory[order_id],ROW()-9),INDEX(orderHistory[order_id], MATCH(0, IF($AO$9=orderHistory[customer],COUNTIF($BO$9:$BO119,orderHistory[order_id]), "")), 0)),"")</f>
        <v/>
      </c>
    </row>
    <row r="121" spans="67:67">
      <c r="BO121" s="631" t="str">
        <f t="array" ref="BO121">IFERROR(IF($AO$9="ALL",INDEX(orderHistory[order_id],ROW()-9),INDEX(orderHistory[order_id], MATCH(0, IF($AO$9=orderHistory[customer],COUNTIF($BO$9:$BO120,orderHistory[order_id]), "")), 0)),"")</f>
        <v/>
      </c>
    </row>
    <row r="122" spans="67:67">
      <c r="BO122" s="631" t="str">
        <f t="array" ref="BO122">IFERROR(IF($AO$9="ALL",INDEX(orderHistory[order_id],ROW()-9),INDEX(orderHistory[order_id], MATCH(0, IF($AO$9=orderHistory[customer],COUNTIF($BO$9:$BO121,orderHistory[order_id]), "")), 0)),"")</f>
        <v/>
      </c>
    </row>
    <row r="123" spans="67:67">
      <c r="BO123" s="631" t="str">
        <f t="array" ref="BO123">IFERROR(IF($AO$9="ALL",INDEX(orderHistory[order_id],ROW()-9),INDEX(orderHistory[order_id], MATCH(0, IF($AO$9=orderHistory[customer],COUNTIF($BO$9:$BO122,orderHistory[order_id]), "")), 0)),"")</f>
        <v/>
      </c>
    </row>
    <row r="124" spans="67:67">
      <c r="BO124" s="631" t="str">
        <f t="array" ref="BO124">IFERROR(IF($AO$9="ALL",INDEX(orderHistory[order_id],ROW()-9),INDEX(orderHistory[order_id], MATCH(0, IF($AO$9=orderHistory[customer],COUNTIF($BO$9:$BO123,orderHistory[order_id]), "")), 0)),"")</f>
        <v/>
      </c>
    </row>
    <row r="125" spans="67:67">
      <c r="BO125" s="631" t="str">
        <f t="array" ref="BO125">IFERROR(IF($AO$9="ALL",INDEX(orderHistory[order_id],ROW()-9),INDEX(orderHistory[order_id], MATCH(0, IF($AO$9=orderHistory[customer],COUNTIF($BO$9:$BO124,orderHistory[order_id]), "")), 0)),"")</f>
        <v/>
      </c>
    </row>
    <row r="126" spans="67:67">
      <c r="BO126" s="631" t="str">
        <f t="array" ref="BO126">IFERROR(IF($AO$9="ALL",INDEX(orderHistory[order_id],ROW()-9),INDEX(orderHistory[order_id], MATCH(0, IF($AO$9=orderHistory[customer],COUNTIF($BO$9:$BO125,orderHistory[order_id]), "")), 0)),"")</f>
        <v/>
      </c>
    </row>
    <row r="127" spans="67:67">
      <c r="BO127" s="631" t="str">
        <f t="array" ref="BO127">IFERROR(IF($AO$9="ALL",INDEX(orderHistory[order_id],ROW()-9),INDEX(orderHistory[order_id], MATCH(0, IF($AO$9=orderHistory[customer],COUNTIF($BO$9:$BO126,orderHistory[order_id]), "")), 0)),"")</f>
        <v/>
      </c>
    </row>
    <row r="128" spans="67:67">
      <c r="BO128" s="631" t="str">
        <f t="array" ref="BO128">IFERROR(IF($AO$9="ALL",INDEX(orderHistory[order_id],ROW()-9),INDEX(orderHistory[order_id], MATCH(0, IF($AO$9=orderHistory[customer],COUNTIF($BO$9:$BO127,orderHistory[order_id]), "")), 0)),"")</f>
        <v/>
      </c>
    </row>
    <row r="129" spans="67:67">
      <c r="BO129" s="631" t="str">
        <f t="array" ref="BO129">IFERROR(IF($AO$9="ALL",INDEX(orderHistory[order_id],ROW()-9),INDEX(orderHistory[order_id], MATCH(0, IF($AO$9=orderHistory[customer],COUNTIF($BO$9:$BO128,orderHistory[order_id]), "")), 0)),"")</f>
        <v/>
      </c>
    </row>
    <row r="130" spans="67:67">
      <c r="BO130" s="631" t="str">
        <f t="array" ref="BO130">IFERROR(IF($AO$9="ALL",INDEX(orderHistory[order_id],ROW()-9),INDEX(orderHistory[order_id], MATCH(0, IF($AO$9=orderHistory[customer],COUNTIF($BO$9:$BO129,orderHistory[order_id]), "")), 0)),"")</f>
        <v/>
      </c>
    </row>
    <row r="131" spans="67:67">
      <c r="BO131" s="631" t="str">
        <f t="array" ref="BO131">IFERROR(IF($AO$9="ALL",INDEX(orderHistory[order_id],ROW()-9),INDEX(orderHistory[order_id], MATCH(0, IF($AO$9=orderHistory[customer],COUNTIF($BO$9:$BO130,orderHistory[order_id]), "")), 0)),"")</f>
        <v/>
      </c>
    </row>
    <row r="132" spans="67:67">
      <c r="BO132" s="631" t="str">
        <f t="array" ref="BO132">IFERROR(IF($AO$9="ALL",INDEX(orderHistory[order_id],ROW()-9),INDEX(orderHistory[order_id], MATCH(0, IF($AO$9=orderHistory[customer],COUNTIF($BO$9:$BO131,orderHistory[order_id]), "")), 0)),"")</f>
        <v/>
      </c>
    </row>
    <row r="133" spans="67:67">
      <c r="BO133" s="631" t="str">
        <f t="array" ref="BO133">IFERROR(IF($AO$9="ALL",INDEX(orderHistory[order_id],ROW()-9),INDEX(orderHistory[order_id], MATCH(0, IF($AO$9=orderHistory[customer],COUNTIF($BO$9:$BO132,orderHistory[order_id]), "")), 0)),"")</f>
        <v/>
      </c>
    </row>
    <row r="134" spans="67:67">
      <c r="BO134" s="631" t="str">
        <f t="array" ref="BO134">IFERROR(IF($AO$9="ALL",INDEX(orderHistory[order_id],ROW()-9),INDEX(orderHistory[order_id], MATCH(0, IF($AO$9=orderHistory[customer],COUNTIF($BO$9:$BO133,orderHistory[order_id]), "")), 0)),"")</f>
        <v/>
      </c>
    </row>
    <row r="135" spans="67:67">
      <c r="BO135" s="631" t="str">
        <f t="array" ref="BO135">IFERROR(IF($AO$9="ALL",INDEX(orderHistory[order_id],ROW()-9),INDEX(orderHistory[order_id], MATCH(0, IF($AO$9=orderHistory[customer],COUNTIF($BO$9:$BO134,orderHistory[order_id]), "")), 0)),"")</f>
        <v/>
      </c>
    </row>
    <row r="136" spans="67:67">
      <c r="BO136" s="631" t="str">
        <f t="array" ref="BO136">IFERROR(IF($AO$9="ALL",INDEX(orderHistory[order_id],ROW()-9),INDEX(orderHistory[order_id], MATCH(0, IF($AO$9=orderHistory[customer],COUNTIF($BO$9:$BO135,orderHistory[order_id]), "")), 0)),"")</f>
        <v/>
      </c>
    </row>
    <row r="137" spans="67:67">
      <c r="BO137" s="631" t="str">
        <f t="array" ref="BO137">IFERROR(IF($AO$9="ALL",INDEX(orderHistory[order_id],ROW()-9),INDEX(orderHistory[order_id], MATCH(0, IF($AO$9=orderHistory[customer],COUNTIF($BO$9:$BO136,orderHistory[order_id]), "")), 0)),"")</f>
        <v/>
      </c>
    </row>
    <row r="138" spans="67:67">
      <c r="BO138" s="631" t="str">
        <f t="array" ref="BO138">IFERROR(IF($AO$9="ALL",INDEX(orderHistory[order_id],ROW()-9),INDEX(orderHistory[order_id], MATCH(0, IF($AO$9=orderHistory[customer],COUNTIF($BO$9:$BO137,orderHistory[order_id]), "")), 0)),"")</f>
        <v/>
      </c>
    </row>
    <row r="139" spans="67:67">
      <c r="BO139" s="631" t="str">
        <f t="array" ref="BO139">IFERROR(IF($AO$9="ALL",INDEX(orderHistory[order_id],ROW()-9),INDEX(orderHistory[order_id], MATCH(0, IF($AO$9=orderHistory[customer],COUNTIF($BO$9:$BO138,orderHistory[order_id]), "")), 0)),"")</f>
        <v/>
      </c>
    </row>
    <row r="140" spans="67:67">
      <c r="BO140" s="631" t="str">
        <f t="array" ref="BO140">IFERROR(IF($AO$9="ALL",INDEX(orderHistory[order_id],ROW()-9),INDEX(orderHistory[order_id], MATCH(0, IF($AO$9=orderHistory[customer],COUNTIF($BO$9:$BO139,orderHistory[order_id]), "")), 0)),"")</f>
        <v/>
      </c>
    </row>
    <row r="141" spans="67:67">
      <c r="BO141" s="631" t="str">
        <f t="array" ref="BO141">IFERROR(IF($AO$9="ALL",INDEX(orderHistory[order_id],ROW()-9),INDEX(orderHistory[order_id], MATCH(0, IF($AO$9=orderHistory[customer],COUNTIF($BO$9:$BO140,orderHistory[order_id]), "")), 0)),"")</f>
        <v/>
      </c>
    </row>
    <row r="142" spans="67:67">
      <c r="BO142" s="631" t="str">
        <f t="array" ref="BO142">IFERROR(IF($AO$9="ALL",INDEX(orderHistory[order_id],ROW()-9),INDEX(orderHistory[order_id], MATCH(0, IF($AO$9=orderHistory[customer],COUNTIF($BO$9:$BO141,orderHistory[order_id]), "")), 0)),"")</f>
        <v/>
      </c>
    </row>
    <row r="143" spans="67:67">
      <c r="BO143" s="631" t="str">
        <f t="array" ref="BO143">IFERROR(IF($AO$9="ALL",INDEX(orderHistory[order_id],ROW()-9),INDEX(orderHistory[order_id], MATCH(0, IF($AO$9=orderHistory[customer],COUNTIF($BO$9:$BO142,orderHistory[order_id]), "")), 0)),"")</f>
        <v/>
      </c>
    </row>
    <row r="144" spans="67:67">
      <c r="BO144" s="631" t="str">
        <f t="array" ref="BO144">IFERROR(IF($AO$9="ALL",INDEX(orderHistory[order_id],ROW()-9),INDEX(orderHistory[order_id], MATCH(0, IF($AO$9=orderHistory[customer],COUNTIF($BO$9:$BO143,orderHistory[order_id]), "")), 0)),"")</f>
        <v/>
      </c>
    </row>
    <row r="145" spans="67:67">
      <c r="BO145" s="631" t="str">
        <f t="array" ref="BO145">IFERROR(IF($AO$9="ALL",INDEX(orderHistory[order_id],ROW()-9),INDEX(orderHistory[order_id], MATCH(0, IF($AO$9=orderHistory[customer],COUNTIF($BO$9:$BO144,orderHistory[order_id]), "")), 0)),"")</f>
        <v/>
      </c>
    </row>
    <row r="146" spans="67:67">
      <c r="BO146" s="631" t="str">
        <f t="array" ref="BO146">IFERROR(IF($AO$9="ALL",INDEX(orderHistory[order_id],ROW()-9),INDEX(orderHistory[order_id], MATCH(0, IF($AO$9=orderHistory[customer],COUNTIF($BO$9:$BO145,orderHistory[order_id]), "")), 0)),"")</f>
        <v/>
      </c>
    </row>
    <row r="147" spans="67:67">
      <c r="BO147" s="631" t="str">
        <f t="array" ref="BO147">IFERROR(IF($AO$9="ALL",INDEX(orderHistory[order_id],ROW()-9),INDEX(orderHistory[order_id], MATCH(0, IF($AO$9=orderHistory[customer],COUNTIF($BO$9:$BO146,orderHistory[order_id]), "")), 0)),"")</f>
        <v/>
      </c>
    </row>
    <row r="148" spans="67:67">
      <c r="BO148" s="631" t="str">
        <f t="array" ref="BO148">IFERROR(IF($AO$9="ALL",INDEX(orderHistory[order_id],ROW()-9),INDEX(orderHistory[order_id], MATCH(0, IF($AO$9=orderHistory[customer],COUNTIF($BO$9:$BO147,orderHistory[order_id]), "")), 0)),"")</f>
        <v/>
      </c>
    </row>
    <row r="149" spans="67:67">
      <c r="BO149" s="631" t="str">
        <f t="array" ref="BO149">IFERROR(IF($AO$9="ALL",INDEX(orderHistory[order_id],ROW()-9),INDEX(orderHistory[order_id], MATCH(0, IF($AO$9=orderHistory[customer],COUNTIF($BO$9:$BO148,orderHistory[order_id]), "")), 0)),"")</f>
        <v/>
      </c>
    </row>
    <row r="150" spans="67:67">
      <c r="BO150" s="631" t="str">
        <f t="array" ref="BO150">IFERROR(IF($AO$9="ALL",INDEX(orderHistory[order_id],ROW()-9),INDEX(orderHistory[order_id], MATCH(0, IF($AO$9=orderHistory[customer],COUNTIF($BO$9:$BO149,orderHistory[order_id]), "")), 0)),"")</f>
        <v/>
      </c>
    </row>
    <row r="151" spans="67:67">
      <c r="BO151" s="631" t="str">
        <f t="array" ref="BO151">IFERROR(IF($AO$9="ALL",INDEX(orderHistory[order_id],ROW()-9),INDEX(orderHistory[order_id], MATCH(0, IF($AO$9=orderHistory[customer],COUNTIF($BO$9:$BO150,orderHistory[order_id]), "")), 0)),"")</f>
        <v/>
      </c>
    </row>
    <row r="152" spans="67:67">
      <c r="BO152" s="631" t="str">
        <f t="array" ref="BO152">IFERROR(IF($AO$9="ALL",INDEX(orderHistory[order_id],ROW()-9),INDEX(orderHistory[order_id], MATCH(0, IF($AO$9=orderHistory[customer],COUNTIF($BO$9:$BO151,orderHistory[order_id]), "")), 0)),"")</f>
        <v/>
      </c>
    </row>
    <row r="153" spans="67:67">
      <c r="BO153" s="631" t="str">
        <f t="array" ref="BO153">IFERROR(IF($AO$9="ALL",INDEX(orderHistory[order_id],ROW()-9),INDEX(orderHistory[order_id], MATCH(0, IF($AO$9=orderHistory[customer],COUNTIF($BO$9:$BO152,orderHistory[order_id]), "")), 0)),"")</f>
        <v/>
      </c>
    </row>
    <row r="154" spans="67:67">
      <c r="BO154" s="631" t="str">
        <f t="array" ref="BO154">IFERROR(IF($AO$9="ALL",INDEX(orderHistory[order_id],ROW()-9),INDEX(orderHistory[order_id], MATCH(0, IF($AO$9=orderHistory[customer],COUNTIF($BO$9:$BO153,orderHistory[order_id]), "")), 0)),"")</f>
        <v/>
      </c>
    </row>
    <row r="155" spans="67:67">
      <c r="BO155" s="631" t="str">
        <f t="array" ref="BO155">IFERROR(IF($AO$9="ALL",INDEX(orderHistory[order_id],ROW()-9),INDEX(orderHistory[order_id], MATCH(0, IF($AO$9=orderHistory[customer],COUNTIF($BO$9:$BO154,orderHistory[order_id]), "")), 0)),"")</f>
        <v/>
      </c>
    </row>
    <row r="156" spans="67:67">
      <c r="BO156" s="631" t="str">
        <f t="array" ref="BO156">IFERROR(IF($AO$9="ALL",INDEX(orderHistory[order_id],ROW()-9),INDEX(orderHistory[order_id], MATCH(0, IF($AO$9=orderHistory[customer],COUNTIF($BO$9:$BO155,orderHistory[order_id]), "")), 0)),"")</f>
        <v/>
      </c>
    </row>
    <row r="157" spans="67:67">
      <c r="BO157" s="631" t="str">
        <f t="array" ref="BO157">IFERROR(IF($AO$9="ALL",INDEX(orderHistory[order_id],ROW()-9),INDEX(orderHistory[order_id], MATCH(0, IF($AO$9=orderHistory[customer],COUNTIF($BO$9:$BO156,orderHistory[order_id]), "")), 0)),"")</f>
        <v/>
      </c>
    </row>
    <row r="158" spans="67:67">
      <c r="BO158" s="631" t="str">
        <f t="array" ref="BO158">IFERROR(IF($AO$9="ALL",INDEX(orderHistory[order_id],ROW()-9),INDEX(orderHistory[order_id], MATCH(0, IF($AO$9=orderHistory[customer],COUNTIF($BO$9:$BO157,orderHistory[order_id]), "")), 0)),"")</f>
        <v/>
      </c>
    </row>
    <row r="159" spans="67:67">
      <c r="BO159" s="631" t="str">
        <f t="array" ref="BO159">IFERROR(IF($AO$9="ALL",INDEX(orderHistory[order_id],ROW()-9),INDEX(orderHistory[order_id], MATCH(0, IF($AO$9=orderHistory[customer],COUNTIF($BO$9:$BO158,orderHistory[order_id]), "")), 0)),"")</f>
        <v/>
      </c>
    </row>
    <row r="160" spans="67:67">
      <c r="BO160" s="631" t="str">
        <f t="array" ref="BO160">IFERROR(IF($AO$9="ALL",INDEX(orderHistory[order_id],ROW()-9),INDEX(orderHistory[order_id], MATCH(0, IF($AO$9=orderHistory[customer],COUNTIF($BO$9:$BO159,orderHistory[order_id]), "")), 0)),"")</f>
        <v/>
      </c>
    </row>
    <row r="161" spans="67:67">
      <c r="BO161" s="631" t="str">
        <f t="array" ref="BO161">IFERROR(IF($AO$9="ALL",INDEX(orderHistory[order_id],ROW()-9),INDEX(orderHistory[order_id], MATCH(0, IF($AO$9=orderHistory[customer],COUNTIF($BO$9:$BO160,orderHistory[order_id]), "")), 0)),"")</f>
        <v/>
      </c>
    </row>
    <row r="162" spans="67:67">
      <c r="BO162" s="631" t="str">
        <f t="array" ref="BO162">IFERROR(IF($AO$9="ALL",INDEX(orderHistory[order_id],ROW()-9),INDEX(orderHistory[order_id], MATCH(0, IF($AO$9=orderHistory[customer],COUNTIF($BO$9:$BO161,orderHistory[order_id]), "")), 0)),"")</f>
        <v/>
      </c>
    </row>
    <row r="163" spans="67:67">
      <c r="BO163" s="631" t="str">
        <f t="array" ref="BO163">IFERROR(IF($AO$9="ALL",INDEX(orderHistory[order_id],ROW()-9),INDEX(orderHistory[order_id], MATCH(0, IF($AO$9=orderHistory[customer],COUNTIF($BO$9:$BO162,orderHistory[order_id]), "")), 0)),"")</f>
        <v/>
      </c>
    </row>
    <row r="164" spans="67:67">
      <c r="BO164" s="631" t="str">
        <f t="array" ref="BO164">IFERROR(IF($AO$9="ALL",INDEX(orderHistory[order_id],ROW()-9),INDEX(orderHistory[order_id], MATCH(0, IF($AO$9=orderHistory[customer],COUNTIF($BO$9:$BO163,orderHistory[order_id]), "")), 0)),"")</f>
        <v/>
      </c>
    </row>
    <row r="165" spans="67:67">
      <c r="BO165" s="631" t="str">
        <f t="array" ref="BO165">IFERROR(IF($AO$9="ALL",INDEX(orderHistory[order_id],ROW()-9),INDEX(orderHistory[order_id], MATCH(0, IF($AO$9=orderHistory[customer],COUNTIF($BO$9:$BO164,orderHistory[order_id]), "")), 0)),"")</f>
        <v/>
      </c>
    </row>
    <row r="166" spans="67:67">
      <c r="BO166" s="631" t="str">
        <f t="array" ref="BO166">IFERROR(IF($AO$9="ALL",INDEX(orderHistory[order_id],ROW()-9),INDEX(orderHistory[order_id], MATCH(0, IF($AO$9=orderHistory[customer],COUNTIF($BO$9:$BO165,orderHistory[order_id]), "")), 0)),"")</f>
        <v/>
      </c>
    </row>
    <row r="167" spans="67:67">
      <c r="BO167" s="631" t="str">
        <f t="array" ref="BO167">IFERROR(IF($AO$9="ALL",INDEX(orderHistory[order_id],ROW()-9),INDEX(orderHistory[order_id], MATCH(0, IF($AO$9=orderHistory[customer],COUNTIF($BO$9:$BO166,orderHistory[order_id]), "")), 0)),"")</f>
        <v/>
      </c>
    </row>
    <row r="168" spans="67:67">
      <c r="BO168" s="631" t="str">
        <f t="array" ref="BO168">IFERROR(IF($AO$9="ALL",INDEX(orderHistory[order_id],ROW()-9),INDEX(orderHistory[order_id], MATCH(0, IF($AO$9=orderHistory[customer],COUNTIF($BO$9:$BO167,orderHistory[order_id]), "")), 0)),"")</f>
        <v/>
      </c>
    </row>
    <row r="169" spans="67:67">
      <c r="BO169" s="631" t="str">
        <f t="array" ref="BO169">IFERROR(IF($AO$9="ALL",INDEX(orderHistory[order_id],ROW()-9),INDEX(orderHistory[order_id], MATCH(0, IF($AO$9=orderHistory[customer],COUNTIF($BO$9:$BO168,orderHistory[order_id]), "")), 0)),"")</f>
        <v/>
      </c>
    </row>
    <row r="170" spans="67:67">
      <c r="BO170" s="631" t="str">
        <f t="array" ref="BO170">IFERROR(IF($AO$9="ALL",INDEX(orderHistory[order_id],ROW()-9),INDEX(orderHistory[order_id], MATCH(0, IF($AO$9=orderHistory[customer],COUNTIF($BO$9:$BO169,orderHistory[order_id]), "")), 0)),"")</f>
        <v/>
      </c>
    </row>
    <row r="171" spans="67:67">
      <c r="BO171" s="631" t="str">
        <f t="array" ref="BO171">IFERROR(IF($AO$9="ALL",INDEX(orderHistory[order_id],ROW()-9),INDEX(orderHistory[order_id], MATCH(0, IF($AO$9=orderHistory[customer],COUNTIF($BO$9:$BO170,orderHistory[order_id]), "")), 0)),"")</f>
        <v/>
      </c>
    </row>
    <row r="172" spans="67:67">
      <c r="BO172" s="631" t="str">
        <f t="array" ref="BO172">IFERROR(IF($AO$9="ALL",INDEX(orderHistory[order_id],ROW()-9),INDEX(orderHistory[order_id], MATCH(0, IF($AO$9=orderHistory[customer],COUNTIF($BO$9:$BO171,orderHistory[order_id]), "")), 0)),"")</f>
        <v/>
      </c>
    </row>
    <row r="173" spans="67:67">
      <c r="BO173" s="631" t="str">
        <f t="array" ref="BO173">IFERROR(IF($AO$9="ALL",INDEX(orderHistory[order_id],ROW()-9),INDEX(orderHistory[order_id], MATCH(0, IF($AO$9=orderHistory[customer],COUNTIF($BO$9:$BO172,orderHistory[order_id]), "")), 0)),"")</f>
        <v/>
      </c>
    </row>
    <row r="174" spans="67:67">
      <c r="BO174" s="631" t="str">
        <f t="array" ref="BO174">IFERROR(IF($AO$9="ALL",INDEX(orderHistory[order_id],ROW()-9),INDEX(orderHistory[order_id], MATCH(0, IF($AO$9=orderHistory[customer],COUNTIF($BO$9:$BO173,orderHistory[order_id]), "")), 0)),"")</f>
        <v/>
      </c>
    </row>
    <row r="175" spans="67:67">
      <c r="BO175" s="631" t="str">
        <f t="array" ref="BO175">IFERROR(IF($AO$9="ALL",INDEX(orderHistory[order_id],ROW()-9),INDEX(orderHistory[order_id], MATCH(0, IF($AO$9=orderHistory[customer],COUNTIF($BO$9:$BO174,orderHistory[order_id]), "")), 0)),"")</f>
        <v/>
      </c>
    </row>
    <row r="176" spans="67:67">
      <c r="BO176" s="631" t="str">
        <f t="array" ref="BO176">IFERROR(IF($AO$9="ALL",INDEX(orderHistory[order_id],ROW()-9),INDEX(orderHistory[order_id], MATCH(0, IF($AO$9=orderHistory[customer],COUNTIF($BO$9:$BO175,orderHistory[order_id]), "")), 0)),"")</f>
        <v/>
      </c>
    </row>
    <row r="177" spans="67:67">
      <c r="BO177" s="631" t="str">
        <f t="array" ref="BO177">IFERROR(IF($AO$9="ALL",INDEX(orderHistory[order_id],ROW()-9),INDEX(orderHistory[order_id], MATCH(0, IF($AO$9=orderHistory[customer],COUNTIF($BO$9:$BO176,orderHistory[order_id]), "")), 0)),"")</f>
        <v/>
      </c>
    </row>
    <row r="178" spans="67:67">
      <c r="BO178" s="631" t="str">
        <f t="array" ref="BO178">IFERROR(IF($AO$9="ALL",INDEX(orderHistory[order_id],ROW()-9),INDEX(orderHistory[order_id], MATCH(0, IF($AO$9=orderHistory[customer],COUNTIF($BO$9:$BO177,orderHistory[order_id]), "")), 0)),"")</f>
        <v/>
      </c>
    </row>
    <row r="179" spans="67:67">
      <c r="BO179" s="631" t="str">
        <f t="array" ref="BO179">IFERROR(IF($AO$9="ALL",INDEX(orderHistory[order_id],ROW()-9),INDEX(orderHistory[order_id], MATCH(0, IF($AO$9=orderHistory[customer],COUNTIF($BO$9:$BO178,orderHistory[order_id]), "")), 0)),"")</f>
        <v/>
      </c>
    </row>
    <row r="180" spans="67:67">
      <c r="BO180" s="631" t="str">
        <f t="array" ref="BO180">IFERROR(IF($AO$9="ALL",INDEX(orderHistory[order_id],ROW()-9),INDEX(orderHistory[order_id], MATCH(0, IF($AO$9=orderHistory[customer],COUNTIF($BO$9:$BO179,orderHistory[order_id]), "")), 0)),"")</f>
        <v/>
      </c>
    </row>
    <row r="181" spans="67:67">
      <c r="BO181" s="631" t="str">
        <f t="array" ref="BO181">IFERROR(IF($AO$9="ALL",INDEX(orderHistory[order_id],ROW()-9),INDEX(orderHistory[order_id], MATCH(0, IF($AO$9=orderHistory[customer],COUNTIF($BO$9:$BO180,orderHistory[order_id]), "")), 0)),"")</f>
        <v/>
      </c>
    </row>
    <row r="182" spans="67:67">
      <c r="BO182" s="631" t="str">
        <f t="array" ref="BO182">IFERROR(IF($AO$9="ALL",INDEX(orderHistory[order_id],ROW()-9),INDEX(orderHistory[order_id], MATCH(0, IF($AO$9=orderHistory[customer],COUNTIF($BO$9:$BO181,orderHistory[order_id]), "")), 0)),"")</f>
        <v/>
      </c>
    </row>
    <row r="183" spans="67:67">
      <c r="BO183" s="631" t="str">
        <f t="array" ref="BO183">IFERROR(IF($AO$9="ALL",INDEX(orderHistory[order_id],ROW()-9),INDEX(orderHistory[order_id], MATCH(0, IF($AO$9=orderHistory[customer],COUNTIF($BO$9:$BO182,orderHistory[order_id]), "")), 0)),"")</f>
        <v/>
      </c>
    </row>
    <row r="184" spans="67:67">
      <c r="BO184" s="631" t="str">
        <f t="array" ref="BO184">IFERROR(IF($AO$9="ALL",INDEX(orderHistory[order_id],ROW()-9),INDEX(orderHistory[order_id], MATCH(0, IF($AO$9=orderHistory[customer],COUNTIF($BO$9:$BO183,orderHistory[order_id]), "")), 0)),"")</f>
        <v/>
      </c>
    </row>
    <row r="185" spans="67:67">
      <c r="BO185" s="631" t="str">
        <f t="array" ref="BO185">IFERROR(IF($AO$9="ALL",INDEX(orderHistory[order_id],ROW()-9),INDEX(orderHistory[order_id], MATCH(0, IF($AO$9=orderHistory[customer],COUNTIF($BO$9:$BO184,orderHistory[order_id]), "")), 0)),"")</f>
        <v/>
      </c>
    </row>
    <row r="186" spans="67:67">
      <c r="BO186" s="631" t="str">
        <f t="array" ref="BO186">IFERROR(IF($AO$9="ALL",INDEX(orderHistory[order_id],ROW()-9),INDEX(orderHistory[order_id], MATCH(0, IF($AO$9=orderHistory[customer],COUNTIF($BO$9:$BO185,orderHistory[order_id]), "")), 0)),"")</f>
        <v/>
      </c>
    </row>
    <row r="187" spans="67:67">
      <c r="BO187" s="631" t="str">
        <f t="array" ref="BO187">IFERROR(IF($AO$9="ALL",INDEX(orderHistory[order_id],ROW()-9),INDEX(orderHistory[order_id], MATCH(0, IF($AO$9=orderHistory[customer],COUNTIF($BO$9:$BO186,orderHistory[order_id]), "")), 0)),"")</f>
        <v/>
      </c>
    </row>
    <row r="188" spans="67:67">
      <c r="BO188" s="631" t="str">
        <f t="array" ref="BO188">IFERROR(IF($AO$9="ALL",INDEX(orderHistory[order_id],ROW()-9),INDEX(orderHistory[order_id], MATCH(0, IF($AO$9=orderHistory[customer],COUNTIF($BO$9:$BO187,orderHistory[order_id]), "")), 0)),"")</f>
        <v/>
      </c>
    </row>
    <row r="189" spans="67:67">
      <c r="BO189" s="631" t="str">
        <f t="array" ref="BO189">IFERROR(IF($AO$9="ALL",INDEX(orderHistory[order_id],ROW()-9),INDEX(orderHistory[order_id], MATCH(0, IF($AO$9=orderHistory[customer],COUNTIF($BO$9:$BO188,orderHistory[order_id]), "")), 0)),"")</f>
        <v/>
      </c>
    </row>
    <row r="190" spans="67:67">
      <c r="BO190" s="631" t="str">
        <f t="array" ref="BO190">IFERROR(IF($AO$9="ALL",INDEX(orderHistory[order_id],ROW()-9),INDEX(orderHistory[order_id], MATCH(0, IF($AO$9=orderHistory[customer],COUNTIF($BO$9:$BO189,orderHistory[order_id]), "")), 0)),"")</f>
        <v/>
      </c>
    </row>
    <row r="191" spans="67:67">
      <c r="BO191" s="631" t="str">
        <f t="array" ref="BO191">IFERROR(IF($AO$9="ALL",INDEX(orderHistory[order_id],ROW()-9),INDEX(orderHistory[order_id], MATCH(0, IF($AO$9=orderHistory[customer],COUNTIF($BO$9:$BO190,orderHistory[order_id]), "")), 0)),"")</f>
        <v/>
      </c>
    </row>
    <row r="192" spans="67:67">
      <c r="BO192" s="631" t="str">
        <f t="array" ref="BO192">IFERROR(IF($AO$9="ALL",INDEX(orderHistory[order_id],ROW()-9),INDEX(orderHistory[order_id], MATCH(0, IF($AO$9=orderHistory[customer],COUNTIF($BO$9:$BO191,orderHistory[order_id]), "")), 0)),"")</f>
        <v/>
      </c>
    </row>
    <row r="193" spans="67:67">
      <c r="BO193" s="631" t="str">
        <f t="array" ref="BO193">IFERROR(IF($AO$9="ALL",INDEX(orderHistory[order_id],ROW()-9),INDEX(orderHistory[order_id], MATCH(0, IF($AO$9=orderHistory[customer],COUNTIF($BO$9:$BO192,orderHistory[order_id]), "")), 0)),"")</f>
        <v/>
      </c>
    </row>
    <row r="194" spans="67:67">
      <c r="BO194" s="631" t="str">
        <f t="array" ref="BO194">IFERROR(IF($AO$9="ALL",INDEX(orderHistory[order_id],ROW()-9),INDEX(orderHistory[order_id], MATCH(0, IF($AO$9=orderHistory[customer],COUNTIF($BO$9:$BO193,orderHistory[order_id]), "")), 0)),"")</f>
        <v/>
      </c>
    </row>
    <row r="195" spans="67:67">
      <c r="BO195" s="631" t="str">
        <f t="array" ref="BO195">IFERROR(IF($AO$9="ALL",INDEX(orderHistory[order_id],ROW()-9),INDEX(orderHistory[order_id], MATCH(0, IF($AO$9=orderHistory[customer],COUNTIF($BO$9:$BO194,orderHistory[order_id]), "")), 0)),"")</f>
        <v/>
      </c>
    </row>
    <row r="196" spans="67:67">
      <c r="BO196" s="631" t="str">
        <f t="array" ref="BO196">IFERROR(IF($AO$9="ALL",INDEX(orderHistory[order_id],ROW()-9),INDEX(orderHistory[order_id], MATCH(0, IF($AO$9=orderHistory[customer],COUNTIF($BO$9:$BO195,orderHistory[order_id]), "")), 0)),"")</f>
        <v/>
      </c>
    </row>
    <row r="197" spans="67:67">
      <c r="BO197" s="631" t="str">
        <f t="array" ref="BO197">IFERROR(IF($AO$9="ALL",INDEX(orderHistory[order_id],ROW()-9),INDEX(orderHistory[order_id], MATCH(0, IF($AO$9=orderHistory[customer],COUNTIF($BO$9:$BO196,orderHistory[order_id]), "")), 0)),"")</f>
        <v/>
      </c>
    </row>
    <row r="198" spans="67:67">
      <c r="BO198" s="631" t="str">
        <f t="array" ref="BO198">IFERROR(IF($AO$9="ALL",INDEX(orderHistory[order_id],ROW()-9),INDEX(orderHistory[order_id], MATCH(0, IF($AO$9=orderHistory[customer],COUNTIF($BO$9:$BO197,orderHistory[order_id]), "")), 0)),"")</f>
        <v/>
      </c>
    </row>
    <row r="199" spans="67:67">
      <c r="BO199" s="631" t="str">
        <f t="array" ref="BO199">IFERROR(IF($AO$9="ALL",INDEX(orderHistory[order_id],ROW()-9),INDEX(orderHistory[order_id], MATCH(0, IF($AO$9=orderHistory[customer],COUNTIF($BO$9:$BO198,orderHistory[order_id]), "")), 0)),"")</f>
        <v/>
      </c>
    </row>
    <row r="200" spans="67:67">
      <c r="BO200" s="631" t="str">
        <f t="array" ref="BO200">IFERROR(IF($AO$9="ALL",INDEX(orderHistory[order_id],ROW()-9),INDEX(orderHistory[order_id], MATCH(0, IF($AO$9=orderHistory[customer],COUNTIF($BO$9:$BO199,orderHistory[order_id]), "")), 0)),"")</f>
        <v/>
      </c>
    </row>
    <row r="201" spans="67:67">
      <c r="BO201" s="631" t="str">
        <f t="array" ref="BO201">IFERROR(IF($AO$9="ALL",INDEX(orderHistory[order_id],ROW()-9),INDEX(orderHistory[order_id], MATCH(0, IF($AO$9=orderHistory[customer],COUNTIF($BO$9:$BO200,orderHistory[order_id]), "")), 0)),"")</f>
        <v/>
      </c>
    </row>
    <row r="202" spans="67:67">
      <c r="BO202" s="631" t="str">
        <f t="array" ref="BO202">IFERROR(IF($AO$9="ALL",INDEX(orderHistory[order_id],ROW()-9),INDEX(orderHistory[order_id], MATCH(0, IF($AO$9=orderHistory[customer],COUNTIF($BO$9:$BO201,orderHistory[order_id]), "")), 0)),"")</f>
        <v/>
      </c>
    </row>
    <row r="203" spans="67:67">
      <c r="BO203" s="631" t="str">
        <f t="array" ref="BO203">IFERROR(IF($AO$9="ALL",INDEX(orderHistory[order_id],ROW()-9),INDEX(orderHistory[order_id], MATCH(0, IF($AO$9=orderHistory[customer],COUNTIF($BO$9:$BO202,orderHistory[order_id]), "")), 0)),"")</f>
        <v/>
      </c>
    </row>
    <row r="204" spans="67:67">
      <c r="BO204" s="631" t="str">
        <f t="array" ref="BO204">IFERROR(IF($AO$9="ALL",INDEX(orderHistory[order_id],ROW()-9),INDEX(orderHistory[order_id], MATCH(0, IF($AO$9=orderHistory[customer],COUNTIF($BO$9:$BO203,orderHistory[order_id]), "")), 0)),"")</f>
        <v/>
      </c>
    </row>
    <row r="205" spans="67:67">
      <c r="BO205" s="631" t="str">
        <f t="array" ref="BO205">IFERROR(IF($AO$9="ALL",INDEX(orderHistory[order_id],ROW()-9),INDEX(orderHistory[order_id], MATCH(0, IF($AO$9=orderHistory[customer],COUNTIF($BO$9:$BO204,orderHistory[order_id]), "")), 0)),"")</f>
        <v/>
      </c>
    </row>
    <row r="206" spans="67:67">
      <c r="BO206" s="631" t="str">
        <f t="array" ref="BO206">IFERROR(IF($AO$9="ALL",INDEX(orderHistory[order_id],ROW()-9),INDEX(orderHistory[order_id], MATCH(0, IF($AO$9=orderHistory[customer],COUNTIF($BO$9:$BO205,orderHistory[order_id]), "")), 0)),"")</f>
        <v/>
      </c>
    </row>
    <row r="207" spans="67:67">
      <c r="BO207" s="631" t="str">
        <f t="array" ref="BO207">IFERROR(IF($AO$9="ALL",INDEX(orderHistory[order_id],ROW()-9),INDEX(orderHistory[order_id], MATCH(0, IF($AO$9=orderHistory[customer],COUNTIF($BO$9:$BO206,orderHistory[order_id]), "")), 0)),"")</f>
        <v/>
      </c>
    </row>
    <row r="208" spans="67:67">
      <c r="BO208" s="631" t="str">
        <f t="array" ref="BO208">IFERROR(IF($AO$9="ALL",INDEX(orderHistory[order_id],ROW()-9),INDEX(orderHistory[order_id], MATCH(0, IF($AO$9=orderHistory[customer],COUNTIF($BO$9:$BO207,orderHistory[order_id]), "")), 0)),"")</f>
        <v/>
      </c>
    </row>
    <row r="209" spans="67:67">
      <c r="BO209" s="631" t="str">
        <f t="array" ref="BO209">IFERROR(IF($AO$9="ALL",INDEX(orderHistory[order_id],ROW()-9),INDEX(orderHistory[order_id], MATCH(0, IF($AO$9=orderHistory[customer],COUNTIF($BO$9:$BO208,orderHistory[order_id]), "")), 0)),"")</f>
        <v/>
      </c>
    </row>
    <row r="210" spans="67:67">
      <c r="BO210" s="631" t="str">
        <f t="array" ref="BO210">IFERROR(IF($AO$9="ALL",INDEX(orderHistory[order_id],ROW()-9),INDEX(orderHistory[order_id], MATCH(0, IF($AO$9=orderHistory[customer],COUNTIF($BO$9:$BO209,orderHistory[order_id]), "")), 0)),"")</f>
        <v/>
      </c>
    </row>
    <row r="211" spans="67:67">
      <c r="BO211" s="631" t="str">
        <f t="array" ref="BO211">IFERROR(IF($AO$9="ALL",INDEX(orderHistory[order_id],ROW()-9),INDEX(orderHistory[order_id], MATCH(0, IF($AO$9=orderHistory[customer],COUNTIF($BO$9:$BO210,orderHistory[order_id]), "")), 0)),"")</f>
        <v/>
      </c>
    </row>
    <row r="212" spans="67:67">
      <c r="BO212" s="631" t="str">
        <f t="array" ref="BO212">IFERROR(IF($AO$9="ALL",INDEX(orderHistory[order_id],ROW()-9),INDEX(orderHistory[order_id], MATCH(0, IF($AO$9=orderHistory[customer],COUNTIF($BO$9:$BO211,orderHistory[order_id]), "")), 0)),"")</f>
        <v/>
      </c>
    </row>
    <row r="213" spans="67:67">
      <c r="BO213" s="631" t="str">
        <f t="array" ref="BO213">IFERROR(IF($AO$9="ALL",INDEX(orderHistory[order_id],ROW()-9),INDEX(orderHistory[order_id], MATCH(0, IF($AO$9=orderHistory[customer],COUNTIF($BO$9:$BO212,orderHistory[order_id]), "")), 0)),"")</f>
        <v/>
      </c>
    </row>
    <row r="214" spans="67:67">
      <c r="BO214" s="631" t="str">
        <f t="array" ref="BO214">IFERROR(IF($AO$9="ALL",INDEX(orderHistory[order_id],ROW()-9),INDEX(orderHistory[order_id], MATCH(0, IF($AO$9=orderHistory[customer],COUNTIF($BO$9:$BO213,orderHistory[order_id]), "")), 0)),"")</f>
        <v/>
      </c>
    </row>
    <row r="215" spans="67:67">
      <c r="BO215" s="631" t="str">
        <f t="array" ref="BO215">IFERROR(IF($AO$9="ALL",INDEX(orderHistory[order_id],ROW()-9),INDEX(orderHistory[order_id], MATCH(0, IF($AO$9=orderHistory[customer],COUNTIF($BO$9:$BO214,orderHistory[order_id]), "")), 0)),"")</f>
        <v/>
      </c>
    </row>
    <row r="216" spans="67:67">
      <c r="BO216" s="631" t="str">
        <f t="array" ref="BO216">IFERROR(IF($AO$9="ALL",INDEX(orderHistory[order_id],ROW()-9),INDEX(orderHistory[order_id], MATCH(0, IF($AO$9=orderHistory[customer],COUNTIF($BO$9:$BO215,orderHistory[order_id]), "")), 0)),"")</f>
        <v/>
      </c>
    </row>
    <row r="217" spans="67:67">
      <c r="BO217" s="631" t="str">
        <f t="array" ref="BO217">IFERROR(IF($AO$9="ALL",INDEX(orderHistory[order_id],ROW()-9),INDEX(orderHistory[order_id], MATCH(0, IF($AO$9=orderHistory[customer],COUNTIF($BO$9:$BO216,orderHistory[order_id]), "")), 0)),"")</f>
        <v/>
      </c>
    </row>
    <row r="218" spans="67:67">
      <c r="BO218" s="631" t="str">
        <f t="array" ref="BO218">IFERROR(IF($AO$9="ALL",INDEX(orderHistory[order_id],ROW()-9),INDEX(orderHistory[order_id], MATCH(0, IF($AO$9=orderHistory[customer],COUNTIF($BO$9:$BO217,orderHistory[order_id]), "")), 0)),"")</f>
        <v/>
      </c>
    </row>
    <row r="219" spans="67:67">
      <c r="BO219" s="631" t="str">
        <f t="array" ref="BO219">IFERROR(IF($AO$9="ALL",INDEX(orderHistory[order_id],ROW()-9),INDEX(orderHistory[order_id], MATCH(0, IF($AO$9=orderHistory[customer],COUNTIF($BO$9:$BO218,orderHistory[order_id]), "")), 0)),"")</f>
        <v/>
      </c>
    </row>
    <row r="220" spans="67:67">
      <c r="BO220" s="631" t="str">
        <f t="array" ref="BO220">IFERROR(IF($AO$9="ALL",INDEX(orderHistory[order_id],ROW()-9),INDEX(orderHistory[order_id], MATCH(0, IF($AO$9=orderHistory[customer],COUNTIF($BO$9:$BO219,orderHistory[order_id]), "")), 0)),"")</f>
        <v/>
      </c>
    </row>
    <row r="221" spans="67:67">
      <c r="BO221" s="631" t="str">
        <f t="array" ref="BO221">IFERROR(IF($AO$9="ALL",INDEX(orderHistory[order_id],ROW()-9),INDEX(orderHistory[order_id], MATCH(0, IF($AO$9=orderHistory[customer],COUNTIF($BO$9:$BO220,orderHistory[order_id]), "")), 0)),"")</f>
        <v/>
      </c>
    </row>
    <row r="222" spans="67:67">
      <c r="BO222" s="631" t="str">
        <f t="array" ref="BO222">IFERROR(IF($AO$9="ALL",INDEX(orderHistory[order_id],ROW()-9),INDEX(orderHistory[order_id], MATCH(0, IF($AO$9=orderHistory[customer],COUNTIF($BO$9:$BO221,orderHistory[order_id]), "")), 0)),"")</f>
        <v/>
      </c>
    </row>
    <row r="223" spans="67:67">
      <c r="BO223" s="631" t="str">
        <f t="array" ref="BO223">IFERROR(IF($AO$9="ALL",INDEX(orderHistory[order_id],ROW()-9),INDEX(orderHistory[order_id], MATCH(0, IF($AO$9=orderHistory[customer],COUNTIF($BO$9:$BO222,orderHistory[order_id]), "")), 0)),"")</f>
        <v/>
      </c>
    </row>
    <row r="224" spans="67:67">
      <c r="BO224" s="631" t="str">
        <f t="array" ref="BO224">IFERROR(IF($AO$9="ALL",INDEX(orderHistory[order_id],ROW()-9),INDEX(orderHistory[order_id], MATCH(0, IF($AO$9=orderHistory[customer],COUNTIF($BO$9:$BO223,orderHistory[order_id]), "")), 0)),"")</f>
        <v/>
      </c>
    </row>
    <row r="225" spans="67:67">
      <c r="BO225" s="631" t="str">
        <f t="array" ref="BO225">IFERROR(IF($AO$9="ALL",INDEX(orderHistory[order_id],ROW()-9),INDEX(orderHistory[order_id], MATCH(0, IF($AO$9=orderHistory[customer],COUNTIF($BO$9:$BO224,orderHistory[order_id]), "")), 0)),"")</f>
        <v/>
      </c>
    </row>
    <row r="226" spans="67:67">
      <c r="BO226" s="631" t="str">
        <f t="array" ref="BO226">IFERROR(IF($AO$9="ALL",INDEX(orderHistory[order_id],ROW()-9),INDEX(orderHistory[order_id], MATCH(0, IF($AO$9=orderHistory[customer],COUNTIF($BO$9:$BO225,orderHistory[order_id]), "")), 0)),"")</f>
        <v/>
      </c>
    </row>
    <row r="227" spans="67:67">
      <c r="BO227" s="631" t="str">
        <f t="array" ref="BO227">IFERROR(IF($AO$9="ALL",INDEX(orderHistory[order_id],ROW()-9),INDEX(orderHistory[order_id], MATCH(0, IF($AO$9=orderHistory[customer],COUNTIF($BO$9:$BO226,orderHistory[order_id]), "")), 0)),"")</f>
        <v/>
      </c>
    </row>
    <row r="228" spans="67:67">
      <c r="BO228" s="631" t="str">
        <f t="array" ref="BO228">IFERROR(IF($AO$9="ALL",INDEX(orderHistory[order_id],ROW()-9),INDEX(orderHistory[order_id], MATCH(0, IF($AO$9=orderHistory[customer],COUNTIF($BO$9:$BO227,orderHistory[order_id]), "")), 0)),"")</f>
        <v/>
      </c>
    </row>
    <row r="229" spans="67:67">
      <c r="BO229" s="631" t="str">
        <f t="array" ref="BO229">IFERROR(IF($AO$9="ALL",INDEX(orderHistory[order_id],ROW()-9),INDEX(orderHistory[order_id], MATCH(0, IF($AO$9=orderHistory[customer],COUNTIF($BO$9:$BO228,orderHistory[order_id]), "")), 0)),"")</f>
        <v/>
      </c>
    </row>
    <row r="230" spans="67:67">
      <c r="BO230" s="631" t="str">
        <f t="array" ref="BO230">IFERROR(IF($AO$9="ALL",INDEX(orderHistory[order_id],ROW()-9),INDEX(orderHistory[order_id], MATCH(0, IF($AO$9=orderHistory[customer],COUNTIF($BO$9:$BO229,orderHistory[order_id]), "")), 0)),"")</f>
        <v/>
      </c>
    </row>
    <row r="231" spans="67:67">
      <c r="BO231" s="631" t="str">
        <f t="array" ref="BO231">IFERROR(IF($AO$9="ALL",INDEX(orderHistory[order_id],ROW()-9),INDEX(orderHistory[order_id], MATCH(0, IF($AO$9=orderHistory[customer],COUNTIF($BO$9:$BO230,orderHistory[order_id]), "")), 0)),"")</f>
        <v/>
      </c>
    </row>
    <row r="232" spans="67:67">
      <c r="BO232" s="631" t="str">
        <f t="array" ref="BO232">IFERROR(IF($AO$9="ALL",INDEX(orderHistory[order_id],ROW()-9),INDEX(orderHistory[order_id], MATCH(0, IF($AO$9=orderHistory[customer],COUNTIF($BO$9:$BO231,orderHistory[order_id]), "")), 0)),"")</f>
        <v/>
      </c>
    </row>
    <row r="233" spans="67:67">
      <c r="BO233" s="631" t="str">
        <f t="array" ref="BO233">IFERROR(IF($AO$9="ALL",INDEX(orderHistory[order_id],ROW()-9),INDEX(orderHistory[order_id], MATCH(0, IF($AO$9=orderHistory[customer],COUNTIF($BO$9:$BO232,orderHistory[order_id]), "")), 0)),"")</f>
        <v/>
      </c>
    </row>
    <row r="234" spans="67:67">
      <c r="BO234" s="631" t="str">
        <f t="array" ref="BO234">IFERROR(IF($AO$9="ALL",INDEX(orderHistory[order_id],ROW()-9),INDEX(orderHistory[order_id], MATCH(0, IF($AO$9=orderHistory[customer],COUNTIF($BO$9:$BO233,orderHistory[order_id]), "")), 0)),"")</f>
        <v/>
      </c>
    </row>
    <row r="235" spans="67:67">
      <c r="BO235" s="631" t="str">
        <f t="array" ref="BO235">IFERROR(IF($AO$9="ALL",INDEX(orderHistory[order_id],ROW()-9),INDEX(orderHistory[order_id], MATCH(0, IF($AO$9=orderHistory[customer],COUNTIF($BO$9:$BO234,orderHistory[order_id]), "")), 0)),"")</f>
        <v/>
      </c>
    </row>
    <row r="236" spans="67:67">
      <c r="BO236" s="631" t="str">
        <f t="array" ref="BO236">IFERROR(IF($AO$9="ALL",INDEX(orderHistory[order_id],ROW()-9),INDEX(orderHistory[order_id], MATCH(0, IF($AO$9=orderHistory[customer],COUNTIF($BO$9:$BO235,orderHistory[order_id]), "")), 0)),"")</f>
        <v/>
      </c>
    </row>
    <row r="237" spans="67:67">
      <c r="BO237" s="631" t="str">
        <f t="array" ref="BO237">IFERROR(IF($AO$9="ALL",INDEX(orderHistory[order_id],ROW()-9),INDEX(orderHistory[order_id], MATCH(0, IF($AO$9=orderHistory[customer],COUNTIF($BO$9:$BO236,orderHistory[order_id]), "")), 0)),"")</f>
        <v/>
      </c>
    </row>
    <row r="238" spans="67:67">
      <c r="BO238" s="631" t="str">
        <f t="array" ref="BO238">IFERROR(IF($AO$9="ALL",INDEX(orderHistory[order_id],ROW()-9),INDEX(orderHistory[order_id], MATCH(0, IF($AO$9=orderHistory[customer],COUNTIF($BO$9:$BO237,orderHistory[order_id]), "")), 0)),"")</f>
        <v/>
      </c>
    </row>
    <row r="239" spans="67:67">
      <c r="BO239" s="631" t="str">
        <f t="array" ref="BO239">IFERROR(IF($AO$9="ALL",INDEX(orderHistory[order_id],ROW()-9),INDEX(orderHistory[order_id], MATCH(0, IF($AO$9=orderHistory[customer],COUNTIF($BO$9:$BO238,orderHistory[order_id]), "")), 0)),"")</f>
        <v/>
      </c>
    </row>
    <row r="240" spans="67:67">
      <c r="BO240" s="631" t="str">
        <f t="array" ref="BO240">IFERROR(IF($AO$9="ALL",INDEX(orderHistory[order_id],ROW()-9),INDEX(orderHistory[order_id], MATCH(0, IF($AO$9=orderHistory[customer],COUNTIF($BO$9:$BO239,orderHistory[order_id]), "")), 0)),"")</f>
        <v/>
      </c>
    </row>
    <row r="241" spans="67:67">
      <c r="BO241" s="631" t="str">
        <f t="array" ref="BO241">IFERROR(IF($AO$9="ALL",INDEX(orderHistory[order_id],ROW()-9),INDEX(orderHistory[order_id], MATCH(0, IF($AO$9=orderHistory[customer],COUNTIF($BO$9:$BO240,orderHistory[order_id]), "")), 0)),"")</f>
        <v/>
      </c>
    </row>
    <row r="242" spans="67:67">
      <c r="BO242" s="631" t="str">
        <f t="array" ref="BO242">IFERROR(IF($AO$9="ALL",INDEX(orderHistory[order_id],ROW()-9),INDEX(orderHistory[order_id], MATCH(0, IF($AO$9=orderHistory[customer],COUNTIF($BO$9:$BO241,orderHistory[order_id]), "")), 0)),"")</f>
        <v/>
      </c>
    </row>
    <row r="243" spans="67:67">
      <c r="BO243" s="631" t="str">
        <f t="array" ref="BO243">IFERROR(IF($AO$9="ALL",INDEX(orderHistory[order_id],ROW()-9),INDEX(orderHistory[order_id], MATCH(0, IF($AO$9=orderHistory[customer],COUNTIF($BO$9:$BO242,orderHistory[order_id]), "")), 0)),"")</f>
        <v/>
      </c>
    </row>
    <row r="244" spans="67:67">
      <c r="BO244" s="631" t="str">
        <f t="array" ref="BO244">IFERROR(IF($AO$9="ALL",INDEX(orderHistory[order_id],ROW()-9),INDEX(orderHistory[order_id], MATCH(0, IF($AO$9=orderHistory[customer],COUNTIF($BO$9:$BO243,orderHistory[order_id]), "")), 0)),"")</f>
        <v/>
      </c>
    </row>
    <row r="245" spans="67:67">
      <c r="BO245" s="631" t="str">
        <f t="array" ref="BO245">IFERROR(IF($AO$9="ALL",INDEX(orderHistory[order_id],ROW()-9),INDEX(orderHistory[order_id], MATCH(0, IF($AO$9=orderHistory[customer],COUNTIF($BO$9:$BO244,orderHistory[order_id]), "")), 0)),"")</f>
        <v/>
      </c>
    </row>
    <row r="246" spans="67:67">
      <c r="BO246" s="631" t="str">
        <f t="array" ref="BO246">IFERROR(IF($AO$9="ALL",INDEX(orderHistory[order_id],ROW()-9),INDEX(orderHistory[order_id], MATCH(0, IF($AO$9=orderHistory[customer],COUNTIF($BO$9:$BO245,orderHistory[order_id]), "")), 0)),"")</f>
        <v/>
      </c>
    </row>
    <row r="247" spans="67:67">
      <c r="BO247" s="631" t="str">
        <f t="array" ref="BO247">IFERROR(IF($AO$9="ALL",INDEX(orderHistory[order_id],ROW()-9),INDEX(orderHistory[order_id], MATCH(0, IF($AO$9=orderHistory[customer],COUNTIF($BO$9:$BO246,orderHistory[order_id]), "")), 0)),"")</f>
        <v/>
      </c>
    </row>
    <row r="248" spans="67:67">
      <c r="BO248" s="631" t="str">
        <f t="array" ref="BO248">IFERROR(IF($AO$9="ALL",INDEX(orderHistory[order_id],ROW()-9),INDEX(orderHistory[order_id], MATCH(0, IF($AO$9=orderHistory[customer],COUNTIF($BO$9:$BO247,orderHistory[order_id]), "")), 0)),"")</f>
        <v/>
      </c>
    </row>
    <row r="249" spans="67:67">
      <c r="BO249" s="631" t="str">
        <f t="array" ref="BO249">IFERROR(IF($AO$9="ALL",INDEX(orderHistory[order_id],ROW()-9),INDEX(orderHistory[order_id], MATCH(0, IF($AO$9=orderHistory[customer],COUNTIF($BO$9:$BO248,orderHistory[order_id]), "")), 0)),"")</f>
        <v/>
      </c>
    </row>
    <row r="250" spans="67:67">
      <c r="BO250" s="632" t="str">
        <f t="array" ref="BO250">IFERROR(IF($AO$9="ALL",INDEX(orderHistory[order_id],ROW()-9),INDEX(orderHistory[order_id], MATCH(0, IF($AO$9=orderHistory[customer],COUNTIF($BO$9:$BO249,orderHistory[order_id]), "")), 0)),"")</f>
        <v/>
      </c>
    </row>
  </sheetData>
  <mergeCells count="11">
    <mergeCell ref="H38:I38"/>
    <mergeCell ref="H39:I39"/>
    <mergeCell ref="H34:I34"/>
    <mergeCell ref="H37:I37"/>
    <mergeCell ref="H14:J16"/>
    <mergeCell ref="H20:J20"/>
    <mergeCell ref="H18:J18"/>
    <mergeCell ref="H12:J12"/>
    <mergeCell ref="H10:J10"/>
    <mergeCell ref="G14:G15"/>
    <mergeCell ref="H35:I35"/>
  </mergeCells>
  <conditionalFormatting sqref="M10:V40">
    <cfRule type="expression" dxfId="7" priority="8">
      <formula>MOD(ROW(),2)</formula>
    </cfRule>
    <cfRule type="expression" dxfId="6" priority="9">
      <formula>$B$2=ROW()</formula>
    </cfRule>
  </conditionalFormatting>
  <conditionalFormatting sqref="V10:V40">
    <cfRule type="cellIs" dxfId="5" priority="4" operator="equal">
      <formula>"ON GOING"</formula>
    </cfRule>
    <cfRule type="cellIs" dxfId="4" priority="5" operator="equal">
      <formula>"PRE-ORDER"</formula>
    </cfRule>
    <cfRule type="cellIs" dxfId="3" priority="6" operator="equal">
      <formula>"SHIPPED"</formula>
    </cfRule>
  </conditionalFormatting>
  <conditionalFormatting sqref="S10:S40">
    <cfRule type="cellIs" dxfId="2" priority="2" operator="equal">
      <formula>"NO"</formula>
    </cfRule>
    <cfRule type="cellIs" dxfId="1" priority="3" operator="equal">
      <formula>"YES"</formula>
    </cfRule>
  </conditionalFormatting>
  <conditionalFormatting sqref="AW9:BK40">
    <cfRule type="expression" dxfId="0" priority="1">
      <formula>MOD(ROW(),2)</formula>
    </cfRule>
  </conditionalFormatting>
  <dataValidations count="5">
    <dataValidation type="list" allowBlank="1" showInputMessage="1" showErrorMessage="1" sqref="E12">
      <formula1>$M$9:$V$9</formula1>
    </dataValidation>
    <dataValidation type="list" allowBlank="1" showInputMessage="1" showErrorMessage="1" sqref="AO18 E15">
      <formula1>"Ascending,Descending"</formula1>
    </dataValidation>
    <dataValidation type="list" allowBlank="1" showInputMessage="1" showErrorMessage="1" sqref="E9 AO9">
      <formula1>clientId</formula1>
    </dataValidation>
    <dataValidation type="list" allowBlank="1" showInputMessage="1" showErrorMessage="1" sqref="AO12">
      <formula1>orderIDforSelectedClient</formula1>
    </dataValidation>
    <dataValidation type="list" allowBlank="1" showInputMessage="1" showErrorMessage="1" sqref="AO15">
      <formula1>$AW$9:$BK$9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12"/>
  <dimension ref="A1:H7"/>
  <sheetViews>
    <sheetView workbookViewId="0">
      <selection activeCell="L40" sqref="L40"/>
    </sheetView>
  </sheetViews>
  <sheetFormatPr defaultRowHeight="14.5"/>
  <cols>
    <col min="1" max="1" width="18.54296875" bestFit="1" customWidth="1"/>
    <col min="2" max="2" width="13" bestFit="1" customWidth="1"/>
    <col min="3" max="3" width="15" bestFit="1" customWidth="1"/>
    <col min="5" max="5" width="16.81640625" bestFit="1" customWidth="1"/>
    <col min="6" max="6" width="19.81640625" customWidth="1"/>
    <col min="7" max="7" width="16.1796875" bestFit="1" customWidth="1"/>
    <col min="8" max="8" width="16.81640625" bestFit="1" customWidth="1"/>
  </cols>
  <sheetData>
    <row r="1" spans="1:8">
      <c r="B1" s="246" t="s">
        <v>392</v>
      </c>
      <c r="E1" s="246" t="s">
        <v>394</v>
      </c>
      <c r="F1" s="246" t="s">
        <v>395</v>
      </c>
    </row>
    <row r="2" spans="1:8">
      <c r="A2" s="246" t="s">
        <v>390</v>
      </c>
      <c r="B2" s="207" t="s">
        <v>394</v>
      </c>
      <c r="C2" s="221" t="s">
        <v>393</v>
      </c>
      <c r="E2" s="246" t="s">
        <v>390</v>
      </c>
      <c r="F2" s="207" t="s">
        <v>308</v>
      </c>
      <c r="G2" s="207" t="s">
        <v>311</v>
      </c>
      <c r="H2" s="207" t="s">
        <v>391</v>
      </c>
    </row>
    <row r="3" spans="1:8">
      <c r="A3" s="162" t="s">
        <v>308</v>
      </c>
      <c r="B3" s="249">
        <v>940</v>
      </c>
      <c r="C3" s="221">
        <v>5900</v>
      </c>
      <c r="E3" s="162" t="s">
        <v>381</v>
      </c>
      <c r="F3" s="249">
        <v>900</v>
      </c>
      <c r="G3" s="249">
        <v>980</v>
      </c>
      <c r="H3" s="249">
        <v>1880</v>
      </c>
    </row>
    <row r="4" spans="1:8">
      <c r="A4" s="250">
        <v>45337</v>
      </c>
      <c r="B4" s="249">
        <v>940</v>
      </c>
      <c r="C4" s="221">
        <v>5900</v>
      </c>
      <c r="E4" s="162" t="s">
        <v>382</v>
      </c>
      <c r="F4" s="249">
        <v>40</v>
      </c>
      <c r="G4" s="249">
        <v>47</v>
      </c>
      <c r="H4" s="249">
        <v>87</v>
      </c>
    </row>
    <row r="5" spans="1:8">
      <c r="A5" s="162" t="s">
        <v>311</v>
      </c>
      <c r="B5" s="249">
        <v>1027</v>
      </c>
      <c r="C5" s="221">
        <v>5252.8</v>
      </c>
      <c r="E5" s="162" t="s">
        <v>391</v>
      </c>
      <c r="F5" s="249">
        <v>940</v>
      </c>
      <c r="G5" s="249">
        <v>1027</v>
      </c>
      <c r="H5" s="249">
        <v>1967</v>
      </c>
    </row>
    <row r="6" spans="1:8">
      <c r="A6" s="250">
        <v>45342</v>
      </c>
      <c r="B6" s="249">
        <v>1027</v>
      </c>
      <c r="C6" s="221">
        <v>5252.8</v>
      </c>
    </row>
    <row r="7" spans="1:8">
      <c r="A7" s="162" t="s">
        <v>391</v>
      </c>
      <c r="B7" s="249">
        <v>1967</v>
      </c>
      <c r="C7" s="221">
        <v>11152.8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db_clienti</vt:lpstr>
      <vt:lpstr>bhpc_data</vt:lpstr>
      <vt:lpstr>dgn_calculation</vt:lpstr>
      <vt:lpstr>proformaModel</vt:lpstr>
      <vt:lpstr>plModel</vt:lpstr>
      <vt:lpstr>dgnModel</vt:lpstr>
      <vt:lpstr>salesHistory</vt:lpstr>
      <vt:lpstr>orderHistory</vt:lpstr>
      <vt:lpstr>ORDER ENTRY FORM</vt:lpstr>
      <vt:lpstr>BHPC MANAGER</vt:lpstr>
      <vt:lpstr>ORDER MANAGER</vt:lpstr>
      <vt:lpstr>ANALYTICS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lastPrinted>2024-02-15T14:56:31Z</cp:lastPrinted>
  <dcterms:created xsi:type="dcterms:W3CDTF">2016-09-21T06:55:08Z</dcterms:created>
  <dcterms:modified xsi:type="dcterms:W3CDTF">2024-02-17T13:06:55Z</dcterms:modified>
</cp:coreProperties>
</file>