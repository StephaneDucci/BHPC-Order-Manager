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-120" yWindow="-120" windowWidth="28940" windowHeight="12900" tabRatio="895" activeTab="10"/>
  </bookViews>
  <sheets>
    <sheet name="db_clienti" sheetId="30" r:id="rId1"/>
    <sheet name="bhpc_data" sheetId="31" r:id="rId2"/>
    <sheet name="dgn_calculation" sheetId="23" state="hidden" r:id="rId3"/>
    <sheet name="proformaModel" sheetId="26" state="hidden" r:id="rId4"/>
    <sheet name="plModel" sheetId="32" state="hidden" r:id="rId5"/>
    <sheet name="dgnModel" sheetId="28" state="hidden" r:id="rId6"/>
    <sheet name="salesHistory" sheetId="33" r:id="rId7"/>
    <sheet name="orderHistory" sheetId="35" r:id="rId8"/>
    <sheet name="ORDER ENTRY FORM" sheetId="25" r:id="rId9"/>
    <sheet name="BHPC KANBAN" sheetId="36" r:id="rId10"/>
    <sheet name="BHPC MANAGER" sheetId="37" r:id="rId11"/>
    <sheet name="ANALYTICS" sheetId="34" state="hidden" r:id="rId12"/>
  </sheets>
  <externalReferences>
    <externalReference r:id="rId13"/>
  </externalReferences>
  <definedNames>
    <definedName name="_xlnm._FilterDatabase" localSheetId="10" hidden="1">'BHPC MANAGER'!$BK$9:$BO$250</definedName>
    <definedName name="_xlnm._FilterDatabase" localSheetId="0" hidden="1">db_clienti!$A$2:$S$11</definedName>
    <definedName name="_xlnm._FilterDatabase" localSheetId="8" hidden="1">'ORDER ENTRY FORM'!$C$3:$E$52</definedName>
    <definedName name="clientId">OFFSET(db_clienti!$A$3,0,0,COUNTA(db_clienti!$A$3:$A$999),1)</definedName>
    <definedName name="orderIdfilteredByYear">IF('BHPC MANAGER'!$P$5="",orderIDforSelectedClient,OFFSET('BHPC MANAGER'!$BO$10,MATCH('BHPC MANAGER'!$P$5,'BHPC MANAGER'!$BM$10:$BM$250,0)-1,0,COUNTIF('BHPC MANAGER'!$BM$10:$BM$250,'BHPC MANAGER'!$P$5)))</definedName>
    <definedName name="orderIDforSelectedClient">OFFSET('BHPC MANAGER'!$BL$10,0,0,COUNTA('BHPC MANAGER'!$BL$10:$BL$250)-COUNTBLANK('BHPC MANAGER'!$BL$10:$BL$250),1)</definedName>
    <definedName name="orderYearForSelectedClient">OFFSET('BHPC MANAGER'!$BM$10,0,0,COUNTA('BHPC MANAGER'!$BM$10:$BM$250)-COUNTBLANK('BHPC MANAGER'!$BM$10:$BM$250),1)</definedName>
    <definedName name="yearSelDist">OFFSET('BHPC MANAGER'!$BN$10,0,0,COUNTA('BHPC MANAGER'!$BN$10:$BN$250)-COUNTBLANK('BHPC MANAGER'!$BN$10:$BN$250),1)</definedName>
  </definedNames>
  <calcPr calcId="125725"/>
  <pivotCaches>
    <pivotCache cacheId="0" r:id="rId14"/>
  </pivotCaches>
</workbook>
</file>

<file path=xl/calcChain.xml><?xml version="1.0" encoding="utf-8"?>
<calcChain xmlns="http://schemas.openxmlformats.org/spreadsheetml/2006/main">
  <c r="J2" i="37"/>
  <c r="W4" i="35"/>
  <c r="P17"/>
  <c r="J17"/>
  <c r="K17"/>
  <c r="E9" i="37" l="1"/>
  <c r="AR25"/>
  <c r="W7" i="35"/>
  <c r="W3"/>
  <c r="W5"/>
  <c r="W6"/>
  <c r="W8"/>
  <c r="Y17"/>
  <c r="U39" i="37" l="1" a="1"/>
  <c r="U39" s="1"/>
  <c r="S38" a="1"/>
  <c r="S38" s="1"/>
  <c r="Q37" a="1"/>
  <c r="Q37" s="1"/>
  <c r="O36" a="1"/>
  <c r="O36" s="1"/>
  <c r="M35" a="1"/>
  <c r="M35" s="1"/>
  <c r="U33" a="1"/>
  <c r="U33" s="1"/>
  <c r="S32" a="1"/>
  <c r="S32" s="1"/>
  <c r="Q31" a="1"/>
  <c r="Q31" s="1"/>
  <c r="O30" a="1"/>
  <c r="O30" s="1"/>
  <c r="M29" a="1"/>
  <c r="M29" s="1"/>
  <c r="U27" a="1"/>
  <c r="U27" s="1"/>
  <c r="S26" a="1"/>
  <c r="S26" s="1"/>
  <c r="Q25" a="1"/>
  <c r="Q25" s="1"/>
  <c r="O24" a="1"/>
  <c r="O24" s="1"/>
  <c r="M23" a="1"/>
  <c r="M23" s="1"/>
  <c r="U21" a="1"/>
  <c r="U21" s="1"/>
  <c r="S20" a="1"/>
  <c r="S20" s="1"/>
  <c r="Q19" a="1"/>
  <c r="Q19" s="1"/>
  <c r="O18" a="1"/>
  <c r="O18" s="1"/>
  <c r="M17" a="1"/>
  <c r="M17" s="1"/>
  <c r="U15" a="1"/>
  <c r="U15" s="1"/>
  <c r="S14" a="1"/>
  <c r="S14" s="1"/>
  <c r="Q13" a="1"/>
  <c r="Q13" s="1"/>
  <c r="O12" a="1"/>
  <c r="O12" s="1"/>
  <c r="M11" a="1"/>
  <c r="M11" s="1"/>
  <c r="Q20" a="1"/>
  <c r="Q20" s="1"/>
  <c r="U10" a="1"/>
  <c r="U10" s="1"/>
  <c r="T33" a="1"/>
  <c r="T33" s="1"/>
  <c r="V22" a="1"/>
  <c r="V22" s="1"/>
  <c r="R14" a="1"/>
  <c r="R14" s="1"/>
  <c r="V39" a="1"/>
  <c r="V39" s="1"/>
  <c r="T38" a="1"/>
  <c r="T38" s="1"/>
  <c r="R37" a="1"/>
  <c r="R37" s="1"/>
  <c r="P36" a="1"/>
  <c r="P36" s="1"/>
  <c r="N35" a="1"/>
  <c r="N35" s="1"/>
  <c r="V33" a="1"/>
  <c r="V33" s="1"/>
  <c r="T32" a="1"/>
  <c r="T32" s="1"/>
  <c r="R31" a="1"/>
  <c r="R31" s="1"/>
  <c r="P30" a="1"/>
  <c r="P30" s="1"/>
  <c r="N29" a="1"/>
  <c r="N29" s="1"/>
  <c r="V27" a="1"/>
  <c r="V27" s="1"/>
  <c r="T26" a="1"/>
  <c r="T26" s="1"/>
  <c r="R25" a="1"/>
  <c r="R25" s="1"/>
  <c r="P24" a="1"/>
  <c r="P24" s="1"/>
  <c r="N23" a="1"/>
  <c r="N23" s="1"/>
  <c r="V21" a="1"/>
  <c r="V21" s="1"/>
  <c r="T20" a="1"/>
  <c r="T20" s="1"/>
  <c r="R19" a="1"/>
  <c r="R19" s="1"/>
  <c r="P18" a="1"/>
  <c r="P18" s="1"/>
  <c r="N17" a="1"/>
  <c r="N17" s="1"/>
  <c r="V15" a="1"/>
  <c r="V15" s="1"/>
  <c r="T14" a="1"/>
  <c r="T14" s="1"/>
  <c r="R13" a="1"/>
  <c r="R13" s="1"/>
  <c r="P12" a="1"/>
  <c r="P12" s="1"/>
  <c r="N11" a="1"/>
  <c r="N11" s="1"/>
  <c r="U29" a="1"/>
  <c r="U29" s="1"/>
  <c r="S22" a="1"/>
  <c r="S22" s="1"/>
  <c r="Q15" a="1"/>
  <c r="Q15" s="1"/>
  <c r="R39" a="1"/>
  <c r="R39" s="1"/>
  <c r="N31" a="1"/>
  <c r="N31" s="1"/>
  <c r="V23" a="1"/>
  <c r="V23" s="1"/>
  <c r="V17" a="1"/>
  <c r="V17" s="1"/>
  <c r="T10" a="1"/>
  <c r="T10" s="1"/>
  <c r="O37" a="1"/>
  <c r="O37" s="1"/>
  <c r="M30" a="1"/>
  <c r="M30" s="1"/>
  <c r="U22" a="1"/>
  <c r="U22" s="1"/>
  <c r="M12" a="1"/>
  <c r="M12" s="1"/>
  <c r="V34" a="1"/>
  <c r="V34" s="1"/>
  <c r="P25" a="1"/>
  <c r="P25" s="1"/>
  <c r="T15" a="1"/>
  <c r="T15" s="1"/>
  <c r="M40" a="1"/>
  <c r="M40" s="1"/>
  <c r="U38" a="1"/>
  <c r="U38" s="1"/>
  <c r="S37" a="1"/>
  <c r="S37" s="1"/>
  <c r="Q36" a="1"/>
  <c r="Q36" s="1"/>
  <c r="O35" a="1"/>
  <c r="O35" s="1"/>
  <c r="M34" a="1"/>
  <c r="M34" s="1"/>
  <c r="U32" a="1"/>
  <c r="U32" s="1"/>
  <c r="S31" a="1"/>
  <c r="S31" s="1"/>
  <c r="Q30" a="1"/>
  <c r="Q30" s="1"/>
  <c r="O29" a="1"/>
  <c r="O29" s="1"/>
  <c r="M28" a="1"/>
  <c r="M28" s="1"/>
  <c r="U26" a="1"/>
  <c r="U26" s="1"/>
  <c r="S25" a="1"/>
  <c r="S25" s="1"/>
  <c r="Q24" a="1"/>
  <c r="Q24" s="1"/>
  <c r="O23" a="1"/>
  <c r="O23" s="1"/>
  <c r="M22" a="1"/>
  <c r="M22" s="1"/>
  <c r="U20" a="1"/>
  <c r="U20" s="1"/>
  <c r="S19" a="1"/>
  <c r="S19" s="1"/>
  <c r="Q18" a="1"/>
  <c r="Q18" s="1"/>
  <c r="O17" a="1"/>
  <c r="O17" s="1"/>
  <c r="M16" a="1"/>
  <c r="M16" s="1"/>
  <c r="U14" a="1"/>
  <c r="U14" s="1"/>
  <c r="S13" a="1"/>
  <c r="S13" s="1"/>
  <c r="Q12" a="1"/>
  <c r="Q12" s="1"/>
  <c r="O11" a="1"/>
  <c r="O11" s="1"/>
  <c r="M10" a="1"/>
  <c r="M10" s="1"/>
  <c r="R11" a="1"/>
  <c r="R11" s="1"/>
  <c r="S11" a="1"/>
  <c r="S11" s="1"/>
  <c r="Q39" a="1"/>
  <c r="Q39" s="1"/>
  <c r="Q33" a="1"/>
  <c r="Q33" s="1"/>
  <c r="M25" a="1"/>
  <c r="M25" s="1"/>
  <c r="U17" a="1"/>
  <c r="U17" s="1"/>
  <c r="T40" a="1"/>
  <c r="T40" s="1"/>
  <c r="R33" a="1"/>
  <c r="R33" s="1"/>
  <c r="P26" a="1"/>
  <c r="P26" s="1"/>
  <c r="N19" a="1"/>
  <c r="N19" s="1"/>
  <c r="V11" a="1"/>
  <c r="V11" s="1"/>
  <c r="Q38" a="1"/>
  <c r="Q38" s="1"/>
  <c r="Q32" a="1"/>
  <c r="Q32" s="1"/>
  <c r="O25" a="1"/>
  <c r="O25" s="1"/>
  <c r="U16" a="1"/>
  <c r="U16" s="1"/>
  <c r="N36" a="1"/>
  <c r="N36" s="1"/>
  <c r="R26" a="1"/>
  <c r="R26" s="1"/>
  <c r="V16" a="1"/>
  <c r="V16" s="1"/>
  <c r="N40" a="1"/>
  <c r="N40" s="1"/>
  <c r="V38" a="1"/>
  <c r="V38" s="1"/>
  <c r="T37" a="1"/>
  <c r="T37" s="1"/>
  <c r="R36" a="1"/>
  <c r="R36" s="1"/>
  <c r="P35" a="1"/>
  <c r="P35" s="1"/>
  <c r="N34" a="1"/>
  <c r="N34" s="1"/>
  <c r="V32" a="1"/>
  <c r="V32" s="1"/>
  <c r="T31" a="1"/>
  <c r="T31" s="1"/>
  <c r="R30" a="1"/>
  <c r="R30" s="1"/>
  <c r="P29" a="1"/>
  <c r="P29" s="1"/>
  <c r="N28" a="1"/>
  <c r="N28" s="1"/>
  <c r="V26" a="1"/>
  <c r="V26" s="1"/>
  <c r="T25" a="1"/>
  <c r="T25" s="1"/>
  <c r="R24" a="1"/>
  <c r="R24" s="1"/>
  <c r="P23" a="1"/>
  <c r="P23" s="1"/>
  <c r="N22" a="1"/>
  <c r="N22" s="1"/>
  <c r="V20" a="1"/>
  <c r="V20" s="1"/>
  <c r="T19" a="1"/>
  <c r="T19" s="1"/>
  <c r="R18" a="1"/>
  <c r="R18" s="1"/>
  <c r="P17" a="1"/>
  <c r="P17" s="1"/>
  <c r="N16" a="1"/>
  <c r="N16" s="1"/>
  <c r="V14" a="1"/>
  <c r="V14" s="1"/>
  <c r="T13" a="1"/>
  <c r="T13" s="1"/>
  <c r="R12" a="1"/>
  <c r="R12" s="1"/>
  <c r="P11" a="1"/>
  <c r="P11" s="1"/>
  <c r="N10" a="1"/>
  <c r="N10" s="1"/>
  <c r="Q11" a="1"/>
  <c r="Q11" s="1"/>
  <c r="V13" a="1"/>
  <c r="V13" s="1"/>
  <c r="P10" a="1"/>
  <c r="P10" s="1"/>
  <c r="Q10" a="1"/>
  <c r="Q10" s="1"/>
  <c r="S40" a="1"/>
  <c r="S40" s="1"/>
  <c r="O32" a="1"/>
  <c r="O32" s="1"/>
  <c r="O26" a="1"/>
  <c r="O26" s="1"/>
  <c r="O20" a="1"/>
  <c r="O20" s="1"/>
  <c r="M13" a="1"/>
  <c r="M13" s="1"/>
  <c r="N37" a="1"/>
  <c r="N37" s="1"/>
  <c r="V29" a="1"/>
  <c r="V29" s="1"/>
  <c r="O40" a="1"/>
  <c r="O40" s="1"/>
  <c r="M39" a="1"/>
  <c r="M39" s="1"/>
  <c r="U37" a="1"/>
  <c r="U37" s="1"/>
  <c r="S36" a="1"/>
  <c r="S36" s="1"/>
  <c r="Q35" a="1"/>
  <c r="Q35" s="1"/>
  <c r="O34" a="1"/>
  <c r="O34" s="1"/>
  <c r="M33" a="1"/>
  <c r="M33" s="1"/>
  <c r="U31" a="1"/>
  <c r="U31" s="1"/>
  <c r="S30" a="1"/>
  <c r="S30" s="1"/>
  <c r="Q29" a="1"/>
  <c r="Q29" s="1"/>
  <c r="O28" a="1"/>
  <c r="O28" s="1"/>
  <c r="M27" a="1"/>
  <c r="M27" s="1"/>
  <c r="U25" a="1"/>
  <c r="U25" s="1"/>
  <c r="S24" a="1"/>
  <c r="S24" s="1"/>
  <c r="Q23" a="1"/>
  <c r="Q23" s="1"/>
  <c r="O22" a="1"/>
  <c r="O22" s="1"/>
  <c r="M21" a="1"/>
  <c r="M21" s="1"/>
  <c r="U19" a="1"/>
  <c r="U19" s="1"/>
  <c r="S18" a="1"/>
  <c r="S18" s="1"/>
  <c r="Q17" a="1"/>
  <c r="Q17" s="1"/>
  <c r="O16" a="1"/>
  <c r="O16" s="1"/>
  <c r="M15" a="1"/>
  <c r="M15" s="1"/>
  <c r="U13" a="1"/>
  <c r="U13" s="1"/>
  <c r="S12" a="1"/>
  <c r="S12" s="1"/>
  <c r="O10" a="1"/>
  <c r="O10" s="1"/>
  <c r="U12" a="1"/>
  <c r="U12" s="1"/>
  <c r="M37" a="1"/>
  <c r="M37" s="1"/>
  <c r="T16" a="1"/>
  <c r="T16" s="1"/>
  <c r="U28" a="1"/>
  <c r="U28" s="1"/>
  <c r="S21" a="1"/>
  <c r="S21" s="1"/>
  <c r="Q14" a="1"/>
  <c r="Q14" s="1"/>
  <c r="R38" a="1"/>
  <c r="R38" s="1"/>
  <c r="V28" a="1"/>
  <c r="V28" s="1"/>
  <c r="R20" a="1"/>
  <c r="R20" s="1"/>
  <c r="V10" a="1"/>
  <c r="V10" s="1"/>
  <c r="P40" a="1"/>
  <c r="P40" s="1"/>
  <c r="N39" a="1"/>
  <c r="N39" s="1"/>
  <c r="V37" a="1"/>
  <c r="V37" s="1"/>
  <c r="T36" a="1"/>
  <c r="T36" s="1"/>
  <c r="R35" a="1"/>
  <c r="R35" s="1"/>
  <c r="P34" a="1"/>
  <c r="P34" s="1"/>
  <c r="N33" a="1"/>
  <c r="N33" s="1"/>
  <c r="V31" a="1"/>
  <c r="V31" s="1"/>
  <c r="T30" a="1"/>
  <c r="T30" s="1"/>
  <c r="R29" a="1"/>
  <c r="R29" s="1"/>
  <c r="P28" a="1"/>
  <c r="P28" s="1"/>
  <c r="N27" a="1"/>
  <c r="N27" s="1"/>
  <c r="V25" a="1"/>
  <c r="V25" s="1"/>
  <c r="T24" a="1"/>
  <c r="T24" s="1"/>
  <c r="R23" a="1"/>
  <c r="R23" s="1"/>
  <c r="P22" a="1"/>
  <c r="P22" s="1"/>
  <c r="N21" a="1"/>
  <c r="N21" s="1"/>
  <c r="V19" a="1"/>
  <c r="V19" s="1"/>
  <c r="T18" a="1"/>
  <c r="T18" s="1"/>
  <c r="R17" a="1"/>
  <c r="R17" s="1"/>
  <c r="P16" a="1"/>
  <c r="P16" s="1"/>
  <c r="N15" a="1"/>
  <c r="N15" s="1"/>
  <c r="T12" a="1"/>
  <c r="T12" s="1"/>
  <c r="U35" a="1"/>
  <c r="U35" s="1"/>
  <c r="S28" a="1"/>
  <c r="S28" s="1"/>
  <c r="M19" a="1"/>
  <c r="M19" s="1"/>
  <c r="U11" a="1"/>
  <c r="U11" s="1"/>
  <c r="V35" a="1"/>
  <c r="V35" s="1"/>
  <c r="T28" a="1"/>
  <c r="T28" s="1"/>
  <c r="T22" a="1"/>
  <c r="T22" s="1"/>
  <c r="P14" a="1"/>
  <c r="P14" s="1"/>
  <c r="U40" a="1"/>
  <c r="U40" s="1"/>
  <c r="S33" a="1"/>
  <c r="S33" s="1"/>
  <c r="Q26" a="1"/>
  <c r="Q26" s="1"/>
  <c r="M18" a="1"/>
  <c r="M18" s="1"/>
  <c r="T39" a="1"/>
  <c r="T39" s="1"/>
  <c r="N30" a="1"/>
  <c r="N30" s="1"/>
  <c r="P19" a="1"/>
  <c r="P19" s="1"/>
  <c r="Q40" a="1"/>
  <c r="Q40" s="1"/>
  <c r="O39" a="1"/>
  <c r="O39" s="1"/>
  <c r="M38" a="1"/>
  <c r="M38" s="1"/>
  <c r="U36" a="1"/>
  <c r="U36" s="1"/>
  <c r="S35" a="1"/>
  <c r="S35" s="1"/>
  <c r="Q34" a="1"/>
  <c r="Q34" s="1"/>
  <c r="O33" a="1"/>
  <c r="O33" s="1"/>
  <c r="M32" a="1"/>
  <c r="M32" s="1"/>
  <c r="U30" a="1"/>
  <c r="U30" s="1"/>
  <c r="S29" a="1"/>
  <c r="S29" s="1"/>
  <c r="Q28" a="1"/>
  <c r="Q28" s="1"/>
  <c r="O27" a="1"/>
  <c r="O27" s="1"/>
  <c r="M26" a="1"/>
  <c r="M26" s="1"/>
  <c r="U24" a="1"/>
  <c r="U24" s="1"/>
  <c r="S23" a="1"/>
  <c r="S23" s="1"/>
  <c r="Q22" a="1"/>
  <c r="Q22" s="1"/>
  <c r="O21" a="1"/>
  <c r="O21" s="1"/>
  <c r="M20" a="1"/>
  <c r="M20" s="1"/>
  <c r="U18" a="1"/>
  <c r="U18" s="1"/>
  <c r="S17" a="1"/>
  <c r="S17" s="1"/>
  <c r="Q16" a="1"/>
  <c r="Q16" s="1"/>
  <c r="O15" a="1"/>
  <c r="O15" s="1"/>
  <c r="M14" a="1"/>
  <c r="M14" s="1"/>
  <c r="S34" a="1"/>
  <c r="S34" s="1"/>
  <c r="Q27" a="1"/>
  <c r="Q27" s="1"/>
  <c r="Q21" a="1"/>
  <c r="Q21" s="1"/>
  <c r="O14" a="1"/>
  <c r="O14" s="1"/>
  <c r="P38" a="1"/>
  <c r="P38" s="1"/>
  <c r="P32" a="1"/>
  <c r="P32" s="1"/>
  <c r="N25" a="1"/>
  <c r="N25" s="1"/>
  <c r="R21" a="1"/>
  <c r="R21" s="1"/>
  <c r="R15" a="1"/>
  <c r="R15" s="1"/>
  <c r="U34" a="1"/>
  <c r="U34" s="1"/>
  <c r="S27" a="1"/>
  <c r="S27" s="1"/>
  <c r="O19" a="1"/>
  <c r="O19" s="1"/>
  <c r="V40" a="1"/>
  <c r="V40" s="1"/>
  <c r="P31" a="1"/>
  <c r="P31" s="1"/>
  <c r="T21" a="1"/>
  <c r="T21" s="1"/>
  <c r="N12" a="1"/>
  <c r="N12" s="1"/>
  <c r="R40" a="1"/>
  <c r="R40" s="1"/>
  <c r="P39" a="1"/>
  <c r="P39" s="1"/>
  <c r="N38" a="1"/>
  <c r="N38" s="1"/>
  <c r="V36" a="1"/>
  <c r="V36" s="1"/>
  <c r="T35" a="1"/>
  <c r="T35" s="1"/>
  <c r="R34" a="1"/>
  <c r="R34" s="1"/>
  <c r="P33" a="1"/>
  <c r="P33" s="1"/>
  <c r="N32" a="1"/>
  <c r="N32" s="1"/>
  <c r="V30" a="1"/>
  <c r="V30" s="1"/>
  <c r="T29" a="1"/>
  <c r="T29" s="1"/>
  <c r="R28" a="1"/>
  <c r="R28" s="1"/>
  <c r="P27" a="1"/>
  <c r="P27" s="1"/>
  <c r="N26" a="1"/>
  <c r="N26" s="1"/>
  <c r="V24" a="1"/>
  <c r="V24" s="1"/>
  <c r="T23" a="1"/>
  <c r="T23" s="1"/>
  <c r="R22" a="1"/>
  <c r="R22" s="1"/>
  <c r="P21" a="1"/>
  <c r="P21" s="1"/>
  <c r="N20" a="1"/>
  <c r="N20" s="1"/>
  <c r="V18" a="1"/>
  <c r="V18" s="1"/>
  <c r="T17" a="1"/>
  <c r="T17" s="1"/>
  <c r="R16" a="1"/>
  <c r="R16" s="1"/>
  <c r="P15" a="1"/>
  <c r="P15" s="1"/>
  <c r="N14" a="1"/>
  <c r="N14" s="1"/>
  <c r="V12" a="1"/>
  <c r="V12" s="1"/>
  <c r="T11" a="1"/>
  <c r="T11" s="1"/>
  <c r="R10" a="1"/>
  <c r="R10" s="1"/>
  <c r="O38" a="1"/>
  <c r="O38" s="1"/>
  <c r="M31" a="1"/>
  <c r="M31" s="1"/>
  <c r="U23" a="1"/>
  <c r="U23" s="1"/>
  <c r="S16" a="1"/>
  <c r="S16" s="1"/>
  <c r="S10" a="1"/>
  <c r="S10" s="1"/>
  <c r="T34" a="1"/>
  <c r="T34" s="1"/>
  <c r="R27" a="1"/>
  <c r="R27" s="1"/>
  <c r="P20" a="1"/>
  <c r="P20" s="1"/>
  <c r="N13" a="1"/>
  <c r="N13" s="1"/>
  <c r="S39" a="1"/>
  <c r="S39" s="1"/>
  <c r="O31" a="1"/>
  <c r="O31" s="1"/>
  <c r="M24" a="1"/>
  <c r="M24" s="1"/>
  <c r="S15" a="1"/>
  <c r="S15" s="1"/>
  <c r="P37" a="1"/>
  <c r="P37" s="1"/>
  <c r="T27" a="1"/>
  <c r="T27" s="1"/>
  <c r="N18" a="1"/>
  <c r="N18" s="1"/>
  <c r="M36" a="1"/>
  <c r="M36" s="1"/>
  <c r="O13" a="1"/>
  <c r="O13" s="1"/>
  <c r="R32" a="1"/>
  <c r="R32" s="1"/>
  <c r="N24" a="1"/>
  <c r="N24" s="1"/>
  <c r="P13" a="1"/>
  <c r="P13" s="1"/>
  <c r="H10"/>
  <c r="H26"/>
  <c r="H38"/>
  <c r="H39" s="1"/>
  <c r="H23"/>
  <c r="H22"/>
  <c r="H28"/>
  <c r="H12"/>
  <c r="H14"/>
  <c r="H32"/>
  <c r="H27"/>
  <c r="H20"/>
  <c r="H18"/>
  <c r="H37"/>
  <c r="H24"/>
  <c r="A1" i="30"/>
  <c r="B17" i="35"/>
  <c r="C17"/>
  <c r="D17"/>
  <c r="E17"/>
  <c r="F17"/>
  <c r="G17"/>
  <c r="H17"/>
  <c r="I17"/>
  <c r="L17"/>
  <c r="M17"/>
  <c r="N17"/>
  <c r="Z17"/>
  <c r="Q17"/>
  <c r="R17"/>
  <c r="S17"/>
  <c r="T17"/>
  <c r="W17"/>
  <c r="O17"/>
  <c r="A17"/>
  <c r="BK10" i="37" l="1" a="1"/>
  <c r="BK10" s="1"/>
  <c r="BM10" s="1"/>
  <c r="H34"/>
  <c r="H35"/>
  <c r="J12" i="25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1"/>
  <c r="J10"/>
  <c r="J9"/>
  <c r="J8"/>
  <c r="J7"/>
  <c r="J6"/>
  <c r="J5"/>
  <c r="J4"/>
  <c r="BL10" i="37" l="1" a="1"/>
  <c r="BL10" s="1"/>
  <c r="BO10" l="1"/>
  <c r="BL11" a="1"/>
  <c r="BL11" s="1"/>
  <c r="J2" i="25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2"/>
  <c r="D11"/>
  <c r="D10"/>
  <c r="D9"/>
  <c r="D8"/>
  <c r="D7"/>
  <c r="D6"/>
  <c r="D5"/>
  <c r="D4"/>
  <c r="B31" i="28"/>
  <c r="BL12" i="37" l="1" a="1"/>
  <c r="BL12" s="1"/>
  <c r="K100" i="25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E2"/>
  <c r="B10" i="23" a="1"/>
  <c r="B10" s="1"/>
  <c r="B11" s="1" a="1"/>
  <c r="B11" s="1"/>
  <c r="A9"/>
  <c r="AJ76" i="31"/>
  <c r="AJ77"/>
  <c r="AK76"/>
  <c r="AC76" s="1"/>
  <c r="AK77"/>
  <c r="AC77" s="1"/>
  <c r="BL13" i="37" l="1" a="1"/>
  <c r="BL13" s="1"/>
  <c r="AL76" i="31"/>
  <c r="AF76" s="1"/>
  <c r="AL77"/>
  <c r="AI77" s="1"/>
  <c r="B12" i="23" a="1"/>
  <c r="B12" s="1"/>
  <c r="AB76" i="31"/>
  <c r="AB77"/>
  <c r="BL14" i="37" l="1" a="1"/>
  <c r="BL14" s="1"/>
  <c r="AG76" i="31"/>
  <c r="AI76"/>
  <c r="AF77"/>
  <c r="AG77"/>
  <c r="AE76"/>
  <c r="AH76"/>
  <c r="AD76"/>
  <c r="AE77"/>
  <c r="AH77"/>
  <c r="AD77"/>
  <c r="B13" i="23" a="1"/>
  <c r="B13" s="1"/>
  <c r="BL15" i="37" l="1" a="1"/>
  <c r="BL15" s="1"/>
  <c r="B14" i="23" a="1"/>
  <c r="B14" s="1"/>
  <c r="BL16" i="37" l="1" a="1"/>
  <c r="BL16" s="1"/>
  <c r="B15" i="23" a="1"/>
  <c r="B15" s="1"/>
  <c r="BL17" i="37" l="1" a="1"/>
  <c r="BL17" s="1"/>
  <c r="B16" i="23" a="1"/>
  <c r="B16" s="1"/>
  <c r="B17" s="1" a="1"/>
  <c r="B17" s="1"/>
  <c r="BL18" i="37" l="1" a="1"/>
  <c r="BL18" s="1"/>
  <c r="BL19" s="1" a="1"/>
  <c r="BL19" s="1"/>
  <c r="B18" i="23" a="1"/>
  <c r="B18" s="1"/>
  <c r="F17"/>
  <c r="G17"/>
  <c r="H17"/>
  <c r="M17"/>
  <c r="I17"/>
  <c r="J17"/>
  <c r="K17"/>
  <c r="L17"/>
  <c r="N17"/>
  <c r="C17"/>
  <c r="D17"/>
  <c r="E17"/>
  <c r="N14"/>
  <c r="M14"/>
  <c r="L14"/>
  <c r="K14"/>
  <c r="N11"/>
  <c r="M11"/>
  <c r="L11"/>
  <c r="K11"/>
  <c r="N10"/>
  <c r="M10"/>
  <c r="L10"/>
  <c r="K10"/>
  <c r="J16"/>
  <c r="I16"/>
  <c r="H16"/>
  <c r="G16"/>
  <c r="J15"/>
  <c r="I15"/>
  <c r="H15"/>
  <c r="G15"/>
  <c r="J13"/>
  <c r="I13"/>
  <c r="H13"/>
  <c r="G13"/>
  <c r="J12"/>
  <c r="I12"/>
  <c r="H12"/>
  <c r="G12"/>
  <c r="J11"/>
  <c r="I11"/>
  <c r="H11"/>
  <c r="G11"/>
  <c r="J10"/>
  <c r="I10"/>
  <c r="H10"/>
  <c r="G10"/>
  <c r="F16"/>
  <c r="E16"/>
  <c r="D16"/>
  <c r="C16"/>
  <c r="F15"/>
  <c r="E15"/>
  <c r="D15"/>
  <c r="C15"/>
  <c r="F14"/>
  <c r="E14"/>
  <c r="D14"/>
  <c r="C14"/>
  <c r="F13"/>
  <c r="E13"/>
  <c r="D13"/>
  <c r="C13"/>
  <c r="F12"/>
  <c r="E12"/>
  <c r="D12"/>
  <c r="C12"/>
  <c r="AK2" i="31"/>
  <c r="AC2" s="1"/>
  <c r="AK3"/>
  <c r="AC3" s="1"/>
  <c r="AK4"/>
  <c r="AC4" s="1"/>
  <c r="AK5"/>
  <c r="AC5" s="1"/>
  <c r="AK6"/>
  <c r="AC6" s="1"/>
  <c r="AK7"/>
  <c r="AC7" s="1"/>
  <c r="AK8"/>
  <c r="AC8" s="1"/>
  <c r="AK9"/>
  <c r="AC9" s="1"/>
  <c r="AK10"/>
  <c r="AC10" s="1"/>
  <c r="AK11"/>
  <c r="AC11" s="1"/>
  <c r="AK12"/>
  <c r="AC12" s="1"/>
  <c r="AK13"/>
  <c r="AC13" s="1"/>
  <c r="AK14"/>
  <c r="AC14" s="1"/>
  <c r="AK15"/>
  <c r="AC15" s="1"/>
  <c r="AK16"/>
  <c r="AC16" s="1"/>
  <c r="AK17"/>
  <c r="AC17" s="1"/>
  <c r="AK18"/>
  <c r="AC18" s="1"/>
  <c r="AK19"/>
  <c r="AC19" s="1"/>
  <c r="AK20"/>
  <c r="AC20" s="1"/>
  <c r="AK21"/>
  <c r="AK22"/>
  <c r="AC22" s="1"/>
  <c r="AK23"/>
  <c r="AC23" s="1"/>
  <c r="AK24"/>
  <c r="AC24" s="1"/>
  <c r="AK25"/>
  <c r="AC25" s="1"/>
  <c r="AK26"/>
  <c r="AC26" s="1"/>
  <c r="AK27"/>
  <c r="AC27" s="1"/>
  <c r="AK28"/>
  <c r="AC28" s="1"/>
  <c r="AK29"/>
  <c r="AC29" s="1"/>
  <c r="AK30"/>
  <c r="AC30" s="1"/>
  <c r="AK31"/>
  <c r="AC31" s="1"/>
  <c r="AK32"/>
  <c r="AC32" s="1"/>
  <c r="AK33"/>
  <c r="AC33" s="1"/>
  <c r="AK34"/>
  <c r="AC34" s="1"/>
  <c r="AK35"/>
  <c r="AC35" s="1"/>
  <c r="AK36"/>
  <c r="AC36" s="1"/>
  <c r="AK37"/>
  <c r="AC37" s="1"/>
  <c r="AK38"/>
  <c r="AC38" s="1"/>
  <c r="AK39"/>
  <c r="AC39" s="1"/>
  <c r="AK40"/>
  <c r="AC40" s="1"/>
  <c r="AK41"/>
  <c r="AC41" s="1"/>
  <c r="AK42"/>
  <c r="AC42" s="1"/>
  <c r="AK43"/>
  <c r="AC43" s="1"/>
  <c r="AK44"/>
  <c r="AC44" s="1"/>
  <c r="AK45"/>
  <c r="AC45" s="1"/>
  <c r="AK46"/>
  <c r="AC46" s="1"/>
  <c r="AK47"/>
  <c r="AC47" s="1"/>
  <c r="AK48"/>
  <c r="AC48" s="1"/>
  <c r="AK49"/>
  <c r="AC49" s="1"/>
  <c r="AK50"/>
  <c r="AC50" s="1"/>
  <c r="AK51"/>
  <c r="AC51" s="1"/>
  <c r="AK52"/>
  <c r="AC52" s="1"/>
  <c r="AK53"/>
  <c r="AC53" s="1"/>
  <c r="AK54"/>
  <c r="AC54" s="1"/>
  <c r="AK55"/>
  <c r="AC55" s="1"/>
  <c r="AK56"/>
  <c r="AC56" s="1"/>
  <c r="AK57"/>
  <c r="AC57" s="1"/>
  <c r="AK58"/>
  <c r="AC58" s="1"/>
  <c r="AK59"/>
  <c r="AC59" s="1"/>
  <c r="AK60"/>
  <c r="AC60" s="1"/>
  <c r="AK61"/>
  <c r="AC61" s="1"/>
  <c r="AK62"/>
  <c r="AC62" s="1"/>
  <c r="AK63"/>
  <c r="AC63" s="1"/>
  <c r="AK64"/>
  <c r="AC64" s="1"/>
  <c r="AK65"/>
  <c r="AC65" s="1"/>
  <c r="AK66"/>
  <c r="AC66" s="1"/>
  <c r="AK67"/>
  <c r="AC67" s="1"/>
  <c r="AK68"/>
  <c r="AC68" s="1"/>
  <c r="AK69"/>
  <c r="AC69" s="1"/>
  <c r="AK70"/>
  <c r="AC70" s="1"/>
  <c r="AK71"/>
  <c r="AC71" s="1"/>
  <c r="AK72"/>
  <c r="AC72" s="1"/>
  <c r="AK73"/>
  <c r="AC73" s="1"/>
  <c r="AK74"/>
  <c r="AC74" s="1"/>
  <c r="AK75"/>
  <c r="AC75" s="1"/>
  <c r="AJ2"/>
  <c r="AB2" s="1"/>
  <c r="AJ3"/>
  <c r="AB3" s="1"/>
  <c r="AJ4"/>
  <c r="AB4" s="1"/>
  <c r="AJ5"/>
  <c r="AJ6"/>
  <c r="AB6" s="1"/>
  <c r="AJ7"/>
  <c r="AJ8"/>
  <c r="AJ9"/>
  <c r="AB9" s="1"/>
  <c r="AJ10"/>
  <c r="AB10" s="1"/>
  <c r="AJ11"/>
  <c r="AB11" s="1"/>
  <c r="AJ12"/>
  <c r="AB12" s="1"/>
  <c r="AJ13"/>
  <c r="AJ14"/>
  <c r="AB14" s="1"/>
  <c r="AJ15"/>
  <c r="AJ16"/>
  <c r="AJ17"/>
  <c r="AB17" s="1"/>
  <c r="AJ18"/>
  <c r="AB18" s="1"/>
  <c r="AJ19"/>
  <c r="AB19" s="1"/>
  <c r="AJ20"/>
  <c r="AB20" s="1"/>
  <c r="AJ21"/>
  <c r="AJ22"/>
  <c r="AB22" s="1"/>
  <c r="AJ23"/>
  <c r="AJ24"/>
  <c r="AJ25"/>
  <c r="AB25" s="1"/>
  <c r="AJ26"/>
  <c r="AB26" s="1"/>
  <c r="AJ27"/>
  <c r="AJ28"/>
  <c r="AJ29"/>
  <c r="AJ30"/>
  <c r="AB30" s="1"/>
  <c r="AJ31"/>
  <c r="AB31" s="1"/>
  <c r="AJ32"/>
  <c r="AJ33"/>
  <c r="AJ34"/>
  <c r="AB34" s="1"/>
  <c r="AJ35"/>
  <c r="AJ36"/>
  <c r="AJ37"/>
  <c r="AB37" s="1"/>
  <c r="AJ38"/>
  <c r="AB38" s="1"/>
  <c r="AJ39"/>
  <c r="AJ40"/>
  <c r="AJ41"/>
  <c r="AB41" s="1"/>
  <c r="AJ42"/>
  <c r="AB42" s="1"/>
  <c r="AJ43"/>
  <c r="AB43" s="1"/>
  <c r="AJ44"/>
  <c r="AJ45"/>
  <c r="AB45" s="1"/>
  <c r="AJ46"/>
  <c r="AJ47"/>
  <c r="AB47" s="1"/>
  <c r="AJ48"/>
  <c r="AJ49"/>
  <c r="AJ50"/>
  <c r="AB50" s="1"/>
  <c r="AJ51"/>
  <c r="AB51" s="1"/>
  <c r="AJ52"/>
  <c r="AB52" s="1"/>
  <c r="AJ53"/>
  <c r="AJ54"/>
  <c r="AB54" s="1"/>
  <c r="AJ55"/>
  <c r="AB55" s="1"/>
  <c r="AJ56"/>
  <c r="AJ57"/>
  <c r="AJ58"/>
  <c r="AB58" s="1"/>
  <c r="AJ59"/>
  <c r="AJ60"/>
  <c r="AJ61"/>
  <c r="AJ62"/>
  <c r="AJ63"/>
  <c r="AB63" s="1"/>
  <c r="AJ64"/>
  <c r="AJ65"/>
  <c r="AJ66"/>
  <c r="AB66" s="1"/>
  <c r="AJ67"/>
  <c r="AJ68"/>
  <c r="AJ69"/>
  <c r="AB69" s="1"/>
  <c r="AJ70"/>
  <c r="AJ71"/>
  <c r="AJ72"/>
  <c r="AJ73"/>
  <c r="AJ74"/>
  <c r="AB74" s="1"/>
  <c r="AJ75"/>
  <c r="AB75" s="1"/>
  <c r="AC21"/>
  <c r="BL20" i="37" l="1" a="1"/>
  <c r="BL20" s="1"/>
  <c r="BL21" s="1" a="1"/>
  <c r="BL21" s="1"/>
  <c r="AL33" i="31"/>
  <c r="AG33" s="1"/>
  <c r="AL21"/>
  <c r="AG21" s="1"/>
  <c r="O17" i="23"/>
  <c r="B19" a="1"/>
  <c r="B19" s="1"/>
  <c r="F18"/>
  <c r="G18"/>
  <c r="H18"/>
  <c r="M18"/>
  <c r="N18"/>
  <c r="E18"/>
  <c r="I18"/>
  <c r="J18"/>
  <c r="K18"/>
  <c r="L18"/>
  <c r="C18"/>
  <c r="D18"/>
  <c r="AL57" i="31"/>
  <c r="AG57" s="1"/>
  <c r="AL72"/>
  <c r="AH72" s="1"/>
  <c r="AL60"/>
  <c r="AH60" s="1"/>
  <c r="AL48"/>
  <c r="AH48" s="1"/>
  <c r="AL36"/>
  <c r="AH36" s="1"/>
  <c r="AL24"/>
  <c r="AH24" s="1"/>
  <c r="AL12"/>
  <c r="AH12" s="1"/>
  <c r="AL73"/>
  <c r="AI73" s="1"/>
  <c r="AL61"/>
  <c r="AI61" s="1"/>
  <c r="AL49"/>
  <c r="AI49" s="1"/>
  <c r="AL13"/>
  <c r="AI13" s="1"/>
  <c r="AL67"/>
  <c r="AF67" s="1"/>
  <c r="AL7"/>
  <c r="AF7" s="1"/>
  <c r="AL68"/>
  <c r="AF68" s="1"/>
  <c r="AL56"/>
  <c r="AF56" s="1"/>
  <c r="AL44"/>
  <c r="AF44" s="1"/>
  <c r="AL32"/>
  <c r="AF32" s="1"/>
  <c r="AL8"/>
  <c r="AF8" s="1"/>
  <c r="AB13"/>
  <c r="AL34"/>
  <c r="AI34" s="1"/>
  <c r="AL22"/>
  <c r="AF22" s="1"/>
  <c r="AL10"/>
  <c r="AE10" s="1"/>
  <c r="AB8"/>
  <c r="AL70"/>
  <c r="AL58"/>
  <c r="AL46"/>
  <c r="AD21"/>
  <c r="AI33"/>
  <c r="AL64"/>
  <c r="AL40"/>
  <c r="AL28"/>
  <c r="AL16"/>
  <c r="AB56"/>
  <c r="AL65"/>
  <c r="AL53"/>
  <c r="AL29"/>
  <c r="AL5"/>
  <c r="AB68"/>
  <c r="AB32"/>
  <c r="AL71"/>
  <c r="AL59"/>
  <c r="AL47"/>
  <c r="AL35"/>
  <c r="AL23"/>
  <c r="AL11"/>
  <c r="H6" i="23"/>
  <c r="AB44" i="31"/>
  <c r="AB73"/>
  <c r="AB16"/>
  <c r="AL62"/>
  <c r="AB72"/>
  <c r="AB48"/>
  <c r="AL39"/>
  <c r="AL27"/>
  <c r="AL15"/>
  <c r="AL3"/>
  <c r="AL43"/>
  <c r="AB28"/>
  <c r="AB60"/>
  <c r="AB49"/>
  <c r="AB61"/>
  <c r="D6" i="23"/>
  <c r="AB24" i="31"/>
  <c r="AB64"/>
  <c r="AB36"/>
  <c r="AL37"/>
  <c r="AL25"/>
  <c r="AB7"/>
  <c r="AB65"/>
  <c r="AL20"/>
  <c r="AB67"/>
  <c r="AB70"/>
  <c r="AB29"/>
  <c r="AB71"/>
  <c r="AB33"/>
  <c r="AB57"/>
  <c r="AB35"/>
  <c r="AB21"/>
  <c r="AB5"/>
  <c r="AL66"/>
  <c r="AL42"/>
  <c r="AL30"/>
  <c r="L6" i="23"/>
  <c r="AL9" i="31"/>
  <c r="AL45"/>
  <c r="AL69"/>
  <c r="AL19"/>
  <c r="AL31"/>
  <c r="AL55"/>
  <c r="AB15"/>
  <c r="AL6"/>
  <c r="AL18"/>
  <c r="AL54"/>
  <c r="AB53"/>
  <c r="AB23"/>
  <c r="AB27"/>
  <c r="AL17"/>
  <c r="AL41"/>
  <c r="AB40"/>
  <c r="AB39"/>
  <c r="AL4"/>
  <c r="AL52"/>
  <c r="AB62"/>
  <c r="AL51"/>
  <c r="AL63"/>
  <c r="AL75"/>
  <c r="AL2"/>
  <c r="AL14"/>
  <c r="AL26"/>
  <c r="AL38"/>
  <c r="AL50"/>
  <c r="AL74"/>
  <c r="AB59"/>
  <c r="AB46"/>
  <c r="G73" i="32"/>
  <c r="A73"/>
  <c r="G72"/>
  <c r="A72"/>
  <c r="G71"/>
  <c r="A71"/>
  <c r="G70"/>
  <c r="A70"/>
  <c r="G69"/>
  <c r="A69"/>
  <c r="G68"/>
  <c r="A68"/>
  <c r="G67"/>
  <c r="A67"/>
  <c r="G66"/>
  <c r="A66"/>
  <c r="G65"/>
  <c r="A65"/>
  <c r="G64"/>
  <c r="A64"/>
  <c r="G63"/>
  <c r="A63"/>
  <c r="G62"/>
  <c r="A62"/>
  <c r="G61"/>
  <c r="A61"/>
  <c r="G60"/>
  <c r="A60"/>
  <c r="G59"/>
  <c r="A59"/>
  <c r="G58"/>
  <c r="A58"/>
  <c r="G57"/>
  <c r="A57"/>
  <c r="G56"/>
  <c r="A56"/>
  <c r="G55"/>
  <c r="A55"/>
  <c r="G54"/>
  <c r="A54"/>
  <c r="G53"/>
  <c r="A53"/>
  <c r="G52"/>
  <c r="A52"/>
  <c r="G51"/>
  <c r="A51"/>
  <c r="G50"/>
  <c r="A50"/>
  <c r="G49"/>
  <c r="A49"/>
  <c r="G48"/>
  <c r="A48"/>
  <c r="G47"/>
  <c r="A47"/>
  <c r="G46"/>
  <c r="A46"/>
  <c r="G45"/>
  <c r="A45"/>
  <c r="G44"/>
  <c r="A44"/>
  <c r="G43"/>
  <c r="A43"/>
  <c r="G42"/>
  <c r="A42"/>
  <c r="G41"/>
  <c r="A41"/>
  <c r="G40"/>
  <c r="A40"/>
  <c r="G39"/>
  <c r="A39"/>
  <c r="G38"/>
  <c r="A38"/>
  <c r="G37"/>
  <c r="A37"/>
  <c r="G36"/>
  <c r="A36"/>
  <c r="G35"/>
  <c r="A35"/>
  <c r="G34"/>
  <c r="A34"/>
  <c r="G33"/>
  <c r="A33"/>
  <c r="G32"/>
  <c r="A32"/>
  <c r="G31"/>
  <c r="A31"/>
  <c r="G30"/>
  <c r="A30"/>
  <c r="G29"/>
  <c r="A29"/>
  <c r="G28"/>
  <c r="A28"/>
  <c r="G27"/>
  <c r="A27"/>
  <c r="G26"/>
  <c r="A26"/>
  <c r="G25"/>
  <c r="A25"/>
  <c r="G24"/>
  <c r="A24"/>
  <c r="G23"/>
  <c r="A23"/>
  <c r="G22"/>
  <c r="A22"/>
  <c r="G21"/>
  <c r="A21"/>
  <c r="G20"/>
  <c r="A20"/>
  <c r="G19"/>
  <c r="A19"/>
  <c r="G18"/>
  <c r="A18"/>
  <c r="G17"/>
  <c r="A17"/>
  <c r="G16"/>
  <c r="A16"/>
  <c r="B73"/>
  <c r="B72"/>
  <c r="B71"/>
  <c r="B70"/>
  <c r="B69"/>
  <c r="B68"/>
  <c r="B67"/>
  <c r="B66"/>
  <c r="B65" i="26"/>
  <c r="B64" i="32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Q35" i="31"/>
  <c r="Q34"/>
  <c r="H73" i="26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B68"/>
  <c r="A73"/>
  <c r="A72"/>
  <c r="A71"/>
  <c r="I71" s="1"/>
  <c r="A70"/>
  <c r="I70" s="1"/>
  <c r="A69"/>
  <c r="A68"/>
  <c r="A67"/>
  <c r="A66"/>
  <c r="I66" s="1"/>
  <c r="A65"/>
  <c r="I65" s="1"/>
  <c r="A64"/>
  <c r="I64" s="1"/>
  <c r="A63"/>
  <c r="I63" s="1"/>
  <c r="A62"/>
  <c r="A61"/>
  <c r="A60"/>
  <c r="A59"/>
  <c r="I59" s="1"/>
  <c r="A58"/>
  <c r="A57"/>
  <c r="A56"/>
  <c r="A55"/>
  <c r="A54"/>
  <c r="I54" s="1"/>
  <c r="A53"/>
  <c r="I53" s="1"/>
  <c r="A52"/>
  <c r="I52" s="1"/>
  <c r="A51"/>
  <c r="I51" s="1"/>
  <c r="A50"/>
  <c r="A49"/>
  <c r="A48"/>
  <c r="A47"/>
  <c r="A46"/>
  <c r="I46" s="1"/>
  <c r="A45"/>
  <c r="A44"/>
  <c r="A43"/>
  <c r="A42"/>
  <c r="I42" s="1"/>
  <c r="A41"/>
  <c r="I41" s="1"/>
  <c r="A40"/>
  <c r="I40" s="1"/>
  <c r="A39"/>
  <c r="I39" s="1"/>
  <c r="A38"/>
  <c r="A37"/>
  <c r="A36"/>
  <c r="A35"/>
  <c r="A34"/>
  <c r="I34" s="1"/>
  <c r="A33"/>
  <c r="A32"/>
  <c r="A31"/>
  <c r="A30"/>
  <c r="I30" s="1"/>
  <c r="A29"/>
  <c r="I29" s="1"/>
  <c r="A28"/>
  <c r="A27"/>
  <c r="A26"/>
  <c r="A25"/>
  <c r="A24"/>
  <c r="A23"/>
  <c r="A22"/>
  <c r="A21"/>
  <c r="A20"/>
  <c r="A19"/>
  <c r="A18"/>
  <c r="A17"/>
  <c r="A16"/>
  <c r="AF33" i="31" l="1"/>
  <c r="AF21"/>
  <c r="AH33"/>
  <c r="AH21"/>
  <c r="AE33"/>
  <c r="AI21"/>
  <c r="AE21"/>
  <c r="AD33"/>
  <c r="BL22" i="37" a="1"/>
  <c r="BL22" s="1"/>
  <c r="B20" i="23" a="1"/>
  <c r="B20" s="1"/>
  <c r="F19"/>
  <c r="G19"/>
  <c r="H19"/>
  <c r="E19"/>
  <c r="I19"/>
  <c r="J19"/>
  <c r="K19"/>
  <c r="L19"/>
  <c r="M19"/>
  <c r="N19"/>
  <c r="C19"/>
  <c r="D19"/>
  <c r="O18"/>
  <c r="B69" i="26"/>
  <c r="B70"/>
  <c r="I22"/>
  <c r="AH57" i="31"/>
  <c r="AE57"/>
  <c r="AI57"/>
  <c r="AG12"/>
  <c r="AD57"/>
  <c r="AF57"/>
  <c r="K2" i="25"/>
  <c r="I27" i="26"/>
  <c r="F59"/>
  <c r="F20"/>
  <c r="I20"/>
  <c r="F49" i="32"/>
  <c r="I49"/>
  <c r="J49"/>
  <c r="K49"/>
  <c r="H49"/>
  <c r="F31" i="26"/>
  <c r="I31"/>
  <c r="F67"/>
  <c r="I67"/>
  <c r="F56"/>
  <c r="I56"/>
  <c r="F67" i="32"/>
  <c r="H67"/>
  <c r="I67"/>
  <c r="J67"/>
  <c r="K67"/>
  <c r="F55" i="26"/>
  <c r="I55"/>
  <c r="J18" i="32"/>
  <c r="K18"/>
  <c r="H18"/>
  <c r="I18"/>
  <c r="H30"/>
  <c r="I30"/>
  <c r="J30"/>
  <c r="K30"/>
  <c r="J36"/>
  <c r="K36"/>
  <c r="H36"/>
  <c r="I36"/>
  <c r="H42"/>
  <c r="J42"/>
  <c r="I42"/>
  <c r="K42"/>
  <c r="K48"/>
  <c r="I48"/>
  <c r="J48"/>
  <c r="H48"/>
  <c r="H54"/>
  <c r="I54"/>
  <c r="J54"/>
  <c r="K54"/>
  <c r="J60"/>
  <c r="K60"/>
  <c r="H60"/>
  <c r="I60"/>
  <c r="H66"/>
  <c r="J66"/>
  <c r="I66"/>
  <c r="K66"/>
  <c r="K72"/>
  <c r="I72"/>
  <c r="J72"/>
  <c r="H72"/>
  <c r="F68" i="26"/>
  <c r="I68"/>
  <c r="F43"/>
  <c r="I43"/>
  <c r="I18"/>
  <c r="F32"/>
  <c r="I32"/>
  <c r="F17" i="32"/>
  <c r="K17"/>
  <c r="H17"/>
  <c r="I17"/>
  <c r="J17"/>
  <c r="F23"/>
  <c r="J23"/>
  <c r="I23"/>
  <c r="K23"/>
  <c r="H23"/>
  <c r="F29"/>
  <c r="I29"/>
  <c r="H29"/>
  <c r="J29"/>
  <c r="K29"/>
  <c r="F35"/>
  <c r="J35"/>
  <c r="K35"/>
  <c r="H35"/>
  <c r="I35"/>
  <c r="F41"/>
  <c r="J41"/>
  <c r="I41"/>
  <c r="H41"/>
  <c r="K41"/>
  <c r="F47"/>
  <c r="J47"/>
  <c r="K47"/>
  <c r="H47"/>
  <c r="I47"/>
  <c r="F53"/>
  <c r="I53"/>
  <c r="J53"/>
  <c r="K53"/>
  <c r="H53"/>
  <c r="F59"/>
  <c r="J59"/>
  <c r="K59"/>
  <c r="H59"/>
  <c r="I59"/>
  <c r="F65"/>
  <c r="I65"/>
  <c r="J65"/>
  <c r="K65"/>
  <c r="H65"/>
  <c r="F71"/>
  <c r="J71"/>
  <c r="K71"/>
  <c r="H71"/>
  <c r="I71"/>
  <c r="I17" i="26"/>
  <c r="I16"/>
  <c r="I28"/>
  <c r="F55" i="32"/>
  <c r="H55"/>
  <c r="I55"/>
  <c r="J55"/>
  <c r="K55"/>
  <c r="F37"/>
  <c r="I37"/>
  <c r="J37"/>
  <c r="K37"/>
  <c r="H37"/>
  <c r="F73"/>
  <c r="I73"/>
  <c r="J73"/>
  <c r="K73"/>
  <c r="H73"/>
  <c r="J62" i="26"/>
  <c r="I62"/>
  <c r="F16" i="32"/>
  <c r="K16"/>
  <c r="H16"/>
  <c r="I16"/>
  <c r="J16"/>
  <c r="F22"/>
  <c r="J22"/>
  <c r="I22"/>
  <c r="K22"/>
  <c r="H22"/>
  <c r="F34"/>
  <c r="K34"/>
  <c r="H34"/>
  <c r="J34"/>
  <c r="I34"/>
  <c r="F40"/>
  <c r="K40"/>
  <c r="I40"/>
  <c r="J40"/>
  <c r="H40"/>
  <c r="F46"/>
  <c r="H46"/>
  <c r="J46"/>
  <c r="K46"/>
  <c r="I46"/>
  <c r="F52"/>
  <c r="I52"/>
  <c r="K52"/>
  <c r="J52"/>
  <c r="H52"/>
  <c r="F58"/>
  <c r="K58"/>
  <c r="H58"/>
  <c r="I58"/>
  <c r="J58"/>
  <c r="F64"/>
  <c r="K64"/>
  <c r="I64"/>
  <c r="J64"/>
  <c r="H64"/>
  <c r="F70"/>
  <c r="K70"/>
  <c r="H70"/>
  <c r="J70"/>
  <c r="I70"/>
  <c r="F19"/>
  <c r="K19"/>
  <c r="I19"/>
  <c r="J19"/>
  <c r="H19"/>
  <c r="F19" i="26"/>
  <c r="I19"/>
  <c r="J37"/>
  <c r="I37"/>
  <c r="J73"/>
  <c r="I73"/>
  <c r="F61" i="32"/>
  <c r="I61"/>
  <c r="K61"/>
  <c r="J61"/>
  <c r="H61"/>
  <c r="J50" i="26"/>
  <c r="I50"/>
  <c r="J49"/>
  <c r="I49"/>
  <c r="J61"/>
  <c r="I61"/>
  <c r="F48"/>
  <c r="I48"/>
  <c r="F60"/>
  <c r="I60"/>
  <c r="F72"/>
  <c r="I72"/>
  <c r="F21" i="32"/>
  <c r="I21"/>
  <c r="J21"/>
  <c r="K21"/>
  <c r="H21"/>
  <c r="K33"/>
  <c r="H33"/>
  <c r="I33"/>
  <c r="J33"/>
  <c r="K39"/>
  <c r="I39"/>
  <c r="J39"/>
  <c r="H39"/>
  <c r="K45"/>
  <c r="H45"/>
  <c r="I45"/>
  <c r="J45"/>
  <c r="I51"/>
  <c r="J51"/>
  <c r="K51"/>
  <c r="H51"/>
  <c r="K57"/>
  <c r="H57"/>
  <c r="I57"/>
  <c r="J57"/>
  <c r="I63"/>
  <c r="K63"/>
  <c r="J63"/>
  <c r="H63"/>
  <c r="K69"/>
  <c r="H69"/>
  <c r="I69"/>
  <c r="J69"/>
  <c r="F43"/>
  <c r="H43"/>
  <c r="I43"/>
  <c r="J43"/>
  <c r="K43"/>
  <c r="J38" i="26"/>
  <c r="I38"/>
  <c r="F36"/>
  <c r="I36"/>
  <c r="F35"/>
  <c r="I35"/>
  <c r="F47"/>
  <c r="I47"/>
  <c r="I23"/>
  <c r="F31" i="32"/>
  <c r="H31"/>
  <c r="I31"/>
  <c r="J31"/>
  <c r="K31"/>
  <c r="F58" i="26"/>
  <c r="I58"/>
  <c r="F20" i="32"/>
  <c r="I20"/>
  <c r="J20"/>
  <c r="K20"/>
  <c r="H20"/>
  <c r="F32"/>
  <c r="K32"/>
  <c r="H32"/>
  <c r="I32"/>
  <c r="J32"/>
  <c r="F38"/>
  <c r="I38"/>
  <c r="J38"/>
  <c r="K38"/>
  <c r="H38"/>
  <c r="F44"/>
  <c r="H44"/>
  <c r="I44"/>
  <c r="J44"/>
  <c r="K44"/>
  <c r="F50"/>
  <c r="K50"/>
  <c r="I50"/>
  <c r="J50"/>
  <c r="H50"/>
  <c r="F56"/>
  <c r="H56"/>
  <c r="K56"/>
  <c r="I56"/>
  <c r="J56"/>
  <c r="F62"/>
  <c r="I62"/>
  <c r="J62"/>
  <c r="K62"/>
  <c r="H62"/>
  <c r="F68"/>
  <c r="H68"/>
  <c r="K68"/>
  <c r="I68"/>
  <c r="J68"/>
  <c r="F44" i="26"/>
  <c r="I44"/>
  <c r="F21"/>
  <c r="I21"/>
  <c r="F33"/>
  <c r="I33"/>
  <c r="F45"/>
  <c r="I45"/>
  <c r="F57"/>
  <c r="I57"/>
  <c r="F69"/>
  <c r="I69"/>
  <c r="AE49" i="31"/>
  <c r="AE61"/>
  <c r="AF13"/>
  <c r="AD49"/>
  <c r="AD13"/>
  <c r="AF49"/>
  <c r="AD61"/>
  <c r="AF61"/>
  <c r="AF73"/>
  <c r="AE13"/>
  <c r="AG61"/>
  <c r="AD8"/>
  <c r="AF12"/>
  <c r="AG32"/>
  <c r="AG8"/>
  <c r="AI36"/>
  <c r="AD48"/>
  <c r="AI8"/>
  <c r="AH61"/>
  <c r="AD36"/>
  <c r="AE73"/>
  <c r="AH73"/>
  <c r="AD24"/>
  <c r="AD32"/>
  <c r="AD72"/>
  <c r="AG49"/>
  <c r="AD60"/>
  <c r="AG13"/>
  <c r="AE12"/>
  <c r="AE32"/>
  <c r="AI24"/>
  <c r="AD12"/>
  <c r="AE8"/>
  <c r="AH13"/>
  <c r="AI12"/>
  <c r="AD73"/>
  <c r="AG24"/>
  <c r="AH49"/>
  <c r="AG72"/>
  <c r="AG60"/>
  <c r="AI72"/>
  <c r="AG48"/>
  <c r="AI60"/>
  <c r="AF72"/>
  <c r="AG36"/>
  <c r="F28" i="32"/>
  <c r="H28"/>
  <c r="J28"/>
  <c r="K28"/>
  <c r="I28"/>
  <c r="AI48" i="31"/>
  <c r="AE72"/>
  <c r="AF60"/>
  <c r="AE60"/>
  <c r="AF48"/>
  <c r="AE24"/>
  <c r="K27" i="32"/>
  <c r="H27"/>
  <c r="I27"/>
  <c r="J27"/>
  <c r="AE48" i="31"/>
  <c r="AF36"/>
  <c r="F25" i="32"/>
  <c r="I25"/>
  <c r="H25"/>
  <c r="J25"/>
  <c r="K25"/>
  <c r="B73" i="26"/>
  <c r="AE36" i="31"/>
  <c r="AF24"/>
  <c r="J26" i="26"/>
  <c r="I26"/>
  <c r="F26" i="32"/>
  <c r="H26"/>
  <c r="K26"/>
  <c r="I26"/>
  <c r="J26"/>
  <c r="AI44" i="31"/>
  <c r="AE56"/>
  <c r="J25" i="26"/>
  <c r="I25"/>
  <c r="B72"/>
  <c r="B71"/>
  <c r="AI32" i="31"/>
  <c r="AG73"/>
  <c r="AE44"/>
  <c r="AH32"/>
  <c r="AH8"/>
  <c r="G6" i="23"/>
  <c r="I6" s="1"/>
  <c r="B37" i="28" s="1"/>
  <c r="AD44" i="31"/>
  <c r="AG56"/>
  <c r="AG44"/>
  <c r="AH44"/>
  <c r="B66" i="26"/>
  <c r="AG68" i="31"/>
  <c r="AD7"/>
  <c r="AI10"/>
  <c r="AE68"/>
  <c r="AI67"/>
  <c r="AI7"/>
  <c r="AH34"/>
  <c r="AH67"/>
  <c r="AH22"/>
  <c r="AG67"/>
  <c r="AH7"/>
  <c r="AE7"/>
  <c r="AH10"/>
  <c r="AG7"/>
  <c r="AH68"/>
  <c r="AI68"/>
  <c r="AD68"/>
  <c r="AD67"/>
  <c r="AH56"/>
  <c r="AI56"/>
  <c r="AD56"/>
  <c r="AE67"/>
  <c r="K12" i="23"/>
  <c r="AF10" i="31"/>
  <c r="AI22"/>
  <c r="AG34"/>
  <c r="AD34"/>
  <c r="AG22"/>
  <c r="AD22"/>
  <c r="AG10"/>
  <c r="AD10"/>
  <c r="AE34"/>
  <c r="AE22"/>
  <c r="AF34"/>
  <c r="AE53"/>
  <c r="AF53"/>
  <c r="AG53"/>
  <c r="AD53"/>
  <c r="AH53"/>
  <c r="AI53"/>
  <c r="AI14"/>
  <c r="AD14"/>
  <c r="AE14"/>
  <c r="AF14"/>
  <c r="AG14"/>
  <c r="AH14"/>
  <c r="AG9"/>
  <c r="AH9"/>
  <c r="AI9"/>
  <c r="AD9"/>
  <c r="AE9"/>
  <c r="AF9"/>
  <c r="AE29"/>
  <c r="AF29"/>
  <c r="AG29"/>
  <c r="AH29"/>
  <c r="AI29"/>
  <c r="AD29"/>
  <c r="AI26"/>
  <c r="AD26"/>
  <c r="AE26"/>
  <c r="AF26"/>
  <c r="AG26"/>
  <c r="AH26"/>
  <c r="AE17"/>
  <c r="AF17"/>
  <c r="AD17"/>
  <c r="AG17"/>
  <c r="AH17"/>
  <c r="AI17"/>
  <c r="AG45"/>
  <c r="AH45"/>
  <c r="AI45"/>
  <c r="AD45"/>
  <c r="AE45"/>
  <c r="AF45"/>
  <c r="AE5"/>
  <c r="AF5"/>
  <c r="AG5"/>
  <c r="AH5"/>
  <c r="AI5"/>
  <c r="AD5"/>
  <c r="AD64"/>
  <c r="AE64"/>
  <c r="AF64"/>
  <c r="AG64"/>
  <c r="AH64"/>
  <c r="AI64"/>
  <c r="AI38"/>
  <c r="N16" i="23" s="1"/>
  <c r="I46" i="28" s="1"/>
  <c r="AD38" i="31"/>
  <c r="AE38"/>
  <c r="AF38"/>
  <c r="K16" i="23"/>
  <c r="AG38" i="31"/>
  <c r="AH38"/>
  <c r="AE41"/>
  <c r="AF41"/>
  <c r="AG41"/>
  <c r="AH41"/>
  <c r="AI41"/>
  <c r="AD41"/>
  <c r="AG69"/>
  <c r="AH69"/>
  <c r="AI69"/>
  <c r="AD69"/>
  <c r="AE69"/>
  <c r="AF69"/>
  <c r="AI62"/>
  <c r="AD62"/>
  <c r="AE62"/>
  <c r="AF62"/>
  <c r="AG62"/>
  <c r="AH62"/>
  <c r="AD40"/>
  <c r="AE40"/>
  <c r="AF40"/>
  <c r="AG40"/>
  <c r="AH40"/>
  <c r="AI40"/>
  <c r="AI50"/>
  <c r="AD50"/>
  <c r="AE50"/>
  <c r="AF50"/>
  <c r="AG50"/>
  <c r="AH50"/>
  <c r="AF19"/>
  <c r="AG19"/>
  <c r="AH19"/>
  <c r="AI19"/>
  <c r="AD19"/>
  <c r="AE19"/>
  <c r="AD28"/>
  <c r="AE28"/>
  <c r="AF28"/>
  <c r="AG28"/>
  <c r="AH28"/>
  <c r="AI28"/>
  <c r="AI74"/>
  <c r="AD74"/>
  <c r="AE74"/>
  <c r="AF74"/>
  <c r="AG74"/>
  <c r="AH74"/>
  <c r="AF31"/>
  <c r="AG31"/>
  <c r="AH31"/>
  <c r="AI31"/>
  <c r="AD31"/>
  <c r="AE31"/>
  <c r="AH71"/>
  <c r="AI71"/>
  <c r="AD71"/>
  <c r="AE71"/>
  <c r="AF71"/>
  <c r="AG71"/>
  <c r="AD16"/>
  <c r="AE16"/>
  <c r="AF16"/>
  <c r="AG16"/>
  <c r="AH16"/>
  <c r="AI16"/>
  <c r="AD4"/>
  <c r="AE4"/>
  <c r="AF4"/>
  <c r="AG4"/>
  <c r="AH4"/>
  <c r="AI4"/>
  <c r="AF55"/>
  <c r="AG55"/>
  <c r="AH55"/>
  <c r="AI55"/>
  <c r="AD55"/>
  <c r="AE55"/>
  <c r="AD39"/>
  <c r="AE39"/>
  <c r="K15" i="23"/>
  <c r="AF39" i="31"/>
  <c r="AG39"/>
  <c r="AH39"/>
  <c r="AI39"/>
  <c r="AH59"/>
  <c r="AI59"/>
  <c r="AG59"/>
  <c r="AD59"/>
  <c r="AE59"/>
  <c r="AF59"/>
  <c r="AD52"/>
  <c r="AE52"/>
  <c r="AF52"/>
  <c r="AG52"/>
  <c r="AH52"/>
  <c r="AI52"/>
  <c r="AI37"/>
  <c r="AD37"/>
  <c r="AE37"/>
  <c r="AF37"/>
  <c r="AG37"/>
  <c r="AH37"/>
  <c r="AD27"/>
  <c r="AE27"/>
  <c r="AF27"/>
  <c r="AG27"/>
  <c r="AI27"/>
  <c r="AH27"/>
  <c r="AH47"/>
  <c r="AI47"/>
  <c r="AD47"/>
  <c r="AG47"/>
  <c r="AE47"/>
  <c r="AF47"/>
  <c r="AG70"/>
  <c r="AH70"/>
  <c r="AI70"/>
  <c r="AD70"/>
  <c r="AE70"/>
  <c r="AF70"/>
  <c r="AE6"/>
  <c r="AF6"/>
  <c r="AG6"/>
  <c r="AH6"/>
  <c r="K13" i="23"/>
  <c r="AI6" i="31"/>
  <c r="AD6"/>
  <c r="AI25"/>
  <c r="AD25"/>
  <c r="AE25"/>
  <c r="AF25"/>
  <c r="AG25"/>
  <c r="AH25"/>
  <c r="AD15"/>
  <c r="AE15"/>
  <c r="AF15"/>
  <c r="AG15"/>
  <c r="AH15"/>
  <c r="AI15"/>
  <c r="AH35"/>
  <c r="AI35"/>
  <c r="AD35"/>
  <c r="AE35"/>
  <c r="AF35"/>
  <c r="AG35"/>
  <c r="AG58"/>
  <c r="AH58"/>
  <c r="AI58"/>
  <c r="AD58"/>
  <c r="AE58"/>
  <c r="AF58"/>
  <c r="C11" i="23"/>
  <c r="AD51" i="31"/>
  <c r="AE51"/>
  <c r="AF51"/>
  <c r="AG51"/>
  <c r="AH51"/>
  <c r="AI51"/>
  <c r="AE18"/>
  <c r="AF18"/>
  <c r="AG18"/>
  <c r="AH18"/>
  <c r="AI18"/>
  <c r="AD18"/>
  <c r="AE66"/>
  <c r="AF66"/>
  <c r="AG66"/>
  <c r="AH66"/>
  <c r="AI66"/>
  <c r="AD66"/>
  <c r="AD3"/>
  <c r="AE3"/>
  <c r="AF3"/>
  <c r="AG3"/>
  <c r="AH3"/>
  <c r="AI3"/>
  <c r="AH23"/>
  <c r="AI23"/>
  <c r="AG23"/>
  <c r="AD23"/>
  <c r="AE23"/>
  <c r="AF23"/>
  <c r="AG46"/>
  <c r="AH46"/>
  <c r="AI46"/>
  <c r="AD46"/>
  <c r="AE46"/>
  <c r="AF46"/>
  <c r="AD63"/>
  <c r="AE63"/>
  <c r="AF63"/>
  <c r="AG63"/>
  <c r="AH63"/>
  <c r="AI63"/>
  <c r="AE54"/>
  <c r="AF54"/>
  <c r="AG54"/>
  <c r="AH54"/>
  <c r="AI54"/>
  <c r="AD54"/>
  <c r="AE42"/>
  <c r="AF42"/>
  <c r="AG42"/>
  <c r="AH42"/>
  <c r="AI42"/>
  <c r="AD42"/>
  <c r="AF43"/>
  <c r="AG43"/>
  <c r="AH43"/>
  <c r="AI43"/>
  <c r="AD43"/>
  <c r="AE43"/>
  <c r="AH11"/>
  <c r="AG11"/>
  <c r="AI11"/>
  <c r="AD11"/>
  <c r="AE11"/>
  <c r="AF11"/>
  <c r="AI2"/>
  <c r="AD2"/>
  <c r="AE2"/>
  <c r="AF2"/>
  <c r="G14" i="23"/>
  <c r="AG2" i="31"/>
  <c r="AH2"/>
  <c r="AD75"/>
  <c r="AE75"/>
  <c r="AF75"/>
  <c r="AG75"/>
  <c r="AH75"/>
  <c r="AI75"/>
  <c r="AE30"/>
  <c r="AF30"/>
  <c r="AG30"/>
  <c r="AH30"/>
  <c r="AI30"/>
  <c r="AD30"/>
  <c r="AF20"/>
  <c r="AG20"/>
  <c r="AH20"/>
  <c r="AI20"/>
  <c r="AD20"/>
  <c r="AE20"/>
  <c r="AE65"/>
  <c r="AF65"/>
  <c r="AD65"/>
  <c r="AG65"/>
  <c r="AH65"/>
  <c r="AI65"/>
  <c r="K6" i="23"/>
  <c r="M6" s="1"/>
  <c r="B42" i="28" s="1"/>
  <c r="B65" i="32"/>
  <c r="B67" i="26"/>
  <c r="H24" i="32"/>
  <c r="K24"/>
  <c r="I24"/>
  <c r="J24"/>
  <c r="C6" i="23"/>
  <c r="E6" s="1"/>
  <c r="F24" i="26"/>
  <c r="I24"/>
  <c r="C10" i="23"/>
  <c r="F39" i="32"/>
  <c r="F48"/>
  <c r="F66"/>
  <c r="F30"/>
  <c r="F57"/>
  <c r="F24"/>
  <c r="F33"/>
  <c r="F42"/>
  <c r="F51"/>
  <c r="F60"/>
  <c r="F69"/>
  <c r="F18"/>
  <c r="F27"/>
  <c r="F36"/>
  <c r="F45"/>
  <c r="F54"/>
  <c r="F63"/>
  <c r="F72"/>
  <c r="F70" i="26"/>
  <c r="F34"/>
  <c r="F29"/>
  <c r="F65"/>
  <c r="F28"/>
  <c r="F64"/>
  <c r="F27"/>
  <c r="F63"/>
  <c r="F23"/>
  <c r="F22"/>
  <c r="F53"/>
  <c r="F17"/>
  <c r="F52"/>
  <c r="F16"/>
  <c r="F51"/>
  <c r="F46"/>
  <c r="F41"/>
  <c r="F40"/>
  <c r="F39"/>
  <c r="F71"/>
  <c r="F18"/>
  <c r="F30"/>
  <c r="F42"/>
  <c r="F54"/>
  <c r="F66"/>
  <c r="J24"/>
  <c r="J36"/>
  <c r="J48"/>
  <c r="J60"/>
  <c r="J72"/>
  <c r="K26"/>
  <c r="K38"/>
  <c r="K50"/>
  <c r="K62"/>
  <c r="J23"/>
  <c r="J35"/>
  <c r="J47"/>
  <c r="J59"/>
  <c r="J71"/>
  <c r="K25"/>
  <c r="K37"/>
  <c r="K49"/>
  <c r="K61"/>
  <c r="K73"/>
  <c r="J22"/>
  <c r="J34"/>
  <c r="J46"/>
  <c r="J58"/>
  <c r="J70"/>
  <c r="K24"/>
  <c r="K36"/>
  <c r="K48"/>
  <c r="K60"/>
  <c r="K72"/>
  <c r="J21"/>
  <c r="J33"/>
  <c r="J45"/>
  <c r="J57"/>
  <c r="J69"/>
  <c r="K23"/>
  <c r="K35"/>
  <c r="K47"/>
  <c r="K59"/>
  <c r="K71"/>
  <c r="F26"/>
  <c r="F38"/>
  <c r="F50"/>
  <c r="F62"/>
  <c r="J20"/>
  <c r="J32"/>
  <c r="J44"/>
  <c r="J56"/>
  <c r="J68"/>
  <c r="K22"/>
  <c r="K34"/>
  <c r="K46"/>
  <c r="K58"/>
  <c r="K70"/>
  <c r="F25"/>
  <c r="F37"/>
  <c r="F49"/>
  <c r="F61"/>
  <c r="F73"/>
  <c r="J19"/>
  <c r="J31"/>
  <c r="J43"/>
  <c r="J55"/>
  <c r="J67"/>
  <c r="K21"/>
  <c r="K33"/>
  <c r="K45"/>
  <c r="K57"/>
  <c r="K69"/>
  <c r="J18"/>
  <c r="J30"/>
  <c r="J42"/>
  <c r="J54"/>
  <c r="J66"/>
  <c r="K20"/>
  <c r="K32"/>
  <c r="K44"/>
  <c r="K56"/>
  <c r="K68"/>
  <c r="J17"/>
  <c r="J29"/>
  <c r="J41"/>
  <c r="J53"/>
  <c r="J65"/>
  <c r="K19"/>
  <c r="K31"/>
  <c r="K43"/>
  <c r="K55"/>
  <c r="K67"/>
  <c r="J16"/>
  <c r="J28"/>
  <c r="J40"/>
  <c r="J52"/>
  <c r="J64"/>
  <c r="K18"/>
  <c r="K30"/>
  <c r="K42"/>
  <c r="K54"/>
  <c r="K66"/>
  <c r="J27"/>
  <c r="J39"/>
  <c r="J51"/>
  <c r="J63"/>
  <c r="K17"/>
  <c r="K29"/>
  <c r="K41"/>
  <c r="K53"/>
  <c r="K65"/>
  <c r="K16"/>
  <c r="K28"/>
  <c r="K40"/>
  <c r="K52"/>
  <c r="K64"/>
  <c r="K27"/>
  <c r="K39"/>
  <c r="K51"/>
  <c r="K63"/>
  <c r="BL23" i="37" l="1" a="1"/>
  <c r="BL23" s="1"/>
  <c r="B21" i="23" a="1"/>
  <c r="B21" s="1"/>
  <c r="F20"/>
  <c r="G20"/>
  <c r="H20"/>
  <c r="I20"/>
  <c r="J20"/>
  <c r="K20"/>
  <c r="L20"/>
  <c r="M20"/>
  <c r="N20"/>
  <c r="C20"/>
  <c r="E20"/>
  <c r="D20"/>
  <c r="O19"/>
  <c r="E168" i="32"/>
  <c r="C168"/>
  <c r="A166"/>
  <c r="O11" i="23"/>
  <c r="B33" i="28"/>
  <c r="O15" i="23"/>
  <c r="B45" i="28"/>
  <c r="O10" i="23"/>
  <c r="B32" i="28"/>
  <c r="O14" i="23"/>
  <c r="B38" i="28"/>
  <c r="O13" i="23"/>
  <c r="B44" i="28"/>
  <c r="O16" i="23"/>
  <c r="B46" i="28"/>
  <c r="O12" i="23"/>
  <c r="B43" i="28"/>
  <c r="L15" i="23"/>
  <c r="G45" i="28" s="1"/>
  <c r="L16" i="23"/>
  <c r="G46" i="28" s="1"/>
  <c r="E11" i="23"/>
  <c r="H33" i="28" s="1"/>
  <c r="L13" i="23"/>
  <c r="G44" i="28" s="1"/>
  <c r="N12" i="23"/>
  <c r="I43" i="28" s="1"/>
  <c r="M15" i="23"/>
  <c r="H45" i="28" s="1"/>
  <c r="M16" i="23"/>
  <c r="H46" i="28" s="1"/>
  <c r="F11" i="23"/>
  <c r="I33" i="28" s="1"/>
  <c r="N15" i="23"/>
  <c r="I45" i="28" s="1"/>
  <c r="F10" i="23"/>
  <c r="I32" i="28" s="1"/>
  <c r="M12" i="23"/>
  <c r="H43" i="28" s="1"/>
  <c r="I14" i="23"/>
  <c r="H38" i="28" s="1"/>
  <c r="D11" i="23"/>
  <c r="G33" i="28" s="1"/>
  <c r="D10" i="23"/>
  <c r="G32" i="28" s="1"/>
  <c r="J14" i="23"/>
  <c r="I38" i="28" s="1"/>
  <c r="L12" i="23"/>
  <c r="G43" i="28" s="1"/>
  <c r="E10" i="23"/>
  <c r="H32" i="28" s="1"/>
  <c r="M13" i="23"/>
  <c r="H44" i="28" s="1"/>
  <c r="N13" i="23"/>
  <c r="I44" i="28" s="1"/>
  <c r="H14" i="23"/>
  <c r="G38" i="28" s="1"/>
  <c r="BL24" i="37" l="1" a="1"/>
  <c r="BL24" s="1"/>
  <c r="F21" i="23"/>
  <c r="G21"/>
  <c r="H21"/>
  <c r="E21"/>
  <c r="I21"/>
  <c r="J21"/>
  <c r="K21"/>
  <c r="L21"/>
  <c r="M21"/>
  <c r="N21"/>
  <c r="C21"/>
  <c r="D21"/>
  <c r="B22" a="1"/>
  <c r="B22" s="1"/>
  <c r="O20"/>
  <c r="H55" i="28"/>
  <c r="I55"/>
  <c r="C166" i="32"/>
  <c r="A168"/>
  <c r="J164" i="26"/>
  <c r="D166" s="1"/>
  <c r="BL25" i="37" l="1" a="1"/>
  <c r="BL25" s="1"/>
  <c r="F22" i="23"/>
  <c r="G22"/>
  <c r="H22"/>
  <c r="I22"/>
  <c r="J22"/>
  <c r="K22"/>
  <c r="L22"/>
  <c r="M22"/>
  <c r="N22"/>
  <c r="C22"/>
  <c r="D22"/>
  <c r="E22"/>
  <c r="B23" a="1"/>
  <c r="B23" s="1"/>
  <c r="O21"/>
  <c r="J166" i="26"/>
  <c r="J168" s="1"/>
  <c r="J170" s="1"/>
  <c r="B64"/>
  <c r="B63"/>
  <c r="B62"/>
  <c r="B61"/>
  <c r="B60"/>
  <c r="B59"/>
  <c r="B58"/>
  <c r="B57"/>
  <c r="B56"/>
  <c r="B55"/>
  <c r="B54"/>
  <c r="B53"/>
  <c r="B52"/>
  <c r="B51"/>
  <c r="B50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17"/>
  <c r="B18"/>
  <c r="B19"/>
  <c r="BL26" i="37" l="1" a="1"/>
  <c r="BL26" s="1"/>
  <c r="B24" i="23" a="1"/>
  <c r="B24" s="1"/>
  <c r="F23"/>
  <c r="G23"/>
  <c r="H23"/>
  <c r="E23"/>
  <c r="I23"/>
  <c r="J23"/>
  <c r="K23"/>
  <c r="L23"/>
  <c r="M23"/>
  <c r="N23"/>
  <c r="C23"/>
  <c r="D23"/>
  <c r="O22"/>
  <c r="B16" i="26"/>
  <c r="B16" i="32"/>
  <c r="BL27" i="37" l="1" a="1"/>
  <c r="BL27" s="1"/>
  <c r="B25" i="23" a="1"/>
  <c r="B25" s="1"/>
  <c r="F24"/>
  <c r="G24"/>
  <c r="H24"/>
  <c r="E24"/>
  <c r="I24"/>
  <c r="J24"/>
  <c r="K24"/>
  <c r="L24"/>
  <c r="M24"/>
  <c r="N24"/>
  <c r="C24"/>
  <c r="D24"/>
  <c r="O23"/>
  <c r="BL28" i="37" l="1" a="1"/>
  <c r="BL28" s="1"/>
  <c r="F25" i="23"/>
  <c r="G25"/>
  <c r="H25"/>
  <c r="I25"/>
  <c r="J25"/>
  <c r="K25"/>
  <c r="L25"/>
  <c r="M25"/>
  <c r="N25"/>
  <c r="C25"/>
  <c r="D25"/>
  <c r="E25"/>
  <c r="O24"/>
  <c r="BL29" i="37" l="1" a="1"/>
  <c r="BL29" s="1"/>
  <c r="O25" i="23"/>
  <c r="BL30" i="37" l="1" a="1"/>
  <c r="BL30" s="1"/>
  <c r="BL31" l="1" a="1"/>
  <c r="BL31" s="1"/>
  <c r="BL32" l="1" a="1"/>
  <c r="BL32" s="1"/>
  <c r="BL33" l="1" a="1"/>
  <c r="BL33" s="1"/>
  <c r="BL34" l="1" a="1"/>
  <c r="BL34" s="1"/>
  <c r="BL35" l="1" a="1"/>
  <c r="BL35" s="1"/>
  <c r="BL36" l="1" a="1"/>
  <c r="BL36" s="1"/>
  <c r="BL37" l="1" a="1"/>
  <c r="BL37" s="1"/>
  <c r="BL38" l="1" a="1"/>
  <c r="BL38" s="1"/>
  <c r="BL39" l="1" a="1"/>
  <c r="BL39" s="1"/>
  <c r="BL40" l="1" a="1"/>
  <c r="BL40" s="1"/>
  <c r="BL41" l="1" a="1"/>
  <c r="BL41" s="1"/>
  <c r="BL42" l="1" a="1"/>
  <c r="BL42" s="1"/>
  <c r="BL43" l="1" a="1"/>
  <c r="BL43" s="1"/>
  <c r="BL44" l="1" a="1"/>
  <c r="BL44" s="1"/>
  <c r="BL45" l="1" a="1"/>
  <c r="BL45" s="1"/>
  <c r="BL46" l="1" a="1"/>
  <c r="BL46" s="1"/>
  <c r="BL47" l="1" a="1"/>
  <c r="BL47" s="1"/>
  <c r="BL48" l="1" a="1"/>
  <c r="BL48" s="1"/>
  <c r="BL49" l="1" a="1"/>
  <c r="BL49" s="1"/>
  <c r="BL50" l="1" a="1"/>
  <c r="BL50" s="1"/>
  <c r="BL51" l="1" a="1"/>
  <c r="BL51" s="1"/>
  <c r="BL52" l="1" a="1"/>
  <c r="BL52" s="1"/>
  <c r="BL53" l="1" a="1"/>
  <c r="BL53" s="1"/>
  <c r="BL54" l="1" a="1"/>
  <c r="BL54" s="1"/>
  <c r="BL55" l="1" a="1"/>
  <c r="BL55" s="1"/>
  <c r="BL56" l="1" a="1"/>
  <c r="BL56" s="1"/>
  <c r="BL57" l="1" a="1"/>
  <c r="BL57" s="1"/>
  <c r="BL58" l="1" a="1"/>
  <c r="BL58" s="1"/>
  <c r="BL59" l="1" a="1"/>
  <c r="BL59" s="1"/>
  <c r="BL60" l="1" a="1"/>
  <c r="BL60" s="1"/>
  <c r="BL61" l="1" a="1"/>
  <c r="BL61" s="1"/>
  <c r="BL62" l="1" a="1"/>
  <c r="BL62" s="1"/>
  <c r="BL63" l="1" a="1"/>
  <c r="BL63" s="1"/>
  <c r="BL64" l="1" a="1"/>
  <c r="BL64" s="1"/>
  <c r="BL65" l="1" a="1"/>
  <c r="BL65" s="1"/>
  <c r="BL66" l="1" a="1"/>
  <c r="BL66" s="1"/>
  <c r="BL67" l="1" a="1"/>
  <c r="BL67" s="1"/>
  <c r="BL68" l="1" a="1"/>
  <c r="BL68" s="1"/>
  <c r="BL69" l="1" a="1"/>
  <c r="BL69" s="1"/>
  <c r="BL70" l="1" a="1"/>
  <c r="BL70" s="1"/>
  <c r="BL71" l="1" a="1"/>
  <c r="BL71" s="1"/>
  <c r="BL72" l="1" a="1"/>
  <c r="BL72" s="1"/>
  <c r="BL73" l="1" a="1"/>
  <c r="BL73" s="1"/>
  <c r="BL74" l="1" a="1"/>
  <c r="BL74" s="1"/>
  <c r="BL75" l="1" a="1"/>
  <c r="BL75" s="1"/>
  <c r="BL76" l="1" a="1"/>
  <c r="BL76" s="1"/>
  <c r="BL77" l="1" a="1"/>
  <c r="BL77" s="1"/>
  <c r="BL78" l="1" a="1"/>
  <c r="BL78" s="1"/>
  <c r="BL79" l="1" a="1"/>
  <c r="BL79" s="1"/>
  <c r="BL80" l="1" a="1"/>
  <c r="BL80" s="1"/>
  <c r="BL81" l="1" a="1"/>
  <c r="BL81" s="1"/>
  <c r="BL82" l="1" a="1"/>
  <c r="BL82" s="1"/>
  <c r="BL83" l="1" a="1"/>
  <c r="BL83" s="1"/>
  <c r="BL84" l="1" a="1"/>
  <c r="BL84" s="1"/>
  <c r="BL85" l="1" a="1"/>
  <c r="BL85" s="1"/>
  <c r="BL86" l="1" a="1"/>
  <c r="BL86" s="1"/>
  <c r="BL87" l="1" a="1"/>
  <c r="BL87" s="1"/>
  <c r="BL88" l="1" a="1"/>
  <c r="BL88" s="1"/>
  <c r="BL89" l="1" a="1"/>
  <c r="BL89" s="1"/>
  <c r="BL90" l="1" a="1"/>
  <c r="BL90" s="1"/>
  <c r="BL91" l="1" a="1"/>
  <c r="BL91" s="1"/>
  <c r="BL92" l="1" a="1"/>
  <c r="BL92" s="1"/>
  <c r="BL93" l="1" a="1"/>
  <c r="BL93" s="1"/>
  <c r="BL94" l="1" a="1"/>
  <c r="BL94" s="1"/>
  <c r="BL95" l="1" a="1"/>
  <c r="BL95" s="1"/>
  <c r="BL96" l="1" a="1"/>
  <c r="BL96" s="1"/>
  <c r="BL97" l="1" a="1"/>
  <c r="BL97" s="1"/>
  <c r="BL98" l="1" a="1"/>
  <c r="BL98" s="1"/>
  <c r="BL99" l="1" a="1"/>
  <c r="BL99" s="1"/>
  <c r="BL100" l="1" a="1"/>
  <c r="BL100" s="1"/>
  <c r="BL101" l="1" a="1"/>
  <c r="BL101" s="1"/>
  <c r="BL102" l="1" a="1"/>
  <c r="BL102" s="1"/>
  <c r="BL103" l="1" a="1"/>
  <c r="BL103" s="1"/>
  <c r="BL104" l="1" a="1"/>
  <c r="BL104" s="1"/>
  <c r="BL105" l="1" a="1"/>
  <c r="BL105" s="1"/>
  <c r="BL106" l="1" a="1"/>
  <c r="BL106" s="1"/>
  <c r="BL107" l="1" a="1"/>
  <c r="BL107" s="1"/>
  <c r="BL108" l="1" a="1"/>
  <c r="BL108" s="1"/>
  <c r="BL109" l="1" a="1"/>
  <c r="BL109" s="1"/>
  <c r="BL110" l="1" a="1"/>
  <c r="BL110" s="1"/>
  <c r="BL111" l="1" a="1"/>
  <c r="BL111" s="1"/>
  <c r="BL112" l="1" a="1"/>
  <c r="BL112" s="1"/>
  <c r="BL113" l="1" a="1"/>
  <c r="BL113" s="1"/>
  <c r="BL114" l="1" a="1"/>
  <c r="BL114" s="1"/>
  <c r="BL115" l="1" a="1"/>
  <c r="BL115" s="1"/>
  <c r="BL116" l="1" a="1"/>
  <c r="BL116" s="1"/>
  <c r="BL117" l="1" a="1"/>
  <c r="BL117" s="1"/>
  <c r="BL118" l="1" a="1"/>
  <c r="BL118" s="1"/>
  <c r="BL119" l="1" a="1"/>
  <c r="BL119" s="1"/>
  <c r="BL120" l="1" a="1"/>
  <c r="BL120" s="1"/>
  <c r="BL121" l="1" a="1"/>
  <c r="BL121" s="1"/>
  <c r="BL122" l="1" a="1"/>
  <c r="BL122" s="1"/>
  <c r="BL123" l="1" a="1"/>
  <c r="BL123" s="1"/>
  <c r="BL124" l="1" a="1"/>
  <c r="BL124" s="1"/>
  <c r="BL125" l="1" a="1"/>
  <c r="BL125" s="1"/>
  <c r="BL126" l="1" a="1"/>
  <c r="BL126" s="1"/>
  <c r="BL127" l="1" a="1"/>
  <c r="BL127" s="1"/>
  <c r="BL128" l="1" a="1"/>
  <c r="BL128" s="1"/>
  <c r="BL129" l="1" a="1"/>
  <c r="BL129" s="1"/>
  <c r="BL130" l="1" a="1"/>
  <c r="BL130" s="1"/>
  <c r="BL131" l="1" a="1"/>
  <c r="BL131" s="1"/>
  <c r="BL132" l="1" a="1"/>
  <c r="BL132" s="1"/>
  <c r="BL133" l="1" a="1"/>
  <c r="BL133" s="1"/>
  <c r="BL134" l="1" a="1"/>
  <c r="BL134" s="1"/>
  <c r="BL135" l="1" a="1"/>
  <c r="BL135" s="1"/>
  <c r="BL136" l="1" a="1"/>
  <c r="BL136" s="1"/>
  <c r="BL137" l="1" a="1"/>
  <c r="BL137" s="1"/>
  <c r="BL138" l="1" a="1"/>
  <c r="BL138" s="1"/>
  <c r="BL139" l="1" a="1"/>
  <c r="BL139" s="1"/>
  <c r="BL140" l="1" a="1"/>
  <c r="BL140" s="1"/>
  <c r="BL141" l="1" a="1"/>
  <c r="BL141" s="1"/>
  <c r="BL142" l="1" a="1"/>
  <c r="BL142" s="1"/>
  <c r="BL143" l="1" a="1"/>
  <c r="BL143" s="1"/>
  <c r="BL144" l="1" a="1"/>
  <c r="BL144" s="1"/>
  <c r="BL145" l="1" a="1"/>
  <c r="BL145" s="1"/>
  <c r="BL146" l="1" a="1"/>
  <c r="BL146" s="1"/>
  <c r="BL147" l="1" a="1"/>
  <c r="BL147" s="1"/>
  <c r="BL148" l="1" a="1"/>
  <c r="BL148" s="1"/>
  <c r="BL149" l="1" a="1"/>
  <c r="BL149" s="1"/>
  <c r="BL150" l="1" a="1"/>
  <c r="BL150" s="1"/>
  <c r="BL151" l="1" a="1"/>
  <c r="BL151" s="1"/>
  <c r="BL152" l="1" a="1"/>
  <c r="BL152" s="1"/>
  <c r="BL153" l="1" a="1"/>
  <c r="BL153" s="1"/>
  <c r="BL154" l="1" a="1"/>
  <c r="BL154" s="1"/>
  <c r="BL155" l="1" a="1"/>
  <c r="BL155" s="1"/>
  <c r="BL156" l="1" a="1"/>
  <c r="BL156" s="1"/>
  <c r="BL157" l="1" a="1"/>
  <c r="BL157" s="1"/>
  <c r="BL158" l="1" a="1"/>
  <c r="BL158" s="1"/>
  <c r="BL159" l="1" a="1"/>
  <c r="BL159" s="1"/>
  <c r="BL160" l="1" a="1"/>
  <c r="BL160" s="1"/>
  <c r="BL161" l="1" a="1"/>
  <c r="BL161" s="1"/>
  <c r="BL162" l="1" a="1"/>
  <c r="BL162" s="1"/>
  <c r="BL163" l="1" a="1"/>
  <c r="BL163" s="1"/>
  <c r="BL164" l="1" a="1"/>
  <c r="BL164" s="1"/>
  <c r="BL165" l="1" a="1"/>
  <c r="BL165" s="1"/>
  <c r="BL166" l="1" a="1"/>
  <c r="BL166" s="1"/>
  <c r="BL167" l="1" a="1"/>
  <c r="BL167" s="1"/>
  <c r="BL168" l="1" a="1"/>
  <c r="BL168" s="1"/>
  <c r="BL169" l="1" a="1"/>
  <c r="BL169" s="1"/>
  <c r="BL170" l="1" a="1"/>
  <c r="BL170" s="1"/>
  <c r="BL171" l="1" a="1"/>
  <c r="BL171" s="1"/>
  <c r="BL172" l="1" a="1"/>
  <c r="BL172" s="1"/>
  <c r="BL173" l="1" a="1"/>
  <c r="BL173" s="1"/>
  <c r="BL174" l="1" a="1"/>
  <c r="BL174" s="1"/>
  <c r="BL175" l="1" a="1"/>
  <c r="BL175" s="1"/>
  <c r="BL176" l="1" a="1"/>
  <c r="BL176" s="1"/>
  <c r="BL177" l="1" a="1"/>
  <c r="BL177" s="1"/>
  <c r="BL178" l="1" a="1"/>
  <c r="BL178" s="1"/>
  <c r="BL179" l="1" a="1"/>
  <c r="BL179" s="1"/>
  <c r="BL180" l="1" a="1"/>
  <c r="BL180" s="1"/>
  <c r="BL181" l="1" a="1"/>
  <c r="BL181" s="1"/>
  <c r="BL182" l="1" a="1"/>
  <c r="BL182" s="1"/>
  <c r="BL183" l="1" a="1"/>
  <c r="BL183" s="1"/>
  <c r="BL184" l="1" a="1"/>
  <c r="BL184" s="1"/>
  <c r="BL185" l="1" a="1"/>
  <c r="BL185" s="1"/>
  <c r="BL186" l="1" a="1"/>
  <c r="BL186" s="1"/>
  <c r="BL187" l="1" a="1"/>
  <c r="BL187" s="1"/>
  <c r="BL188" l="1" a="1"/>
  <c r="BL188" s="1"/>
  <c r="BL189" l="1" a="1"/>
  <c r="BL189" s="1"/>
  <c r="BL190" l="1" a="1"/>
  <c r="BL190" s="1"/>
  <c r="BL191" l="1" a="1"/>
  <c r="BL191" s="1"/>
  <c r="BL192" l="1" a="1"/>
  <c r="BL192" s="1"/>
  <c r="BL193" l="1" a="1"/>
  <c r="BL193" s="1"/>
  <c r="BL194" l="1" a="1"/>
  <c r="BL194" s="1"/>
  <c r="BL195" l="1" a="1"/>
  <c r="BL195" s="1"/>
  <c r="BL196" l="1" a="1"/>
  <c r="BL196" s="1"/>
  <c r="BL197" l="1" a="1"/>
  <c r="BL197" s="1"/>
  <c r="BL198" l="1" a="1"/>
  <c r="BL198" s="1"/>
  <c r="BL199" l="1" a="1"/>
  <c r="BL199" s="1"/>
  <c r="BL200" l="1" a="1"/>
  <c r="BL200" s="1"/>
  <c r="BL201" l="1" a="1"/>
  <c r="BL201" s="1"/>
  <c r="BL202" l="1" a="1"/>
  <c r="BL202" s="1"/>
  <c r="BL203" l="1" a="1"/>
  <c r="BL203" s="1"/>
  <c r="BL204" l="1" a="1"/>
  <c r="BL204" s="1"/>
  <c r="BL205" l="1" a="1"/>
  <c r="BL205" s="1"/>
  <c r="BL206" l="1" a="1"/>
  <c r="BL206" s="1"/>
  <c r="BL207" l="1" a="1"/>
  <c r="BL207" s="1"/>
  <c r="BL208" l="1" a="1"/>
  <c r="BL208" s="1"/>
  <c r="BL209" l="1" a="1"/>
  <c r="BL209" s="1"/>
  <c r="BL210" l="1" a="1"/>
  <c r="BL210" s="1"/>
  <c r="BL211" l="1" a="1"/>
  <c r="BL211" s="1"/>
  <c r="BL212" l="1" a="1"/>
  <c r="BL212" s="1"/>
  <c r="BL213" l="1" a="1"/>
  <c r="BL213" s="1"/>
  <c r="BL214" l="1" a="1"/>
  <c r="BL214" s="1"/>
  <c r="BL215" l="1" a="1"/>
  <c r="BL215" s="1"/>
  <c r="BL216" l="1" a="1"/>
  <c r="BL216" s="1"/>
  <c r="BL217" l="1" a="1"/>
  <c r="BL217" s="1"/>
  <c r="BL218" l="1" a="1"/>
  <c r="BL218" s="1"/>
  <c r="BL219" l="1" a="1"/>
  <c r="BL219" s="1"/>
  <c r="BL220" l="1" a="1"/>
  <c r="BL220" s="1"/>
  <c r="BL221" l="1" a="1"/>
  <c r="BL221" s="1"/>
  <c r="BL222" l="1" a="1"/>
  <c r="BL222" s="1"/>
  <c r="BL223" l="1" a="1"/>
  <c r="BL223" s="1"/>
  <c r="BL224" l="1" a="1"/>
  <c r="BL224" s="1"/>
  <c r="BL225" l="1" a="1"/>
  <c r="BL225" s="1"/>
  <c r="BL226" l="1" a="1"/>
  <c r="BL226" s="1"/>
  <c r="BL227" l="1" a="1"/>
  <c r="BL227" s="1"/>
  <c r="BL228" l="1" a="1"/>
  <c r="BL228" s="1"/>
  <c r="BL229" l="1" a="1"/>
  <c r="BL229" s="1"/>
  <c r="BL230" l="1" a="1"/>
  <c r="BL230" s="1"/>
  <c r="BL231" l="1" a="1"/>
  <c r="BL231" s="1"/>
  <c r="BL232" l="1" a="1"/>
  <c r="BL232" s="1"/>
  <c r="BL233" l="1" a="1"/>
  <c r="BL233" s="1"/>
  <c r="BL234" l="1" a="1"/>
  <c r="BL234" s="1"/>
  <c r="BL235" l="1" a="1"/>
  <c r="BL235" s="1"/>
  <c r="BL236" l="1" a="1"/>
  <c r="BL236" s="1"/>
  <c r="BL237" l="1" a="1"/>
  <c r="BL237" s="1"/>
  <c r="BL238" l="1" a="1"/>
  <c r="BL238" s="1"/>
  <c r="BL239" l="1" a="1"/>
  <c r="BL239" s="1"/>
  <c r="BL240" l="1" a="1"/>
  <c r="BL240" s="1"/>
  <c r="BL241" l="1" a="1"/>
  <c r="BL241" s="1"/>
  <c r="BL242" l="1" a="1"/>
  <c r="BL242" s="1"/>
  <c r="BL243" l="1" a="1"/>
  <c r="BL243" s="1"/>
  <c r="BL244" l="1" a="1"/>
  <c r="BL244" s="1"/>
  <c r="BL245" l="1" a="1"/>
  <c r="BL245" s="1"/>
  <c r="BL246" l="1" a="1"/>
  <c r="BL246" s="1"/>
  <c r="BL247" l="1" a="1"/>
  <c r="BL247" s="1"/>
  <c r="BL248" l="1" a="1"/>
  <c r="BL248" s="1"/>
  <c r="BK11" a="1"/>
  <c r="BK11" s="1"/>
  <c r="BK12" s="1" a="1"/>
  <c r="BK12" s="1"/>
  <c r="BM12" s="1"/>
  <c r="BO12" s="1"/>
  <c r="BM11" l="1"/>
  <c r="BK13" a="1"/>
  <c r="BK13" s="1"/>
  <c r="BM13" s="1"/>
  <c r="BO13" s="1"/>
  <c r="BL249" a="1"/>
  <c r="BL249" s="1"/>
  <c r="BL250" s="1" a="1"/>
  <c r="BL250" s="1"/>
  <c r="BO11" l="1"/>
  <c r="BK14" a="1"/>
  <c r="BK14" s="1"/>
  <c r="BM14" l="1"/>
  <c r="BK15" a="1"/>
  <c r="BK15" s="1"/>
  <c r="BK16" s="1" a="1"/>
  <c r="BK16" s="1"/>
  <c r="BM16" s="1"/>
  <c r="BO16" s="1"/>
  <c r="BO14" l="1"/>
  <c r="BM15"/>
  <c r="BO15" s="1"/>
  <c r="BK17" a="1"/>
  <c r="BK17" s="1"/>
  <c r="BM17" s="1"/>
  <c r="BO17" s="1"/>
  <c r="BK18" l="1" a="1"/>
  <c r="BK18" s="1"/>
  <c r="BM18" l="1"/>
  <c r="BO18" s="1"/>
  <c r="BK19" a="1"/>
  <c r="BK19" s="1"/>
  <c r="BM19" l="1"/>
  <c r="BO19" s="1"/>
  <c r="BK20" a="1"/>
  <c r="BK20" s="1"/>
  <c r="BM20" l="1"/>
  <c r="BO20" s="1"/>
  <c r="BK21" a="1"/>
  <c r="BK21" s="1"/>
  <c r="BM21" l="1"/>
  <c r="BO21" s="1"/>
  <c r="BK22" a="1"/>
  <c r="BK22" s="1"/>
  <c r="BM22" l="1"/>
  <c r="BO22" s="1"/>
  <c r="BK23" a="1"/>
  <c r="BK23" s="1"/>
  <c r="BM23" l="1"/>
  <c r="BO23" s="1"/>
  <c r="BK24" a="1"/>
  <c r="BK24" s="1"/>
  <c r="BM24" l="1"/>
  <c r="BO24" s="1"/>
  <c r="BK25" a="1"/>
  <c r="BK25" s="1"/>
  <c r="BM25" l="1"/>
  <c r="BO25" s="1"/>
  <c r="BK26" a="1"/>
  <c r="BK26" s="1"/>
  <c r="BM26" l="1"/>
  <c r="BO26" s="1"/>
  <c r="BK27" a="1"/>
  <c r="BK27" s="1"/>
  <c r="BM27" l="1"/>
  <c r="BO27" s="1"/>
  <c r="BK28" a="1"/>
  <c r="BK28" s="1"/>
  <c r="BM28" l="1"/>
  <c r="BO28" s="1"/>
  <c r="BK29" a="1"/>
  <c r="BK29" s="1"/>
  <c r="BM29" l="1"/>
  <c r="BO29" s="1"/>
  <c r="BK30" a="1"/>
  <c r="BK30" s="1"/>
  <c r="BM30" l="1"/>
  <c r="BO30" s="1"/>
  <c r="BK31" a="1"/>
  <c r="BK31" s="1"/>
  <c r="BM31" l="1"/>
  <c r="BO31" s="1"/>
  <c r="BK32" a="1"/>
  <c r="BK32" s="1"/>
  <c r="BM32" l="1"/>
  <c r="BO32" s="1"/>
  <c r="BK33" a="1"/>
  <c r="BK33" s="1"/>
  <c r="BM33" l="1"/>
  <c r="BO33" s="1"/>
  <c r="BK34" a="1"/>
  <c r="BK34" s="1"/>
  <c r="BM34" l="1"/>
  <c r="BO34" s="1"/>
  <c r="BK35" a="1"/>
  <c r="BK35" s="1"/>
  <c r="BM35" l="1"/>
  <c r="BO35" s="1"/>
  <c r="BK36" a="1"/>
  <c r="BK36" s="1"/>
  <c r="BM36" l="1"/>
  <c r="BO36" s="1"/>
  <c r="BK37" a="1"/>
  <c r="BK37" s="1"/>
  <c r="BM37" l="1"/>
  <c r="BO37" s="1"/>
  <c r="BK38" a="1"/>
  <c r="BK38" s="1"/>
  <c r="BM38" l="1"/>
  <c r="BO38" s="1"/>
  <c r="BK39" a="1"/>
  <c r="BK39" s="1"/>
  <c r="BM39" l="1"/>
  <c r="BO39" s="1"/>
  <c r="BK40" a="1"/>
  <c r="BK40" s="1"/>
  <c r="BM40" l="1"/>
  <c r="BO40" s="1"/>
  <c r="BK41" a="1"/>
  <c r="BK41" s="1"/>
  <c r="BM41" l="1"/>
  <c r="BO41" s="1"/>
  <c r="BK42" a="1"/>
  <c r="BK42" s="1"/>
  <c r="BM42" l="1"/>
  <c r="BO42" s="1"/>
  <c r="BK43" a="1"/>
  <c r="BK43" s="1"/>
  <c r="BM43" l="1"/>
  <c r="BO43" s="1"/>
  <c r="BK44" a="1"/>
  <c r="BK44" s="1"/>
  <c r="BM44" l="1"/>
  <c r="BO44" s="1"/>
  <c r="BK45" a="1"/>
  <c r="BK45" s="1"/>
  <c r="BM45" l="1"/>
  <c r="BO45" s="1"/>
  <c r="BK46" a="1"/>
  <c r="BK46" s="1"/>
  <c r="BM46" l="1"/>
  <c r="BO46" s="1"/>
  <c r="BK47" a="1"/>
  <c r="BK47" s="1"/>
  <c r="BM47" l="1"/>
  <c r="BO47" s="1"/>
  <c r="BK48" a="1"/>
  <c r="BK48" s="1"/>
  <c r="BM48" l="1"/>
  <c r="BO48" s="1"/>
  <c r="BK49" a="1"/>
  <c r="BK49" s="1"/>
  <c r="BM49" l="1"/>
  <c r="BO49" s="1"/>
  <c r="BK50" a="1"/>
  <c r="BK50" s="1"/>
  <c r="BM50" l="1"/>
  <c r="BO50" s="1"/>
  <c r="BK51" a="1"/>
  <c r="BK51" s="1"/>
  <c r="BM51" l="1"/>
  <c r="BO51" s="1"/>
  <c r="BK52" a="1"/>
  <c r="BK52" s="1"/>
  <c r="BM52" l="1"/>
  <c r="BO52" s="1"/>
  <c r="BK53" a="1"/>
  <c r="BK53" s="1"/>
  <c r="BM53" l="1"/>
  <c r="BO53" s="1"/>
  <c r="BK54" a="1"/>
  <c r="BK54" s="1"/>
  <c r="BM54" l="1"/>
  <c r="BO54" s="1"/>
  <c r="BK55" a="1"/>
  <c r="BK55" s="1"/>
  <c r="BM55" l="1"/>
  <c r="BO55" s="1"/>
  <c r="BK56" a="1"/>
  <c r="BK56" s="1"/>
  <c r="BM56" l="1"/>
  <c r="BO56" s="1"/>
  <c r="BK57" a="1"/>
  <c r="BK57" s="1"/>
  <c r="BM57" l="1"/>
  <c r="BO57" s="1"/>
  <c r="BK58" a="1"/>
  <c r="BK58" s="1"/>
  <c r="BM58" l="1"/>
  <c r="BO58" s="1"/>
  <c r="BK59" a="1"/>
  <c r="BK59" s="1"/>
  <c r="BM59" l="1"/>
  <c r="BO59" s="1"/>
  <c r="BK60" a="1"/>
  <c r="BK60" s="1"/>
  <c r="BM60" l="1"/>
  <c r="BO60" s="1"/>
  <c r="BK61" a="1"/>
  <c r="BK61" s="1"/>
  <c r="BM61" l="1"/>
  <c r="BO61" s="1"/>
  <c r="BK62" a="1"/>
  <c r="BK62" s="1"/>
  <c r="BM62" l="1"/>
  <c r="BO62" s="1"/>
  <c r="BK63" a="1"/>
  <c r="BK63" s="1"/>
  <c r="BM63" l="1"/>
  <c r="BO63" s="1"/>
  <c r="BK64" a="1"/>
  <c r="BK64" s="1"/>
  <c r="BM64" l="1"/>
  <c r="BO64" s="1"/>
  <c r="BK65" a="1"/>
  <c r="BK65" s="1"/>
  <c r="BM65" l="1"/>
  <c r="BO65" s="1"/>
  <c r="BK66" a="1"/>
  <c r="BK66" s="1"/>
  <c r="BM66" l="1"/>
  <c r="BO66" s="1"/>
  <c r="BK67" a="1"/>
  <c r="BK67" s="1"/>
  <c r="BM67" l="1"/>
  <c r="BO67" s="1"/>
  <c r="BK68" a="1"/>
  <c r="BK68" s="1"/>
  <c r="BM68" l="1"/>
  <c r="BO68" s="1"/>
  <c r="BK69" a="1"/>
  <c r="BK69" s="1"/>
  <c r="BM69" l="1"/>
  <c r="BO69" s="1"/>
  <c r="BK70" a="1"/>
  <c r="BK70" s="1"/>
  <c r="BM70" l="1"/>
  <c r="BO70" s="1"/>
  <c r="BK71" a="1"/>
  <c r="BK71" s="1"/>
  <c r="BM71" l="1"/>
  <c r="BO71" s="1"/>
  <c r="BK72" a="1"/>
  <c r="BK72" s="1"/>
  <c r="BM72" l="1"/>
  <c r="BO72" s="1"/>
  <c r="BK73" a="1"/>
  <c r="BK73" s="1"/>
  <c r="BM73" l="1"/>
  <c r="BO73" s="1"/>
  <c r="BK74" a="1"/>
  <c r="BK74" s="1"/>
  <c r="BM74" l="1"/>
  <c r="BO74" s="1"/>
  <c r="BK75" a="1"/>
  <c r="BK75" s="1"/>
  <c r="BM75" l="1"/>
  <c r="BO75" s="1"/>
  <c r="BK76" a="1"/>
  <c r="BK76" s="1"/>
  <c r="BM76" l="1"/>
  <c r="BO76" s="1"/>
  <c r="BK77" a="1"/>
  <c r="BK77" s="1"/>
  <c r="BM77" l="1"/>
  <c r="BO77" s="1"/>
  <c r="BK78" a="1"/>
  <c r="BK78" s="1"/>
  <c r="BM78" l="1"/>
  <c r="BO78" s="1"/>
  <c r="BK79" a="1"/>
  <c r="BK79" s="1"/>
  <c r="BM79" l="1"/>
  <c r="BO79" s="1"/>
  <c r="BK80" a="1"/>
  <c r="BK80" s="1"/>
  <c r="BM80" l="1"/>
  <c r="BO80" s="1"/>
  <c r="BK81" a="1"/>
  <c r="BK81" s="1"/>
  <c r="BM81" l="1"/>
  <c r="BO81" s="1"/>
  <c r="BK82" a="1"/>
  <c r="BK82" s="1"/>
  <c r="BM82" l="1"/>
  <c r="BO82" s="1"/>
  <c r="BK83" a="1"/>
  <c r="BK83" s="1"/>
  <c r="BM83" l="1"/>
  <c r="BO83" s="1"/>
  <c r="BK84" a="1"/>
  <c r="BK84" s="1"/>
  <c r="BM84" l="1"/>
  <c r="BO84" s="1"/>
  <c r="BK85" a="1"/>
  <c r="BK85" s="1"/>
  <c r="BM85" l="1"/>
  <c r="BO85" s="1"/>
  <c r="BK86" a="1"/>
  <c r="BK86" s="1"/>
  <c r="BM86" l="1"/>
  <c r="BO86" s="1"/>
  <c r="BK87" a="1"/>
  <c r="BK87" s="1"/>
  <c r="BM87" l="1"/>
  <c r="BO87" s="1"/>
  <c r="BK88" a="1"/>
  <c r="BK88" s="1"/>
  <c r="BM88" l="1"/>
  <c r="BO88" s="1"/>
  <c r="BK89" a="1"/>
  <c r="BK89" s="1"/>
  <c r="BM89" l="1"/>
  <c r="BO89" s="1"/>
  <c r="BK90" a="1"/>
  <c r="BK90" s="1"/>
  <c r="BM90" l="1"/>
  <c r="BO90" s="1"/>
  <c r="BK91" a="1"/>
  <c r="BK91" s="1"/>
  <c r="BM91" l="1"/>
  <c r="BO91" s="1"/>
  <c r="BK92" a="1"/>
  <c r="BK92" s="1"/>
  <c r="BM92" l="1"/>
  <c r="BO92" s="1"/>
  <c r="BK93" a="1"/>
  <c r="BK93" s="1"/>
  <c r="BM93" l="1"/>
  <c r="BO93" s="1"/>
  <c r="BK94" a="1"/>
  <c r="BK94" s="1"/>
  <c r="BM94" l="1"/>
  <c r="BO94" s="1"/>
  <c r="BK95" a="1"/>
  <c r="BK95" s="1"/>
  <c r="BM95" l="1"/>
  <c r="BO95" s="1"/>
  <c r="BK96" a="1"/>
  <c r="BK96" s="1"/>
  <c r="BM96" l="1"/>
  <c r="BO96" s="1"/>
  <c r="BK97" a="1"/>
  <c r="BK97" s="1"/>
  <c r="BM97" l="1"/>
  <c r="BO97" s="1"/>
  <c r="BK98" a="1"/>
  <c r="BK98" s="1"/>
  <c r="BM98" l="1"/>
  <c r="BO98" s="1"/>
  <c r="BK99" a="1"/>
  <c r="BK99" s="1"/>
  <c r="BM99" l="1"/>
  <c r="BO99" s="1"/>
  <c r="BK100" a="1"/>
  <c r="BK100" s="1"/>
  <c r="BM100" l="1"/>
  <c r="BO100" s="1"/>
  <c r="BK101" a="1"/>
  <c r="BK101" s="1"/>
  <c r="BM101" l="1"/>
  <c r="BO101" s="1"/>
  <c r="BK102" a="1"/>
  <c r="BK102" s="1"/>
  <c r="BM102" l="1"/>
  <c r="BO102" s="1"/>
  <c r="BK103" a="1"/>
  <c r="BK103" s="1"/>
  <c r="BM103" l="1"/>
  <c r="BO103" s="1"/>
  <c r="BK104" a="1"/>
  <c r="BK104" s="1"/>
  <c r="BM104" l="1"/>
  <c r="BO104" s="1"/>
  <c r="BK105" a="1"/>
  <c r="BK105" s="1"/>
  <c r="BM105" l="1"/>
  <c r="BO105" s="1"/>
  <c r="BK106" a="1"/>
  <c r="BK106" s="1"/>
  <c r="BM106" l="1"/>
  <c r="BO106" s="1"/>
  <c r="BK107" a="1"/>
  <c r="BK107" s="1"/>
  <c r="BM107" l="1"/>
  <c r="BO107" s="1"/>
  <c r="BK108" a="1"/>
  <c r="BK108" s="1"/>
  <c r="BM108" l="1"/>
  <c r="BO108" s="1"/>
  <c r="BK109" a="1"/>
  <c r="BK109" s="1"/>
  <c r="BM109" l="1"/>
  <c r="BO109" s="1"/>
  <c r="BK110" a="1"/>
  <c r="BK110" s="1"/>
  <c r="BM110" l="1"/>
  <c r="BO110" s="1"/>
  <c r="BK111" a="1"/>
  <c r="BK111" s="1"/>
  <c r="BM111" l="1"/>
  <c r="BO111" s="1"/>
  <c r="BK112" a="1"/>
  <c r="BK112" s="1"/>
  <c r="BM112" l="1"/>
  <c r="BO112" s="1"/>
  <c r="BK113" a="1"/>
  <c r="BK113" s="1"/>
  <c r="BM113" l="1"/>
  <c r="BO113" s="1"/>
  <c r="BK114" a="1"/>
  <c r="BK114" s="1"/>
  <c r="BM114" l="1"/>
  <c r="BO114" s="1"/>
  <c r="BK115" a="1"/>
  <c r="BK115" s="1"/>
  <c r="BM115" l="1"/>
  <c r="BO115" s="1"/>
  <c r="BK116" a="1"/>
  <c r="BK116" s="1"/>
  <c r="BM116" l="1"/>
  <c r="BO116" s="1"/>
  <c r="BK117" a="1"/>
  <c r="BK117" s="1"/>
  <c r="BM117" l="1"/>
  <c r="BO117" s="1"/>
  <c r="BK118" a="1"/>
  <c r="BK118" s="1"/>
  <c r="BM118" l="1"/>
  <c r="BO118" s="1"/>
  <c r="BK119" a="1"/>
  <c r="BK119" s="1"/>
  <c r="BM119" l="1"/>
  <c r="BO119" s="1"/>
  <c r="BK120" a="1"/>
  <c r="BK120" s="1"/>
  <c r="BM120" l="1"/>
  <c r="BO120" s="1"/>
  <c r="BK121" a="1"/>
  <c r="BK121" s="1"/>
  <c r="BM121" l="1"/>
  <c r="BO121" s="1"/>
  <c r="BK122" a="1"/>
  <c r="BK122" s="1"/>
  <c r="BM122" l="1"/>
  <c r="BO122" s="1"/>
  <c r="BK123" a="1"/>
  <c r="BK123" s="1"/>
  <c r="BM123" l="1"/>
  <c r="BO123" s="1"/>
  <c r="BK124" a="1"/>
  <c r="BK124" s="1"/>
  <c r="BM124" l="1"/>
  <c r="BO124" s="1"/>
  <c r="BK125" a="1"/>
  <c r="BK125" s="1"/>
  <c r="BM125" l="1"/>
  <c r="BO125" s="1"/>
  <c r="BK126" a="1"/>
  <c r="BK126" s="1"/>
  <c r="BM126" l="1"/>
  <c r="BO126" s="1"/>
  <c r="BK127" a="1"/>
  <c r="BK127" s="1"/>
  <c r="BM127" l="1"/>
  <c r="BO127" s="1"/>
  <c r="BK128" a="1"/>
  <c r="BK128" s="1"/>
  <c r="BM128" l="1"/>
  <c r="BO128" s="1"/>
  <c r="BK129" a="1"/>
  <c r="BK129" s="1"/>
  <c r="BM129" l="1"/>
  <c r="BO129" s="1"/>
  <c r="BK130" a="1"/>
  <c r="BK130" s="1"/>
  <c r="BM130" l="1"/>
  <c r="BO130" s="1"/>
  <c r="BK131" a="1"/>
  <c r="BK131" s="1"/>
  <c r="BM131" l="1"/>
  <c r="BO131" s="1"/>
  <c r="BK132" a="1"/>
  <c r="BK132" s="1"/>
  <c r="BM132" l="1"/>
  <c r="BO132" s="1"/>
  <c r="BK133" a="1"/>
  <c r="BK133" s="1"/>
  <c r="BM133" l="1"/>
  <c r="BO133" s="1"/>
  <c r="BK134" a="1"/>
  <c r="BK134" s="1"/>
  <c r="BM134" l="1"/>
  <c r="BO134" s="1"/>
  <c r="BK135" a="1"/>
  <c r="BK135" s="1"/>
  <c r="BM135" l="1"/>
  <c r="BO135" s="1"/>
  <c r="BK136" a="1"/>
  <c r="BK136" s="1"/>
  <c r="BM136" l="1"/>
  <c r="BO136" s="1"/>
  <c r="BK137" a="1"/>
  <c r="BK137" s="1"/>
  <c r="BM137" l="1"/>
  <c r="BO137" s="1"/>
  <c r="BK138" a="1"/>
  <c r="BK138" s="1"/>
  <c r="BM138" l="1"/>
  <c r="BO138" s="1"/>
  <c r="BK139" a="1"/>
  <c r="BK139" s="1"/>
  <c r="BM139" l="1"/>
  <c r="BO139" s="1"/>
  <c r="BK140" a="1"/>
  <c r="BK140" s="1"/>
  <c r="BM140" l="1"/>
  <c r="BO140" s="1"/>
  <c r="BK141" a="1"/>
  <c r="BK141" s="1"/>
  <c r="BM141" l="1"/>
  <c r="BO141" s="1"/>
  <c r="BK142" a="1"/>
  <c r="BK142" s="1"/>
  <c r="BM142" l="1"/>
  <c r="BO142" s="1"/>
  <c r="BK143" a="1"/>
  <c r="BK143" s="1"/>
  <c r="BM143" l="1"/>
  <c r="BO143" s="1"/>
  <c r="BK144" a="1"/>
  <c r="BK144" s="1"/>
  <c r="BM144" l="1"/>
  <c r="BO144" s="1"/>
  <c r="BK145" a="1"/>
  <c r="BK145" s="1"/>
  <c r="BM145" l="1"/>
  <c r="BO145" s="1"/>
  <c r="BK146" a="1"/>
  <c r="BK146" s="1"/>
  <c r="BM146" l="1"/>
  <c r="BO146" s="1"/>
  <c r="BK147" a="1"/>
  <c r="BK147" s="1"/>
  <c r="BM147" l="1"/>
  <c r="BO147" s="1"/>
  <c r="BK148" a="1"/>
  <c r="BK148" s="1"/>
  <c r="BM148" l="1"/>
  <c r="BO148" s="1"/>
  <c r="BK149" a="1"/>
  <c r="BK149" s="1"/>
  <c r="BM149" l="1"/>
  <c r="BO149" s="1"/>
  <c r="BK150" a="1"/>
  <c r="BK150" s="1"/>
  <c r="BM150" l="1"/>
  <c r="BO150" s="1"/>
  <c r="BK151" a="1"/>
  <c r="BK151" s="1"/>
  <c r="BM151" l="1"/>
  <c r="BO151" s="1"/>
  <c r="BK152" a="1"/>
  <c r="BK152" s="1"/>
  <c r="BM152" l="1"/>
  <c r="BO152" s="1"/>
  <c r="BK153" a="1"/>
  <c r="BK153" s="1"/>
  <c r="BM153" l="1"/>
  <c r="BO153" s="1"/>
  <c r="BK154" a="1"/>
  <c r="BK154" s="1"/>
  <c r="BM154" l="1"/>
  <c r="BO154" s="1"/>
  <c r="BK155" a="1"/>
  <c r="BK155" s="1"/>
  <c r="BM155" l="1"/>
  <c r="BO155" s="1"/>
  <c r="BK156" a="1"/>
  <c r="BK156" s="1"/>
  <c r="BM156" l="1"/>
  <c r="BO156" s="1"/>
  <c r="BK157" a="1"/>
  <c r="BK157" s="1"/>
  <c r="BM157" l="1"/>
  <c r="BO157" s="1"/>
  <c r="BK158" a="1"/>
  <c r="BK158" s="1"/>
  <c r="BM158" l="1"/>
  <c r="BO158" s="1"/>
  <c r="BK159" a="1"/>
  <c r="BK159" s="1"/>
  <c r="BM159" l="1"/>
  <c r="BO159" s="1"/>
  <c r="BK160" a="1"/>
  <c r="BK160" s="1"/>
  <c r="BM160" l="1"/>
  <c r="BO160" s="1"/>
  <c r="BK161" a="1"/>
  <c r="BK161" s="1"/>
  <c r="BM161" l="1"/>
  <c r="BO161" s="1"/>
  <c r="BK162" a="1"/>
  <c r="BK162" s="1"/>
  <c r="BM162" l="1"/>
  <c r="BO162" s="1"/>
  <c r="BK163" a="1"/>
  <c r="BK163" s="1"/>
  <c r="BM163" l="1"/>
  <c r="BO163" s="1"/>
  <c r="BK164" a="1"/>
  <c r="BK164" s="1"/>
  <c r="BM164" l="1"/>
  <c r="BO164" s="1"/>
  <c r="BK165" a="1"/>
  <c r="BK165" s="1"/>
  <c r="BM165" l="1"/>
  <c r="BO165" s="1"/>
  <c r="BK166" a="1"/>
  <c r="BK166" s="1"/>
  <c r="BM166" l="1"/>
  <c r="BO166" s="1"/>
  <c r="BK167" a="1"/>
  <c r="BK167" s="1"/>
  <c r="BM167" l="1"/>
  <c r="BO167" s="1"/>
  <c r="BK168" a="1"/>
  <c r="BK168" s="1"/>
  <c r="BM168" l="1"/>
  <c r="BO168" s="1"/>
  <c r="BK169" a="1"/>
  <c r="BK169" s="1"/>
  <c r="BM169" l="1"/>
  <c r="BO169" s="1"/>
  <c r="BK170" a="1"/>
  <c r="BK170" s="1"/>
  <c r="BM170" l="1"/>
  <c r="BO170" s="1"/>
  <c r="BK171" a="1"/>
  <c r="BK171" s="1"/>
  <c r="BM171" l="1"/>
  <c r="BO171" s="1"/>
  <c r="BK172" a="1"/>
  <c r="BK172" s="1"/>
  <c r="BM172" l="1"/>
  <c r="BO172" s="1"/>
  <c r="BK173" a="1"/>
  <c r="BK173" s="1"/>
  <c r="BM173" l="1"/>
  <c r="BO173" s="1"/>
  <c r="BK174" a="1"/>
  <c r="BK174" s="1"/>
  <c r="BM174" l="1"/>
  <c r="BO174" s="1"/>
  <c r="BK175" a="1"/>
  <c r="BK175" s="1"/>
  <c r="BM175" l="1"/>
  <c r="BO175" s="1"/>
  <c r="BK176" a="1"/>
  <c r="BK176" s="1"/>
  <c r="BM176" l="1"/>
  <c r="BO176" s="1"/>
  <c r="BK177" a="1"/>
  <c r="BK177" s="1"/>
  <c r="BM177" l="1"/>
  <c r="BO177" s="1"/>
  <c r="BK178" a="1"/>
  <c r="BK178" s="1"/>
  <c r="BM178" l="1"/>
  <c r="BO178" s="1"/>
  <c r="BK179" a="1"/>
  <c r="BK179" s="1"/>
  <c r="BM179" l="1"/>
  <c r="BO179" s="1"/>
  <c r="BK180" a="1"/>
  <c r="BK180" s="1"/>
  <c r="BM180" l="1"/>
  <c r="BO180" s="1"/>
  <c r="BK181" a="1"/>
  <c r="BK181" s="1"/>
  <c r="BM181" l="1"/>
  <c r="BO181" s="1"/>
  <c r="BK182" a="1"/>
  <c r="BK182" s="1"/>
  <c r="BM182" l="1"/>
  <c r="BO182" s="1"/>
  <c r="BK183" a="1"/>
  <c r="BK183" s="1"/>
  <c r="BM183" l="1"/>
  <c r="BO183" s="1"/>
  <c r="BK184" a="1"/>
  <c r="BK184" s="1"/>
  <c r="BM184" l="1"/>
  <c r="BO184" s="1"/>
  <c r="BK185" a="1"/>
  <c r="BK185" s="1"/>
  <c r="BM185" l="1"/>
  <c r="BO185" s="1"/>
  <c r="BK186" a="1"/>
  <c r="BK186" s="1"/>
  <c r="BM186" l="1"/>
  <c r="BO186" s="1"/>
  <c r="BK187" a="1"/>
  <c r="BK187" s="1"/>
  <c r="BM187" l="1"/>
  <c r="BO187" s="1"/>
  <c r="BK188" a="1"/>
  <c r="BK188" s="1"/>
  <c r="BM188" l="1"/>
  <c r="BO188" s="1"/>
  <c r="BK189" a="1"/>
  <c r="BK189" s="1"/>
  <c r="BM189" l="1"/>
  <c r="BO189" s="1"/>
  <c r="BK190" a="1"/>
  <c r="BK190" s="1"/>
  <c r="BM190" l="1"/>
  <c r="BO190" s="1"/>
  <c r="BK191" a="1"/>
  <c r="BK191" s="1"/>
  <c r="BM191" l="1"/>
  <c r="BO191" s="1"/>
  <c r="BK192" a="1"/>
  <c r="BK192" s="1"/>
  <c r="BM192" l="1"/>
  <c r="BO192" s="1"/>
  <c r="BK193" a="1"/>
  <c r="BK193" s="1"/>
  <c r="BM193" l="1"/>
  <c r="BO193" s="1"/>
  <c r="BK194" a="1"/>
  <c r="BK194" s="1"/>
  <c r="BM194" l="1"/>
  <c r="BO194" s="1"/>
  <c r="BK195" a="1"/>
  <c r="BK195" s="1"/>
  <c r="BM195" l="1"/>
  <c r="BO195" s="1"/>
  <c r="BK196" a="1"/>
  <c r="BK196" s="1"/>
  <c r="BM196" l="1"/>
  <c r="BO196" s="1"/>
  <c r="BK197" a="1"/>
  <c r="BK197" s="1"/>
  <c r="BM197" l="1"/>
  <c r="BO197" s="1"/>
  <c r="BK198" a="1"/>
  <c r="BK198" s="1"/>
  <c r="BM198" l="1"/>
  <c r="BO198" s="1"/>
  <c r="BK199" a="1"/>
  <c r="BK199" s="1"/>
  <c r="BM199" l="1"/>
  <c r="BO199" s="1"/>
  <c r="BK200" a="1"/>
  <c r="BK200" s="1"/>
  <c r="BM200" l="1"/>
  <c r="BO200" s="1"/>
  <c r="BK201" a="1"/>
  <c r="BK201" s="1"/>
  <c r="BM201" l="1"/>
  <c r="BO201" s="1"/>
  <c r="BK202" a="1"/>
  <c r="BK202" s="1"/>
  <c r="BM202" l="1"/>
  <c r="BO202" s="1"/>
  <c r="BK203" a="1"/>
  <c r="BK203" s="1"/>
  <c r="BM203" l="1"/>
  <c r="BO203" s="1"/>
  <c r="BK204" a="1"/>
  <c r="BK204" s="1"/>
  <c r="BM204" l="1"/>
  <c r="BO204" s="1"/>
  <c r="BK205" a="1"/>
  <c r="BK205" s="1"/>
  <c r="BM205" l="1"/>
  <c r="BO205" s="1"/>
  <c r="BK206" a="1"/>
  <c r="BK206" s="1"/>
  <c r="BM206" l="1"/>
  <c r="BO206" s="1"/>
  <c r="BK207" a="1"/>
  <c r="BK207" s="1"/>
  <c r="BM207" l="1"/>
  <c r="BO207" s="1"/>
  <c r="BK208" a="1"/>
  <c r="BK208" s="1"/>
  <c r="BM208" l="1"/>
  <c r="BO208" s="1"/>
  <c r="BK209" a="1"/>
  <c r="BK209" s="1"/>
  <c r="BM209" l="1"/>
  <c r="BO209" s="1"/>
  <c r="BK210" a="1"/>
  <c r="BK210" s="1"/>
  <c r="BM210" l="1"/>
  <c r="BO210" s="1"/>
  <c r="BK211" a="1"/>
  <c r="BK211" s="1"/>
  <c r="BM211" l="1"/>
  <c r="BO211" s="1"/>
  <c r="BK212" a="1"/>
  <c r="BK212" s="1"/>
  <c r="BM212" l="1"/>
  <c r="BO212" s="1"/>
  <c r="BK213" a="1"/>
  <c r="BK213" s="1"/>
  <c r="BM213" l="1"/>
  <c r="BO213" s="1"/>
  <c r="BK214" a="1"/>
  <c r="BK214" s="1"/>
  <c r="BM214" l="1"/>
  <c r="BO214" s="1"/>
  <c r="BK215" a="1"/>
  <c r="BK215" s="1"/>
  <c r="BM215" l="1"/>
  <c r="BO215" s="1"/>
  <c r="BK216" a="1"/>
  <c r="BK216" s="1"/>
  <c r="BM216" l="1"/>
  <c r="BO216" s="1"/>
  <c r="BK217" a="1"/>
  <c r="BK217" s="1"/>
  <c r="BM217" l="1"/>
  <c r="BO217" s="1"/>
  <c r="BK218" a="1"/>
  <c r="BK218" s="1"/>
  <c r="BM218" l="1"/>
  <c r="BO218" s="1"/>
  <c r="BK219" a="1"/>
  <c r="BK219" s="1"/>
  <c r="BM219" l="1"/>
  <c r="BO219" s="1"/>
  <c r="BK220" a="1"/>
  <c r="BK220" s="1"/>
  <c r="BM220" l="1"/>
  <c r="BO220" s="1"/>
  <c r="BK221" a="1"/>
  <c r="BK221" s="1"/>
  <c r="BM221" l="1"/>
  <c r="BO221" s="1"/>
  <c r="BK222" a="1"/>
  <c r="BK222" s="1"/>
  <c r="BM222" l="1"/>
  <c r="BO222" s="1"/>
  <c r="BK223" a="1"/>
  <c r="BK223" s="1"/>
  <c r="BM223" l="1"/>
  <c r="BO223" s="1"/>
  <c r="BK224" a="1"/>
  <c r="BK224" s="1"/>
  <c r="BM224" l="1"/>
  <c r="BO224" s="1"/>
  <c r="BK225" a="1"/>
  <c r="BK225" s="1"/>
  <c r="BM225" l="1"/>
  <c r="BO225" s="1"/>
  <c r="BK226" a="1"/>
  <c r="BK226" s="1"/>
  <c r="BM226" l="1"/>
  <c r="BO226" s="1"/>
  <c r="BK227" a="1"/>
  <c r="BK227" s="1"/>
  <c r="BM227" l="1"/>
  <c r="BO227" s="1"/>
  <c r="BK228" a="1"/>
  <c r="BK228" s="1"/>
  <c r="BM228" l="1"/>
  <c r="BO228" s="1"/>
  <c r="BK229" a="1"/>
  <c r="BK229" s="1"/>
  <c r="BM229" l="1"/>
  <c r="BO229" s="1"/>
  <c r="BK230" a="1"/>
  <c r="BK230" s="1"/>
  <c r="BM230" l="1"/>
  <c r="BO230" s="1"/>
  <c r="BK231" a="1"/>
  <c r="BK231" s="1"/>
  <c r="BM231" l="1"/>
  <c r="BO231" s="1"/>
  <c r="BK232" a="1"/>
  <c r="BK232" s="1"/>
  <c r="BM232" l="1"/>
  <c r="BO232" s="1"/>
  <c r="BK233" a="1"/>
  <c r="BK233" s="1"/>
  <c r="BM233" l="1"/>
  <c r="BO233" s="1"/>
  <c r="BK234" a="1"/>
  <c r="BK234" s="1"/>
  <c r="BM234" l="1"/>
  <c r="BO234" s="1"/>
  <c r="BK235" a="1"/>
  <c r="BK235" s="1"/>
  <c r="BM235" l="1"/>
  <c r="BO235" s="1"/>
  <c r="BK236" a="1"/>
  <c r="BK236" s="1"/>
  <c r="BM236" l="1"/>
  <c r="BO236" s="1"/>
  <c r="BK237" a="1"/>
  <c r="BK237" s="1"/>
  <c r="BM237" l="1"/>
  <c r="BO237" s="1"/>
  <c r="BK238" a="1"/>
  <c r="BK238" s="1"/>
  <c r="BM238" l="1"/>
  <c r="BO238" s="1"/>
  <c r="BK239" a="1"/>
  <c r="BK239" s="1"/>
  <c r="BM239" l="1"/>
  <c r="BO239" s="1"/>
  <c r="BK240" a="1"/>
  <c r="BK240" s="1"/>
  <c r="BM240" l="1"/>
  <c r="BO240" s="1"/>
  <c r="BK241" a="1"/>
  <c r="BK241" s="1"/>
  <c r="BM241" l="1"/>
  <c r="BO241" s="1"/>
  <c r="BK242" a="1"/>
  <c r="BK242" s="1"/>
  <c r="BM242" l="1"/>
  <c r="BO242" s="1"/>
  <c r="BK243" a="1"/>
  <c r="BK243" s="1"/>
  <c r="BM243" l="1"/>
  <c r="BO243" s="1"/>
  <c r="BK244" a="1"/>
  <c r="BK244" s="1"/>
  <c r="BM244" l="1"/>
  <c r="BO244" s="1"/>
  <c r="BK245" a="1"/>
  <c r="BK245" s="1"/>
  <c r="BM245" l="1"/>
  <c r="BO245" s="1"/>
  <c r="BK246" a="1"/>
  <c r="BK246" s="1"/>
  <c r="BM246" l="1"/>
  <c r="BO246" s="1"/>
  <c r="BK249" a="1"/>
  <c r="BK249" s="1"/>
  <c r="BK247" a="1"/>
  <c r="BK247" s="1"/>
  <c r="BM249" l="1"/>
  <c r="BO249" s="1"/>
  <c r="BM247"/>
  <c r="BO247" s="1"/>
  <c r="BK248" a="1"/>
  <c r="BK248" s="1"/>
  <c r="BM248" s="1"/>
  <c r="BO248" s="1"/>
  <c r="BK250" l="1" a="1"/>
  <c r="BK250" s="1"/>
  <c r="BM250" s="1"/>
  <c r="BO250" l="1"/>
  <c r="BN10" a="1"/>
  <c r="BN10" s="1"/>
  <c r="BN11" s="1" a="1"/>
  <c r="BN11" s="1"/>
  <c r="BN12" s="1" a="1"/>
  <c r="BN12" s="1"/>
  <c r="AX31" l="1" a="1"/>
  <c r="AX31" s="1"/>
  <c r="AX38" a="1"/>
  <c r="AX38" s="1"/>
  <c r="AX10" a="1"/>
  <c r="AX10" s="1"/>
  <c r="BF39" a="1"/>
  <c r="BF39" s="1"/>
  <c r="BF33" a="1"/>
  <c r="BF33" s="1"/>
  <c r="BF27" a="1"/>
  <c r="BF27" s="1"/>
  <c r="BF21" a="1"/>
  <c r="BF21" s="1"/>
  <c r="BF15" a="1"/>
  <c r="BF15" s="1"/>
  <c r="BD40" a="1"/>
  <c r="BD40" s="1"/>
  <c r="BD28" a="1"/>
  <c r="BD28" s="1"/>
  <c r="BD16" a="1"/>
  <c r="BD16" s="1"/>
  <c r="BC35" a="1"/>
  <c r="BC35" s="1"/>
  <c r="BC23" a="1"/>
  <c r="BC23" s="1"/>
  <c r="BC11" a="1"/>
  <c r="BC11" s="1"/>
  <c r="BB30" a="1"/>
  <c r="BB30" s="1"/>
  <c r="BB18" a="1"/>
  <c r="BB18" s="1"/>
  <c r="BA37" a="1"/>
  <c r="BA37" s="1"/>
  <c r="BA25" a="1"/>
  <c r="BA25" s="1"/>
  <c r="BA13" a="1"/>
  <c r="BA13" s="1"/>
  <c r="AZ32" a="1"/>
  <c r="AZ32" s="1"/>
  <c r="AZ20" a="1"/>
  <c r="AZ20" s="1"/>
  <c r="AY39" a="1"/>
  <c r="AY39" s="1"/>
  <c r="AY27" a="1"/>
  <c r="AY27" s="1"/>
  <c r="AY15" a="1"/>
  <c r="AY15" s="1"/>
  <c r="AW34" a="1"/>
  <c r="AW34" s="1"/>
  <c r="AW22" a="1"/>
  <c r="AW22" s="1"/>
  <c r="AW10" a="1"/>
  <c r="AW10" s="1"/>
  <c r="AW24" a="1"/>
  <c r="AW24" s="1"/>
  <c r="AW25" a="1"/>
  <c r="AW25" s="1"/>
  <c r="AW14" a="1"/>
  <c r="AW14" s="1"/>
  <c r="AX26" a="1"/>
  <c r="AX26" s="1"/>
  <c r="AX33" a="1"/>
  <c r="AX33" s="1"/>
  <c r="BE40" a="1"/>
  <c r="BE40" s="1"/>
  <c r="BE34" a="1"/>
  <c r="BE34" s="1"/>
  <c r="BE28" a="1"/>
  <c r="BE28" s="1"/>
  <c r="BE22" a="1"/>
  <c r="BE22" s="1"/>
  <c r="BE16" a="1"/>
  <c r="BE16" s="1"/>
  <c r="BE10" a="1"/>
  <c r="BE10" s="1"/>
  <c r="BD29" a="1"/>
  <c r="BD29" s="1"/>
  <c r="BD17" a="1"/>
  <c r="BD17" s="1"/>
  <c r="BC36" a="1"/>
  <c r="BC36" s="1"/>
  <c r="BC24" a="1"/>
  <c r="BC24" s="1"/>
  <c r="BC12" a="1"/>
  <c r="BC12" s="1"/>
  <c r="BB31" a="1"/>
  <c r="BB31" s="1"/>
  <c r="BB19" a="1"/>
  <c r="BB19" s="1"/>
  <c r="BA38" a="1"/>
  <c r="BA38" s="1"/>
  <c r="BA26" a="1"/>
  <c r="BA26" s="1"/>
  <c r="BA14" a="1"/>
  <c r="BA14" s="1"/>
  <c r="AZ33" a="1"/>
  <c r="AZ33" s="1"/>
  <c r="AZ21" a="1"/>
  <c r="AZ21" s="1"/>
  <c r="AY40" a="1"/>
  <c r="AY40" s="1"/>
  <c r="AY28" a="1"/>
  <c r="AY28" s="1"/>
  <c r="AY16" a="1"/>
  <c r="AY16" s="1"/>
  <c r="AW35" a="1"/>
  <c r="AW35" s="1"/>
  <c r="AW23" a="1"/>
  <c r="AW23" s="1"/>
  <c r="AW11" a="1"/>
  <c r="AW11" s="1"/>
  <c r="AW12" a="1"/>
  <c r="AW12" s="1"/>
  <c r="AW37" a="1"/>
  <c r="AW37" s="1"/>
  <c r="AW26" a="1"/>
  <c r="AW26" s="1"/>
  <c r="AX14" a="1"/>
  <c r="AX14" s="1"/>
  <c r="AX13" a="1"/>
  <c r="AX13" s="1"/>
  <c r="BF40" a="1"/>
  <c r="BF40" s="1"/>
  <c r="BF34" a="1"/>
  <c r="BF34" s="1"/>
  <c r="BF28" a="1"/>
  <c r="BF28" s="1"/>
  <c r="BF22" a="1"/>
  <c r="BF22" s="1"/>
  <c r="BF16" a="1"/>
  <c r="BF16" s="1"/>
  <c r="BF10" a="1"/>
  <c r="BF10" s="1"/>
  <c r="BD30" a="1"/>
  <c r="BD30" s="1"/>
  <c r="BD18" a="1"/>
  <c r="BD18" s="1"/>
  <c r="BC37" a="1"/>
  <c r="BC37" s="1"/>
  <c r="BC25" a="1"/>
  <c r="BC25" s="1"/>
  <c r="BC13" a="1"/>
  <c r="BC13" s="1"/>
  <c r="BB32" a="1"/>
  <c r="BB32" s="1"/>
  <c r="BB20" a="1"/>
  <c r="BB20" s="1"/>
  <c r="BA39" a="1"/>
  <c r="BA39" s="1"/>
  <c r="BA27" a="1"/>
  <c r="BA27" s="1"/>
  <c r="BA15" a="1"/>
  <c r="BA15" s="1"/>
  <c r="AZ34" a="1"/>
  <c r="AZ34" s="1"/>
  <c r="AZ22" a="1"/>
  <c r="AZ22" s="1"/>
  <c r="AZ10" a="1"/>
  <c r="AZ10" s="1"/>
  <c r="AY29" a="1"/>
  <c r="AY29" s="1"/>
  <c r="AY17" a="1"/>
  <c r="AY17" s="1"/>
  <c r="AW36" a="1"/>
  <c r="AW36" s="1"/>
  <c r="AY30" a="1"/>
  <c r="AY30" s="1"/>
  <c r="AY19" a="1"/>
  <c r="AY19" s="1"/>
  <c r="AX39" a="1"/>
  <c r="AX39" s="1"/>
  <c r="AX34" a="1"/>
  <c r="AX34" s="1"/>
  <c r="AR10"/>
  <c r="BE35" a="1"/>
  <c r="BE35" s="1"/>
  <c r="BE29" a="1"/>
  <c r="BE29" s="1"/>
  <c r="BE23" a="1"/>
  <c r="BE23" s="1"/>
  <c r="BE17" a="1"/>
  <c r="BE17" s="1"/>
  <c r="BE11" a="1"/>
  <c r="BE11" s="1"/>
  <c r="BD31" a="1"/>
  <c r="BD31" s="1"/>
  <c r="BD19" a="1"/>
  <c r="BD19" s="1"/>
  <c r="BC38" a="1"/>
  <c r="BC38" s="1"/>
  <c r="BC26" a="1"/>
  <c r="BC26" s="1"/>
  <c r="BC14" a="1"/>
  <c r="BC14" s="1"/>
  <c r="BB33" a="1"/>
  <c r="BB33" s="1"/>
  <c r="BB21" a="1"/>
  <c r="BB21" s="1"/>
  <c r="BA40" a="1"/>
  <c r="BA40" s="1"/>
  <c r="BA28" a="1"/>
  <c r="BA28" s="1"/>
  <c r="BA16" a="1"/>
  <c r="BA16" s="1"/>
  <c r="AZ35" a="1"/>
  <c r="AZ35" s="1"/>
  <c r="AZ23" a="1"/>
  <c r="AZ23" s="1"/>
  <c r="AZ11" a="1"/>
  <c r="AZ11" s="1"/>
  <c r="AY18" a="1"/>
  <c r="AY18" s="1"/>
  <c r="AW38" a="1"/>
  <c r="AW38" s="1"/>
  <c r="AX27" a="1"/>
  <c r="AX27" s="1"/>
  <c r="AX11" a="1"/>
  <c r="AX11" s="1"/>
  <c r="BF35" a="1"/>
  <c r="BF35" s="1"/>
  <c r="BF29" a="1"/>
  <c r="BF29" s="1"/>
  <c r="BF23" a="1"/>
  <c r="BF23" s="1"/>
  <c r="BF17" a="1"/>
  <c r="BF17" s="1"/>
  <c r="BF11" a="1"/>
  <c r="BF11" s="1"/>
  <c r="BD32" a="1"/>
  <c r="BD32" s="1"/>
  <c r="BD20" a="1"/>
  <c r="BD20" s="1"/>
  <c r="BC39" a="1"/>
  <c r="BC39" s="1"/>
  <c r="BC27" a="1"/>
  <c r="BC27" s="1"/>
  <c r="BC15" a="1"/>
  <c r="BC15" s="1"/>
  <c r="BB34" a="1"/>
  <c r="BB34" s="1"/>
  <c r="BB22" a="1"/>
  <c r="BB22" s="1"/>
  <c r="BB10" a="1"/>
  <c r="BB10" s="1"/>
  <c r="BA29" a="1"/>
  <c r="BA29" s="1"/>
  <c r="BA17" a="1"/>
  <c r="BA17" s="1"/>
  <c r="AZ36" a="1"/>
  <c r="AZ36" s="1"/>
  <c r="AZ24" a="1"/>
  <c r="AZ24" s="1"/>
  <c r="AZ12" a="1"/>
  <c r="AZ12" s="1"/>
  <c r="AY31" a="1"/>
  <c r="AY31" s="1"/>
  <c r="AX40" a="1"/>
  <c r="AX40" s="1"/>
  <c r="AX35" a="1"/>
  <c r="AX35" s="1"/>
  <c r="BE36" a="1"/>
  <c r="BE36" s="1"/>
  <c r="BE30" a="1"/>
  <c r="BE30" s="1"/>
  <c r="BE24" a="1"/>
  <c r="BE24" s="1"/>
  <c r="BE18" a="1"/>
  <c r="BE18" s="1"/>
  <c r="BE12" a="1"/>
  <c r="BE12" s="1"/>
  <c r="BD33" a="1"/>
  <c r="BD33" s="1"/>
  <c r="BD21" a="1"/>
  <c r="BD21" s="1"/>
  <c r="BC40" a="1"/>
  <c r="BC40" s="1"/>
  <c r="BC28" a="1"/>
  <c r="BC28" s="1"/>
  <c r="BC16" a="1"/>
  <c r="BC16" s="1"/>
  <c r="BB35" a="1"/>
  <c r="BB35" s="1"/>
  <c r="BB23" a="1"/>
  <c r="BB23" s="1"/>
  <c r="BB11" a="1"/>
  <c r="BB11" s="1"/>
  <c r="BA30" a="1"/>
  <c r="BA30" s="1"/>
  <c r="BA18" a="1"/>
  <c r="BA18" s="1"/>
  <c r="AZ37" a="1"/>
  <c r="AZ37" s="1"/>
  <c r="AZ25" a="1"/>
  <c r="AZ25" s="1"/>
  <c r="AZ13" a="1"/>
  <c r="AZ13" s="1"/>
  <c r="AY32" a="1"/>
  <c r="AY32" s="1"/>
  <c r="AY20" a="1"/>
  <c r="AY20" s="1"/>
  <c r="AW39" a="1"/>
  <c r="AW39" s="1"/>
  <c r="AW27" a="1"/>
  <c r="AW27" s="1"/>
  <c r="AW15" a="1"/>
  <c r="AW15" s="1"/>
  <c r="AW16" a="1"/>
  <c r="AW16" s="1"/>
  <c r="AY24" a="1"/>
  <c r="AY24" s="1"/>
  <c r="AY13" a="1"/>
  <c r="AY13" s="1"/>
  <c r="AX28" a="1"/>
  <c r="AX28" s="1"/>
  <c r="AX36" a="1"/>
  <c r="AX36" s="1"/>
  <c r="AX19" a="1"/>
  <c r="AX19" s="1"/>
  <c r="BF36" a="1"/>
  <c r="BF36" s="1"/>
  <c r="BF30" a="1"/>
  <c r="BF30" s="1"/>
  <c r="BF24" a="1"/>
  <c r="BF24" s="1"/>
  <c r="BF18" a="1"/>
  <c r="BF18" s="1"/>
  <c r="BF12" a="1"/>
  <c r="BF12" s="1"/>
  <c r="BD34" a="1"/>
  <c r="BD34" s="1"/>
  <c r="BD22" a="1"/>
  <c r="BD22" s="1"/>
  <c r="BD10" a="1"/>
  <c r="BD10" s="1"/>
  <c r="BC29" a="1"/>
  <c r="BC29" s="1"/>
  <c r="BC17" a="1"/>
  <c r="BC17" s="1"/>
  <c r="BB36" a="1"/>
  <c r="BB36" s="1"/>
  <c r="BB24" a="1"/>
  <c r="BB24" s="1"/>
  <c r="BB12" a="1"/>
  <c r="BB12" s="1"/>
  <c r="BA31" a="1"/>
  <c r="BA31" s="1"/>
  <c r="BA19" a="1"/>
  <c r="BA19" s="1"/>
  <c r="AZ38" a="1"/>
  <c r="AZ38" s="1"/>
  <c r="AZ26" a="1"/>
  <c r="AZ26" s="1"/>
  <c r="AZ14" a="1"/>
  <c r="AZ14" s="1"/>
  <c r="AY33" a="1"/>
  <c r="AY33" s="1"/>
  <c r="AY21" a="1"/>
  <c r="AY21" s="1"/>
  <c r="AW40" a="1"/>
  <c r="AW40" s="1"/>
  <c r="AW28" a="1"/>
  <c r="AW28" s="1"/>
  <c r="AW30" a="1"/>
  <c r="AW30" s="1"/>
  <c r="AY12" a="1"/>
  <c r="AY12" s="1"/>
  <c r="AW32" a="1"/>
  <c r="AW32" s="1"/>
  <c r="AX29" a="1"/>
  <c r="AX29" s="1"/>
  <c r="AX24" a="1"/>
  <c r="AX24" s="1"/>
  <c r="AX22" a="1"/>
  <c r="AX22" s="1"/>
  <c r="BE37" a="1"/>
  <c r="BE37" s="1"/>
  <c r="BE31" a="1"/>
  <c r="BE31" s="1"/>
  <c r="BE25" a="1"/>
  <c r="BE25" s="1"/>
  <c r="BE19" a="1"/>
  <c r="BE19" s="1"/>
  <c r="BE13" a="1"/>
  <c r="BE13" s="1"/>
  <c r="BD35" a="1"/>
  <c r="BD35" s="1"/>
  <c r="BD23" a="1"/>
  <c r="BD23" s="1"/>
  <c r="BD11" a="1"/>
  <c r="BD11" s="1"/>
  <c r="BC30" a="1"/>
  <c r="BC30" s="1"/>
  <c r="BC18" a="1"/>
  <c r="BC18" s="1"/>
  <c r="BB37" a="1"/>
  <c r="BB37" s="1"/>
  <c r="BB25" a="1"/>
  <c r="BB25" s="1"/>
  <c r="BB13" a="1"/>
  <c r="BB13" s="1"/>
  <c r="BA32" a="1"/>
  <c r="BA32" s="1"/>
  <c r="BA20" a="1"/>
  <c r="BA20" s="1"/>
  <c r="AZ39" a="1"/>
  <c r="AZ39" s="1"/>
  <c r="AZ27" a="1"/>
  <c r="AZ27" s="1"/>
  <c r="AZ15" a="1"/>
  <c r="AZ15" s="1"/>
  <c r="AY34" a="1"/>
  <c r="AY34" s="1"/>
  <c r="AY22" a="1"/>
  <c r="AY22" s="1"/>
  <c r="AY10" a="1"/>
  <c r="AY10" s="1"/>
  <c r="AW29" a="1"/>
  <c r="AW29" s="1"/>
  <c r="AW17" a="1"/>
  <c r="AW17" s="1"/>
  <c r="AY36" a="1"/>
  <c r="AY36" s="1"/>
  <c r="AW19" a="1"/>
  <c r="AW19" s="1"/>
  <c r="AW20" a="1"/>
  <c r="AW20" s="1"/>
  <c r="AX16" a="1"/>
  <c r="AX16" s="1"/>
  <c r="AX12" a="1"/>
  <c r="AX12" s="1"/>
  <c r="AX23" a="1"/>
  <c r="AX23" s="1"/>
  <c r="BF37" a="1"/>
  <c r="BF37" s="1"/>
  <c r="BF31" a="1"/>
  <c r="BF31" s="1"/>
  <c r="BF25" a="1"/>
  <c r="BF25" s="1"/>
  <c r="BF19" a="1"/>
  <c r="BF19" s="1"/>
  <c r="BF13" a="1"/>
  <c r="BF13" s="1"/>
  <c r="BD36" a="1"/>
  <c r="BD36" s="1"/>
  <c r="BD24" a="1"/>
  <c r="BD24" s="1"/>
  <c r="BD12" a="1"/>
  <c r="BD12" s="1"/>
  <c r="BC31" a="1"/>
  <c r="BC31" s="1"/>
  <c r="BC19" a="1"/>
  <c r="BC19" s="1"/>
  <c r="BB38" a="1"/>
  <c r="BB38" s="1"/>
  <c r="BB26" a="1"/>
  <c r="BB26" s="1"/>
  <c r="BB14" a="1"/>
  <c r="BB14" s="1"/>
  <c r="BA33" a="1"/>
  <c r="BA33" s="1"/>
  <c r="BA21" a="1"/>
  <c r="BA21" s="1"/>
  <c r="AZ40" a="1"/>
  <c r="AZ40" s="1"/>
  <c r="AZ28" a="1"/>
  <c r="AZ28" s="1"/>
  <c r="AZ16" a="1"/>
  <c r="AZ16" s="1"/>
  <c r="AY35" a="1"/>
  <c r="AY35" s="1"/>
  <c r="AY23" a="1"/>
  <c r="AY23" s="1"/>
  <c r="AY11" a="1"/>
  <c r="AY11" s="1"/>
  <c r="AW18" a="1"/>
  <c r="AW18" s="1"/>
  <c r="AY37" a="1"/>
  <c r="AY37" s="1"/>
  <c r="AX17" a="1"/>
  <c r="AX17" s="1"/>
  <c r="AX37" a="1"/>
  <c r="AX37" s="1"/>
  <c r="AX32" a="1"/>
  <c r="AX32" s="1"/>
  <c r="BE38" a="1"/>
  <c r="BE38" s="1"/>
  <c r="BE32" a="1"/>
  <c r="BE32" s="1"/>
  <c r="BE26" a="1"/>
  <c r="BE26" s="1"/>
  <c r="BE20" a="1"/>
  <c r="BE20" s="1"/>
  <c r="BE14" a="1"/>
  <c r="BE14" s="1"/>
  <c r="BD37" a="1"/>
  <c r="BD37" s="1"/>
  <c r="BD25" a="1"/>
  <c r="BD25" s="1"/>
  <c r="BD13" a="1"/>
  <c r="BD13" s="1"/>
  <c r="BC32" a="1"/>
  <c r="BC32" s="1"/>
  <c r="BC20" a="1"/>
  <c r="BC20" s="1"/>
  <c r="BB39" a="1"/>
  <c r="BB39" s="1"/>
  <c r="BB27" a="1"/>
  <c r="BB27" s="1"/>
  <c r="BB15" a="1"/>
  <c r="BB15" s="1"/>
  <c r="BA34" a="1"/>
  <c r="BA34" s="1"/>
  <c r="BA22" a="1"/>
  <c r="BA22" s="1"/>
  <c r="BA10" a="1"/>
  <c r="BA10" s="1"/>
  <c r="AZ29" a="1"/>
  <c r="AZ29" s="1"/>
  <c r="AZ17" a="1"/>
  <c r="AZ17" s="1"/>
  <c r="AW31" a="1"/>
  <c r="AW31" s="1"/>
  <c r="AX18" a="1"/>
  <c r="AX18" s="1"/>
  <c r="AX25" a="1"/>
  <c r="AX25" s="1"/>
  <c r="AX20" a="1"/>
  <c r="AX20" s="1"/>
  <c r="BF38" a="1"/>
  <c r="BF38" s="1"/>
  <c r="BF32" a="1"/>
  <c r="BF32" s="1"/>
  <c r="BF26" a="1"/>
  <c r="BF26" s="1"/>
  <c r="BF20" a="1"/>
  <c r="BF20" s="1"/>
  <c r="BF14" a="1"/>
  <c r="BF14" s="1"/>
  <c r="BD38" a="1"/>
  <c r="BD38" s="1"/>
  <c r="BD26" a="1"/>
  <c r="BD26" s="1"/>
  <c r="BD14" a="1"/>
  <c r="BD14" s="1"/>
  <c r="BC33" a="1"/>
  <c r="BC33" s="1"/>
  <c r="BC21" a="1"/>
  <c r="BC21" s="1"/>
  <c r="BB40" a="1"/>
  <c r="BB40" s="1"/>
  <c r="BB28" a="1"/>
  <c r="BB28" s="1"/>
  <c r="BB16" a="1"/>
  <c r="BB16" s="1"/>
  <c r="BA35" a="1"/>
  <c r="BA35" s="1"/>
  <c r="BA23" a="1"/>
  <c r="BA23" s="1"/>
  <c r="BA11" a="1"/>
  <c r="BA11" s="1"/>
  <c r="AZ30" a="1"/>
  <c r="AZ30" s="1"/>
  <c r="AZ18" a="1"/>
  <c r="AZ18" s="1"/>
  <c r="AY25" a="1"/>
  <c r="AY25" s="1"/>
  <c r="AX30" a="1"/>
  <c r="AX30" s="1"/>
  <c r="AX15" a="1"/>
  <c r="AX15" s="1"/>
  <c r="AX21" a="1"/>
  <c r="AX21" s="1"/>
  <c r="BE39" a="1"/>
  <c r="BE39" s="1"/>
  <c r="BE33" a="1"/>
  <c r="BE33" s="1"/>
  <c r="BE27" a="1"/>
  <c r="BE27" s="1"/>
  <c r="BE21" a="1"/>
  <c r="BE21" s="1"/>
  <c r="BE15" a="1"/>
  <c r="BE15" s="1"/>
  <c r="BD39" a="1"/>
  <c r="BD39" s="1"/>
  <c r="BD27" a="1"/>
  <c r="BD27" s="1"/>
  <c r="BD15" a="1"/>
  <c r="BD15" s="1"/>
  <c r="BC34" a="1"/>
  <c r="BC34" s="1"/>
  <c r="BC22" a="1"/>
  <c r="BC22" s="1"/>
  <c r="BC10" a="1"/>
  <c r="BC10" s="1"/>
  <c r="BB29" a="1"/>
  <c r="BB29" s="1"/>
  <c r="BB17" a="1"/>
  <c r="BB17" s="1"/>
  <c r="BA36" a="1"/>
  <c r="BA36" s="1"/>
  <c r="BA24" a="1"/>
  <c r="BA24" s="1"/>
  <c r="BA12" a="1"/>
  <c r="BA12" s="1"/>
  <c r="AZ31" a="1"/>
  <c r="AZ31" s="1"/>
  <c r="AZ19" a="1"/>
  <c r="AZ19" s="1"/>
  <c r="AY38" a="1"/>
  <c r="AY38" s="1"/>
  <c r="AY26" a="1"/>
  <c r="AY26" s="1"/>
  <c r="AY14" a="1"/>
  <c r="AY14" s="1"/>
  <c r="AW33" a="1"/>
  <c r="AW33" s="1"/>
  <c r="AW21" a="1"/>
  <c r="AW21" s="1"/>
  <c r="AW13" a="1"/>
  <c r="AW13" s="1"/>
  <c r="BN13" a="1"/>
  <c r="BN13" s="1"/>
  <c r="AT19" l="1" a="1"/>
  <c r="AT19" s="1"/>
  <c r="AR31"/>
  <c r="AR29"/>
  <c r="AR18"/>
  <c r="AR11"/>
  <c r="AT10"/>
  <c r="AR39"/>
  <c r="AR38"/>
  <c r="AR30"/>
  <c r="AR19"/>
  <c r="AR14"/>
  <c r="AR27"/>
  <c r="AT18"/>
  <c r="AT11"/>
  <c r="AR13"/>
  <c r="AR28"/>
  <c r="BN14" a="1"/>
  <c r="BN14" s="1"/>
  <c r="AR32" l="1"/>
  <c r="AR21"/>
  <c r="AR20"/>
  <c r="BN15" a="1"/>
  <c r="BN15" s="1"/>
  <c r="BN16" s="1" a="1"/>
  <c r="BN16" s="1"/>
  <c r="BN17" l="1" a="1"/>
  <c r="BN17" s="1"/>
  <c r="BN18" s="1" a="1"/>
  <c r="BN18" s="1"/>
  <c r="BN19" l="1" a="1"/>
  <c r="BN19" s="1"/>
  <c r="BN20" l="1" a="1"/>
  <c r="BN20" s="1"/>
  <c r="BN21" l="1" a="1"/>
  <c r="BN21" s="1"/>
  <c r="BN22" s="1" a="1"/>
  <c r="BN22" s="1"/>
  <c r="BN23" s="1" a="1"/>
  <c r="BN23" s="1"/>
  <c r="BN24" s="1" a="1"/>
  <c r="BN24" s="1"/>
  <c r="BN25" s="1" a="1"/>
  <c r="BN25" s="1"/>
  <c r="BN26" s="1" a="1"/>
  <c r="BN26" s="1"/>
  <c r="BN27" s="1" a="1"/>
  <c r="BN27" s="1"/>
  <c r="BN28" s="1" a="1"/>
  <c r="BN28" s="1"/>
  <c r="BN29" s="1" a="1"/>
  <c r="BN29" s="1"/>
  <c r="BN30" s="1" a="1"/>
  <c r="BN30" s="1"/>
  <c r="BN31" s="1" a="1"/>
  <c r="BN31" s="1"/>
  <c r="BN32" s="1" a="1"/>
  <c r="BN32" s="1"/>
  <c r="BN33" s="1" a="1"/>
  <c r="BN33" s="1"/>
  <c r="BN34" s="1" a="1"/>
  <c r="BN34" s="1"/>
  <c r="BN35" s="1" a="1"/>
  <c r="BN35" s="1"/>
  <c r="BN36" s="1" a="1"/>
  <c r="BN36" s="1"/>
  <c r="BN37" s="1" a="1"/>
  <c r="BN37" s="1"/>
  <c r="BN38" s="1" a="1"/>
  <c r="BN38" s="1"/>
  <c r="BN39" s="1" a="1"/>
  <c r="BN39" s="1"/>
  <c r="BN40" s="1" a="1"/>
  <c r="BN40" s="1"/>
  <c r="BN41" s="1" a="1"/>
  <c r="BN41" s="1"/>
  <c r="BN42" s="1" a="1"/>
  <c r="BN42" s="1"/>
  <c r="BN43" s="1" a="1"/>
  <c r="BN43" s="1"/>
  <c r="BN44" s="1" a="1"/>
  <c r="BN44" s="1"/>
  <c r="BN45" s="1" a="1"/>
  <c r="BN45" s="1"/>
  <c r="BN46" s="1" a="1"/>
  <c r="BN46" s="1"/>
  <c r="BN47" s="1" a="1"/>
  <c r="BN47" s="1"/>
  <c r="BN48" s="1" a="1"/>
  <c r="BN48" s="1"/>
  <c r="BN49" s="1" a="1"/>
  <c r="BN49" s="1"/>
  <c r="BN50" s="1" a="1"/>
  <c r="BN50" s="1"/>
  <c r="BN51" s="1" a="1"/>
  <c r="BN51" s="1"/>
  <c r="BN52" s="1" a="1"/>
  <c r="BN52" s="1"/>
  <c r="BN53" s="1" a="1"/>
  <c r="BN53" s="1"/>
  <c r="BN54" s="1" a="1"/>
  <c r="BN54" s="1"/>
  <c r="BN55" s="1" a="1"/>
  <c r="BN55" s="1"/>
  <c r="BN56" s="1" a="1"/>
  <c r="BN56" s="1"/>
  <c r="BN57" s="1" a="1"/>
  <c r="BN57" s="1"/>
  <c r="BN58" s="1" a="1"/>
  <c r="BN58" s="1"/>
  <c r="BN59" s="1" a="1"/>
  <c r="BN59" s="1"/>
  <c r="BN60" s="1" a="1"/>
  <c r="BN60" s="1"/>
  <c r="BN61" s="1" a="1"/>
  <c r="BN61" s="1"/>
  <c r="BN62" s="1" a="1"/>
  <c r="BN62" s="1"/>
  <c r="BN63" s="1" a="1"/>
  <c r="BN63" s="1"/>
  <c r="BN64" s="1" a="1"/>
  <c r="BN64" s="1"/>
  <c r="BN65" s="1" a="1"/>
  <c r="BN65" s="1"/>
  <c r="BN66" s="1" a="1"/>
  <c r="BN66" s="1"/>
  <c r="BN67" s="1" a="1"/>
  <c r="BN67" s="1"/>
  <c r="BN68" s="1" a="1"/>
  <c r="BN68" s="1"/>
  <c r="BN69" s="1" a="1"/>
  <c r="BN69" s="1"/>
  <c r="BN70" s="1" a="1"/>
  <c r="BN70" s="1"/>
  <c r="BN71" s="1" a="1"/>
  <c r="BN71" s="1"/>
  <c r="BN72" s="1" a="1"/>
  <c r="BN72" s="1"/>
  <c r="BN73" s="1" a="1"/>
  <c r="BN73" s="1"/>
  <c r="BN74" s="1" a="1"/>
  <c r="BN74" s="1"/>
  <c r="BN75" s="1" a="1"/>
  <c r="BN75" s="1"/>
  <c r="BN76" s="1" a="1"/>
  <c r="BN76" s="1"/>
  <c r="BN77" s="1" a="1"/>
  <c r="BN77" s="1"/>
  <c r="BN78" s="1" a="1"/>
  <c r="BN78" s="1"/>
  <c r="BN79" s="1" a="1"/>
  <c r="BN79" s="1"/>
  <c r="BN80" s="1" a="1"/>
  <c r="BN80" s="1"/>
  <c r="BN81" s="1" a="1"/>
  <c r="BN81" s="1"/>
  <c r="BN82" s="1" a="1"/>
  <c r="BN82" s="1"/>
  <c r="BN83" s="1" a="1"/>
  <c r="BN83" s="1"/>
  <c r="BN84" s="1" a="1"/>
  <c r="BN84" s="1"/>
  <c r="BN85" s="1" a="1"/>
  <c r="BN85" s="1"/>
  <c r="BN86" s="1" a="1"/>
  <c r="BN86" s="1"/>
  <c r="BN87" s="1" a="1"/>
  <c r="BN87" s="1"/>
  <c r="BN88" s="1" a="1"/>
  <c r="BN88" s="1"/>
  <c r="BN89" s="1" a="1"/>
  <c r="BN89" s="1"/>
  <c r="BN90" s="1" a="1"/>
  <c r="BN90" s="1"/>
  <c r="BN91" s="1" a="1"/>
  <c r="BN91" s="1"/>
  <c r="BN92" s="1" a="1"/>
  <c r="BN92" s="1"/>
  <c r="BN93" s="1" a="1"/>
  <c r="BN93" s="1"/>
  <c r="BN94" s="1" a="1"/>
  <c r="BN94" s="1"/>
  <c r="BN95" s="1" a="1"/>
  <c r="BN95" s="1"/>
  <c r="BN96" s="1" a="1"/>
  <c r="BN96" s="1"/>
  <c r="BN97" s="1" a="1"/>
  <c r="BN97" s="1"/>
  <c r="BN98" s="1" a="1"/>
  <c r="BN98" s="1"/>
  <c r="BN99" s="1" a="1"/>
  <c r="BN99" s="1"/>
  <c r="BN100" s="1" a="1"/>
  <c r="BN100" s="1"/>
  <c r="BN101" s="1" a="1"/>
  <c r="BN101" s="1"/>
  <c r="BN102" s="1" a="1"/>
  <c r="BN102" s="1"/>
  <c r="BN103" s="1" a="1"/>
  <c r="BN103" s="1"/>
  <c r="BN104" s="1" a="1"/>
  <c r="BN104" s="1"/>
  <c r="BN105" s="1" a="1"/>
  <c r="BN105" s="1"/>
  <c r="BN106" s="1" a="1"/>
  <c r="BN106" s="1"/>
  <c r="BN107" s="1" a="1"/>
  <c r="BN107" s="1"/>
  <c r="BN108" s="1" a="1"/>
  <c r="BN108" s="1"/>
  <c r="BN109" s="1" a="1"/>
  <c r="BN109" s="1"/>
  <c r="BN110" s="1" a="1"/>
  <c r="BN110" s="1"/>
  <c r="BN111" s="1" a="1"/>
  <c r="BN111" s="1"/>
  <c r="BN112" s="1" a="1"/>
  <c r="BN112" s="1"/>
  <c r="BN113" s="1" a="1"/>
  <c r="BN113" s="1"/>
  <c r="BN114" s="1" a="1"/>
  <c r="BN114" s="1"/>
  <c r="BN115" s="1" a="1"/>
  <c r="BN115" s="1"/>
  <c r="BN116" s="1" a="1"/>
  <c r="BN116" s="1"/>
  <c r="BN117" s="1" a="1"/>
  <c r="BN117" s="1"/>
  <c r="BN118" s="1" a="1"/>
  <c r="BN118" s="1"/>
  <c r="BN119" s="1" a="1"/>
  <c r="BN119" s="1"/>
  <c r="BN120" s="1" a="1"/>
  <c r="BN120" s="1"/>
  <c r="BN121" s="1" a="1"/>
  <c r="BN121" s="1"/>
  <c r="BN122" s="1" a="1"/>
  <c r="BN122" s="1"/>
  <c r="BN123" s="1" a="1"/>
  <c r="BN123" s="1"/>
  <c r="BN124" s="1" a="1"/>
  <c r="BN124" s="1"/>
  <c r="BN125" s="1" a="1"/>
  <c r="BN125" s="1"/>
  <c r="BN126" s="1" a="1"/>
  <c r="BN126" s="1"/>
  <c r="BN127" s="1" a="1"/>
  <c r="BN127" s="1"/>
  <c r="BN128" s="1" a="1"/>
  <c r="BN128" s="1"/>
  <c r="BN129" s="1" a="1"/>
  <c r="BN129" s="1"/>
  <c r="BN130" s="1" a="1"/>
  <c r="BN130" s="1"/>
  <c r="BN131" s="1" a="1"/>
  <c r="BN131" s="1"/>
  <c r="BN132" s="1" a="1"/>
  <c r="BN132" s="1"/>
  <c r="BN133" s="1" a="1"/>
  <c r="BN133" s="1"/>
  <c r="BN134" s="1" a="1"/>
  <c r="BN134" s="1"/>
  <c r="BN135" s="1" a="1"/>
  <c r="BN135" s="1"/>
  <c r="BN136" s="1" a="1"/>
  <c r="BN136" s="1"/>
  <c r="BN137" s="1" a="1"/>
  <c r="BN137" s="1"/>
  <c r="BN138" s="1" a="1"/>
  <c r="BN138" s="1"/>
  <c r="BN139" s="1" a="1"/>
  <c r="BN139" s="1"/>
  <c r="BN140" s="1" a="1"/>
  <c r="BN140" s="1"/>
  <c r="BN141" s="1" a="1"/>
  <c r="BN141" s="1"/>
  <c r="BN142" s="1" a="1"/>
  <c r="BN142" s="1"/>
  <c r="BN143" s="1" a="1"/>
  <c r="BN143" s="1"/>
  <c r="BN144" s="1" a="1"/>
  <c r="BN144" s="1"/>
  <c r="BN145" s="1" a="1"/>
  <c r="BN145" s="1"/>
  <c r="BN146" s="1" a="1"/>
  <c r="BN146" s="1"/>
  <c r="BN147" s="1" a="1"/>
  <c r="BN147" s="1"/>
  <c r="BN148" s="1" a="1"/>
  <c r="BN148" s="1"/>
  <c r="BN149" s="1" a="1"/>
  <c r="BN149" s="1"/>
  <c r="BN150" s="1" a="1"/>
  <c r="BN150" s="1"/>
  <c r="BN151" s="1" a="1"/>
  <c r="BN151" s="1"/>
  <c r="BN152" s="1" a="1"/>
  <c r="BN152" s="1"/>
  <c r="BN153" s="1" a="1"/>
  <c r="BN153" s="1"/>
  <c r="BN154" s="1" a="1"/>
  <c r="BN154" s="1"/>
  <c r="BN155" s="1" a="1"/>
  <c r="BN155" s="1"/>
  <c r="BN156" s="1" a="1"/>
  <c r="BN156" s="1"/>
  <c r="BN157" s="1" a="1"/>
  <c r="BN157" s="1"/>
  <c r="BN158" s="1" a="1"/>
  <c r="BN158" s="1"/>
  <c r="BN159" s="1" a="1"/>
  <c r="BN159" s="1"/>
  <c r="BN160" s="1" a="1"/>
  <c r="BN160" s="1"/>
  <c r="BN161" s="1" a="1"/>
  <c r="BN161" s="1"/>
  <c r="BN162" s="1" a="1"/>
  <c r="BN162" s="1"/>
  <c r="BN163" s="1" a="1"/>
  <c r="BN163" s="1"/>
  <c r="BN164" s="1" a="1"/>
  <c r="BN164" s="1"/>
  <c r="BN165" s="1" a="1"/>
  <c r="BN165" s="1"/>
  <c r="BN166" s="1" a="1"/>
  <c r="BN166" s="1"/>
  <c r="BN167" s="1" a="1"/>
  <c r="BN167" s="1"/>
  <c r="BN168" s="1" a="1"/>
  <c r="BN168" s="1"/>
  <c r="BN169" s="1" a="1"/>
  <c r="BN169" s="1"/>
  <c r="BN170" s="1" a="1"/>
  <c r="BN170" s="1"/>
  <c r="BN171" s="1" a="1"/>
  <c r="BN171" s="1"/>
  <c r="BN172" s="1" a="1"/>
  <c r="BN172" s="1"/>
  <c r="BN173" s="1" a="1"/>
  <c r="BN173" s="1"/>
  <c r="BN174" s="1" a="1"/>
  <c r="BN174" s="1"/>
  <c r="BN175" s="1" a="1"/>
  <c r="BN175" s="1"/>
  <c r="BN176" s="1" a="1"/>
  <c r="BN176" s="1"/>
  <c r="BN177" s="1" a="1"/>
  <c r="BN177" s="1"/>
  <c r="BN178" s="1" a="1"/>
  <c r="BN178" s="1"/>
  <c r="BN179" s="1" a="1"/>
  <c r="BN179" s="1"/>
  <c r="BN180" s="1" a="1"/>
  <c r="BN180" s="1"/>
  <c r="BN181" s="1" a="1"/>
  <c r="BN181" s="1"/>
  <c r="BN182" s="1" a="1"/>
  <c r="BN182" s="1"/>
  <c r="BN183" s="1" a="1"/>
  <c r="BN183" s="1"/>
  <c r="BN184" s="1" a="1"/>
  <c r="BN184" s="1"/>
  <c r="BN185" s="1" a="1"/>
  <c r="BN185" s="1"/>
  <c r="BN186" s="1" a="1"/>
  <c r="BN186" s="1"/>
  <c r="BN187" s="1" a="1"/>
  <c r="BN187" s="1"/>
  <c r="BN188" s="1" a="1"/>
  <c r="BN188" s="1"/>
  <c r="BN189" s="1" a="1"/>
  <c r="BN189" s="1"/>
  <c r="BN190" s="1" a="1"/>
  <c r="BN190" s="1"/>
  <c r="BN191" s="1" a="1"/>
  <c r="BN191" s="1"/>
  <c r="BN192" s="1" a="1"/>
  <c r="BN192" s="1"/>
  <c r="BN193" s="1" a="1"/>
  <c r="BN193" s="1"/>
  <c r="BN194" s="1" a="1"/>
  <c r="BN194" s="1"/>
  <c r="BN195" s="1" a="1"/>
  <c r="BN195" s="1"/>
  <c r="BN196" s="1" a="1"/>
  <c r="BN196" s="1"/>
  <c r="BN197" s="1" a="1"/>
  <c r="BN197" s="1"/>
  <c r="BN198" s="1" a="1"/>
  <c r="BN198" s="1"/>
  <c r="BN199" s="1" a="1"/>
  <c r="BN199" s="1"/>
  <c r="BN200" s="1" a="1"/>
  <c r="BN200" s="1"/>
  <c r="BN201" s="1" a="1"/>
  <c r="BN201" s="1"/>
  <c r="BN202" s="1" a="1"/>
  <c r="BN202" s="1"/>
  <c r="BN203" s="1" a="1"/>
  <c r="BN203" s="1"/>
  <c r="BN204" s="1" a="1"/>
  <c r="BN204" s="1"/>
  <c r="BN205" s="1" a="1"/>
  <c r="BN205" s="1"/>
  <c r="BN206" s="1" a="1"/>
  <c r="BN206" s="1"/>
  <c r="BN207" s="1" a="1"/>
  <c r="BN207" s="1"/>
  <c r="BN208" s="1" a="1"/>
  <c r="BN208" s="1"/>
  <c r="BN209" s="1" a="1"/>
  <c r="BN209" s="1"/>
  <c r="BN210" s="1" a="1"/>
  <c r="BN210" s="1"/>
  <c r="BN211" s="1" a="1"/>
  <c r="BN211" s="1"/>
  <c r="BN212" s="1" a="1"/>
  <c r="BN212" s="1"/>
  <c r="BN213" s="1" a="1"/>
  <c r="BN213" s="1"/>
  <c r="BN214" s="1" a="1"/>
  <c r="BN214" s="1"/>
  <c r="BN215" s="1" a="1"/>
  <c r="BN215" s="1"/>
  <c r="BN216" s="1" a="1"/>
  <c r="BN216" s="1"/>
  <c r="BN217" s="1" a="1"/>
  <c r="BN217" s="1"/>
  <c r="BN218" s="1" a="1"/>
  <c r="BN218" s="1"/>
  <c r="BN219" s="1" a="1"/>
  <c r="BN219" s="1"/>
  <c r="BN220" s="1" a="1"/>
  <c r="BN220" s="1"/>
  <c r="BN221" s="1" a="1"/>
  <c r="BN221" s="1"/>
  <c r="BN222" s="1" a="1"/>
  <c r="BN222" s="1"/>
  <c r="BN223" s="1" a="1"/>
  <c r="BN223" s="1"/>
  <c r="BN224" s="1" a="1"/>
  <c r="BN224" s="1"/>
  <c r="BN225" s="1" a="1"/>
  <c r="BN225" s="1"/>
  <c r="BN226" s="1" a="1"/>
  <c r="BN226" s="1"/>
  <c r="BN227" s="1" a="1"/>
  <c r="BN227" s="1"/>
  <c r="BN228" s="1" a="1"/>
  <c r="BN228" s="1"/>
  <c r="BN229" s="1" a="1"/>
  <c r="BN229" s="1"/>
  <c r="BN230" s="1" a="1"/>
  <c r="BN230" s="1"/>
  <c r="BN231" s="1" a="1"/>
  <c r="BN231" s="1"/>
  <c r="BN232" s="1" a="1"/>
  <c r="BN232" s="1"/>
  <c r="BN233" s="1" a="1"/>
  <c r="BN233" s="1"/>
  <c r="BN234" s="1" a="1"/>
  <c r="BN234" s="1"/>
  <c r="BN235" s="1" a="1"/>
  <c r="BN235" s="1"/>
  <c r="BN236" s="1" a="1"/>
  <c r="BN236" s="1"/>
  <c r="BN237" s="1" a="1"/>
  <c r="BN237" s="1"/>
  <c r="BN238" s="1" a="1"/>
  <c r="BN238" s="1"/>
  <c r="BN239" s="1" a="1"/>
  <c r="BN239" s="1"/>
  <c r="BN240" s="1" a="1"/>
  <c r="BN240" s="1"/>
  <c r="BN241" s="1" a="1"/>
  <c r="BN241" s="1"/>
  <c r="BN242" s="1" a="1"/>
  <c r="BN242" s="1"/>
  <c r="BN243" s="1" a="1"/>
  <c r="BN243" s="1"/>
  <c r="BN244" s="1" a="1"/>
  <c r="BN244" s="1"/>
  <c r="BN245" s="1" a="1"/>
  <c r="BN245" s="1"/>
  <c r="BN246" s="1" a="1"/>
  <c r="BN246" s="1"/>
  <c r="BN247" s="1" a="1"/>
  <c r="BN247" s="1"/>
  <c r="BN248" s="1" a="1"/>
  <c r="BN248" s="1"/>
  <c r="BN249" s="1" a="1"/>
  <c r="BN249" s="1"/>
  <c r="BN250" s="1" a="1"/>
  <c r="BN250" s="1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Stephane</author>
  </authors>
  <commentList>
    <comment ref="J3" authorId="0">
      <text>
        <r>
          <rPr>
            <b/>
            <sz val="9"/>
            <color indexed="81"/>
            <rFont val="Tahoma"/>
            <family val="2"/>
          </rPr>
          <t xml:space="preserve">Stephane:
</t>
        </r>
        <r>
          <rPr>
            <sz val="9"/>
            <color indexed="81"/>
            <rFont val="Tahoma"/>
            <family val="2"/>
          </rPr>
          <t>Per ora il prezzo di costo è hardcoddato, i</t>
        </r>
        <r>
          <rPr>
            <sz val="9"/>
            <color indexed="81"/>
            <rFont val="Tahoma"/>
            <family val="2"/>
          </rPr>
          <t>nserire una query per ottenere l'ultimo prezzo di acquisto (o il prezzo medio di acquisto) del prodotto.
Servirà un export da Geko.</t>
        </r>
      </text>
    </comment>
  </commentList>
</comments>
</file>

<file path=xl/sharedStrings.xml><?xml version="1.0" encoding="utf-8"?>
<sst xmlns="http://schemas.openxmlformats.org/spreadsheetml/2006/main" count="1187" uniqueCount="624">
  <si>
    <t>P05000</t>
  </si>
  <si>
    <t>P05001</t>
  </si>
  <si>
    <t>P05002</t>
  </si>
  <si>
    <t>P05003</t>
  </si>
  <si>
    <t>P05004</t>
  </si>
  <si>
    <t>P05005</t>
  </si>
  <si>
    <t>P05006</t>
  </si>
  <si>
    <t>P05007</t>
  </si>
  <si>
    <t>P05008</t>
  </si>
  <si>
    <t>BHPC SPORT MEN 1 EDT 50ML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</si>
  <si>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</si>
  <si>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</si>
  <si>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</si>
  <si>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</si>
  <si>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</si>
  <si>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</si>
  <si>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P05024</t>
  </si>
  <si>
    <t>P05025</t>
  </si>
  <si>
    <t>P05026</t>
  </si>
  <si>
    <t>P05027</t>
  </si>
  <si>
    <t>P05028</t>
  </si>
  <si>
    <t>P05029</t>
  </si>
  <si>
    <t>P05030</t>
  </si>
  <si>
    <t>P05031</t>
  </si>
  <si>
    <t>P05050</t>
  </si>
  <si>
    <t>P05051</t>
  </si>
  <si>
    <t>P05052</t>
  </si>
  <si>
    <t>P05053</t>
  </si>
  <si>
    <t>P06000</t>
  </si>
  <si>
    <t>P06001</t>
  </si>
  <si>
    <t>P06002</t>
  </si>
  <si>
    <t>P06003</t>
  </si>
  <si>
    <t>P06004</t>
  </si>
  <si>
    <t>P06005</t>
  </si>
  <si>
    <t>P06006</t>
  </si>
  <si>
    <t>P06007</t>
  </si>
  <si>
    <t>PT6000</t>
  </si>
  <si>
    <t>PT6001</t>
  </si>
  <si>
    <t>PT6002</t>
  </si>
  <si>
    <t>PT6003</t>
  </si>
  <si>
    <t>PT6004</t>
  </si>
  <si>
    <t>PT6005</t>
  </si>
  <si>
    <t>PT6006</t>
  </si>
  <si>
    <t>PT6007</t>
  </si>
  <si>
    <t>GS5004</t>
  </si>
  <si>
    <t>GS5005</t>
  </si>
  <si>
    <t>GS5006</t>
  </si>
  <si>
    <t>GS5007</t>
  </si>
  <si>
    <t>GS5008</t>
  </si>
  <si>
    <t>GS5009</t>
  </si>
  <si>
    <t>GS5010</t>
  </si>
  <si>
    <t>GS5011</t>
  </si>
  <si>
    <t>GS5028</t>
  </si>
  <si>
    <t>GS5029</t>
  </si>
  <si>
    <t>GS5030</t>
  </si>
  <si>
    <t>GS5031</t>
  </si>
  <si>
    <t>GS5050</t>
  </si>
  <si>
    <t>GS5051</t>
  </si>
  <si>
    <t>GS5052</t>
  </si>
  <si>
    <t>GS5053</t>
  </si>
  <si>
    <t>GS7020</t>
  </si>
  <si>
    <t>GS7021</t>
  </si>
  <si>
    <t>GS7022</t>
  </si>
  <si>
    <t>GS7023</t>
  </si>
  <si>
    <t>GS7024</t>
  </si>
  <si>
    <t>GS7025</t>
  </si>
  <si>
    <t>GS7026</t>
  </si>
  <si>
    <t>GS7027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</si>
  <si>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</si>
  <si>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</si>
  <si>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</si>
  <si>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</si>
  <si>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</si>
  <si>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</si>
  <si>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3.</t>
  </si>
  <si>
    <t>4. Shipper's reference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</si>
  <si>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</si>
  <si>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</si>
  <si>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</si>
  <si>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</si>
  <si>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</si>
  <si>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</si>
  <si>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</si>
  <si>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</si>
  <si>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</si>
  <si>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</si>
  <si>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</si>
  <si>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</si>
  <si>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</si>
  <si>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</si>
  <si>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</si>
  <si>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</si>
  <si>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</si>
  <si>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</si>
  <si>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</si>
  <si>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</si>
  <si>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</si>
  <si>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</si>
  <si>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</si>
  <si>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</si>
  <si>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</si>
  <si>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</si>
  <si>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</si>
  <si>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</si>
  <si>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</si>
  <si>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</si>
  <si>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</si>
  <si>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</si>
  <si>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</si>
  <si>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</si>
  <si>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</si>
  <si>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</si>
  <si>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</si>
  <si>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</si>
  <si>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</si>
  <si>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</si>
  <si>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</si>
  <si>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</si>
  <si>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</si>
  <si>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</si>
  <si>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</si>
  <si>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</si>
  <si>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</si>
  <si>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</si>
  <si>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</si>
  <si>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</si>
  <si>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</si>
  <si>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</si>
  <si>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</si>
  <si>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</si>
  <si>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</si>
  <si>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</si>
  <si>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</si>
  <si>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DEODORANT</t>
  </si>
  <si>
    <t>PRESTIGE</t>
  </si>
  <si>
    <t>MASTIGE</t>
  </si>
  <si>
    <t>VIA GALLARDI, 204</t>
  </si>
  <si>
    <t>18039 VENTIMIGLIA</t>
  </si>
  <si>
    <t>ITALY</t>
  </si>
  <si>
    <t>VENTIMIGLIA - ITALY</t>
  </si>
  <si>
    <t>UN 1950 AEROSOLS, CLASS 2.1, II</t>
  </si>
  <si>
    <t>UN 1266 PERFUMERY PRODUCTS, CLASS 3, II, (12°)</t>
  </si>
  <si>
    <t>P06020</t>
  </si>
  <si>
    <t>P06021</t>
  </si>
  <si>
    <t>BHPC PRESTIGE KNIGHT 100ML EDP MEN</t>
  </si>
  <si>
    <t>BHPC PRESTIGE ROYALE 100ML EDP MEN</t>
  </si>
  <si>
    <t>GSTRO3</t>
  </si>
  <si>
    <t xml:space="preserve">BHPC GIFTSET PRESTIGE TROPHY EDP100ML + DEO 300ML </t>
  </si>
  <si>
    <t>sku</t>
  </si>
  <si>
    <t>category</t>
  </si>
  <si>
    <t>nr_of_products</t>
  </si>
  <si>
    <t>description</t>
  </si>
  <si>
    <t>units_per_carton</t>
  </si>
  <si>
    <t>lenght</t>
  </si>
  <si>
    <t>width</t>
  </si>
  <si>
    <t>height</t>
  </si>
  <si>
    <t>net_weight</t>
  </si>
  <si>
    <t>gross_weight</t>
  </si>
  <si>
    <t>size3</t>
  </si>
  <si>
    <t>PBM001</t>
  </si>
  <si>
    <t>BODYMIST</t>
  </si>
  <si>
    <t>BHPC WOMEN BODY MIST #1 EVOKING GARDENIA 200ML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</si>
  <si>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</si>
  <si>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</si>
  <si>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</si>
  <si>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</si>
  <si>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</si>
  <si>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</si>
  <si>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SPORT MEN 1 DEO 175ML</t>
  </si>
  <si>
    <t>BHPC SPORT MEN 9 DEO 175ML</t>
  </si>
  <si>
    <t>BHPC SPORT MEN 8 DEO 175ML</t>
  </si>
  <si>
    <t>BHPC SPORT MEN 2 DEO 175ML</t>
  </si>
  <si>
    <t>BHPC WOMEN 1 DEO 150ML</t>
  </si>
  <si>
    <t>BHPC WOMEN 9 DEO 150ML</t>
  </si>
  <si>
    <t>BHPC WOMEN 8 DEO 150ML</t>
  </si>
  <si>
    <t>BHPC WOMEN 2 DEO 150ML</t>
  </si>
  <si>
    <t>GIFTSET</t>
  </si>
  <si>
    <t>BHPC GIFT SET SPORT MEN 1 EDT 100ML + DEO 175ML</t>
  </si>
  <si>
    <t>BHPC GIFT SET SPORT MEN 9 EDT 100ML + DEO 175ML</t>
  </si>
  <si>
    <t>BHPC GIFT SET SPORT MEN 8 EDT 100ML + DEO 175ML</t>
  </si>
  <si>
    <t>BHPC GIFT SET SPORT MEN 2 EDT 100ML + DEO 175ML</t>
  </si>
  <si>
    <t>BHPC GIFT SET SPORT MEN 1 EDT 50ML + DEO 175ML</t>
  </si>
  <si>
    <t>BHPC GIFT SET SPORT MEN 9 EDT 50ML + DEO 175ML</t>
  </si>
  <si>
    <t>BHPC GIFT SET SPORT MEN 8 EDT 50ML + DEO 175ML</t>
  </si>
  <si>
    <t>BHPC GIFT SET SPORT MEN 2 EDT 50ML + DEO 175ML</t>
  </si>
  <si>
    <t>BHPC GIFT SET WOMEN 1 EDP 50ML + DEO 150ML</t>
  </si>
  <si>
    <t>BHPC GIFT SET WOMEN 9 EDP 50ML + DEO 150ML</t>
  </si>
  <si>
    <t>BHPC GIFT SET WOMEN 8 EDP 50ML + DEO 150ML</t>
  </si>
  <si>
    <t>BHPC GIFT SET WOMEN 2 EDP 50ML + DEO 150ML</t>
  </si>
  <si>
    <t>BHPC GIFT SET WOMEN 1 EDP 100ML + DEO 150ML</t>
  </si>
  <si>
    <t>BHPC GIFT SET WOMEN 9 EDP 100ML + DEO 150ML</t>
  </si>
  <si>
    <t>BHPC GIFT SET WOMEN 8 EDP 100ML + DEO 150ML</t>
  </si>
  <si>
    <t>BHPC GIFT SET WOMEN 2 EDP 100ML + DEO 150ML</t>
  </si>
  <si>
    <t>BHPC GIFT SET MEN #1 EDT50ML+DEO175ML+ROLLON50ML</t>
  </si>
  <si>
    <t>BHPC GIFT SET MEN #9 EDT50ML+DEO175ML+ROLLON50ML</t>
  </si>
  <si>
    <t>BHPC GIFT SET MEN #8 EDT50ML+DEO175ML+ROLLON50ML</t>
  </si>
  <si>
    <t>BHPC GIFT SET MEN #2 EDT50ML+DEO175ML+ROLLON50ML</t>
  </si>
  <si>
    <t>BHPC GIFT SET WOMEN #1 EDP50ML+DEO150ML+ROLLON50ML</t>
  </si>
  <si>
    <t>BHPC GIFT SET WOMEN #9 EDP50ML+DEO150ML+ROLLON50ML</t>
  </si>
  <si>
    <t>BHPC GIFT SET WOMEN #8 EDP50ML+DEO150ML+ROLLON50ML</t>
  </si>
  <si>
    <t>BHPC GIFT SET WOMEN #2 EDP50ML+DEO150ML+ROLLON50ML</t>
  </si>
  <si>
    <t>BHPC SPORT MEN 1 EDT 100ML</t>
  </si>
  <si>
    <t>BHPC SPORT MEN 9 EDT 100ML</t>
  </si>
  <si>
    <t>BHPC SPORT MEN 8 EDT 100ML</t>
  </si>
  <si>
    <t>BHPC SPORT MEN 2 EDT 100ML</t>
  </si>
  <si>
    <t>BHPC WOMEN 1 EDP 50ML</t>
  </si>
  <si>
    <t>BHPC WOMEN 9 EDP 50ML</t>
  </si>
  <si>
    <t>BHPC WOMEN 8 EDP 50ML</t>
  </si>
  <si>
    <t>BHPC WOMEN 2 EDP 50ML</t>
  </si>
  <si>
    <t>BHPC WOMEN 1 EDP 100ML</t>
  </si>
  <si>
    <t>BHPC WOMEN 9 EDP 100ML</t>
  </si>
  <si>
    <t>BHPC WOMEN 8 EDP 100ML</t>
  </si>
  <si>
    <t>BHPC WOMEN 2 EDP 100ML</t>
  </si>
  <si>
    <t>BHPC PRESTIGE TROPHY 100ML EDP MEN</t>
  </si>
  <si>
    <t>BHPC PRESTIGE HERITAGE OUD 100ML EDP MEN</t>
  </si>
  <si>
    <t>BHPC PRESTIGE TOUR 100ML EDP MEN</t>
  </si>
  <si>
    <t>BHPC PRESTIGE TITAN 100ML EDP MEN</t>
  </si>
  <si>
    <t>BHPC PRESTIGE ELEGANCE 100ML EDP WOMEN</t>
  </si>
  <si>
    <t>BHPC PRESTIGE CHALLENGE 100ML EDP WOMEN</t>
  </si>
  <si>
    <t>BHPC PRESTIGE MYSTIQUE 100ML EDP WOMEN</t>
  </si>
  <si>
    <t>BHPC PRESTIGE PASSION 100ML EDP WOMEN</t>
  </si>
  <si>
    <t>TESTER</t>
  </si>
  <si>
    <t>BHPC TESTERS TROPHY 100ML EDP MEN</t>
  </si>
  <si>
    <t>BHPC TESTERS HERITAGE OUD 100ML EDP MEN</t>
  </si>
  <si>
    <t>BHPC TESTERS TOUR 100ML EDP MEN</t>
  </si>
  <si>
    <t>BHPC TESTERS TITAN 100ML EDP MEN</t>
  </si>
  <si>
    <t>BHPC TESTERS ELEGANCE 100ML EDP WOMEN</t>
  </si>
  <si>
    <t>BHPC TESTERS CHALLENGE 100ML EDP WOMEN</t>
  </si>
  <si>
    <t>BHPC TESTERS MYSTIQUE 100ML EDP WOMEN</t>
  </si>
  <si>
    <t>BHPC TESTERS PASSION 100ML EDP WOMEN</t>
  </si>
  <si>
    <t>PT6020</t>
  </si>
  <si>
    <t>BHPC TESTERS KNIGHT 100ML EDP MEN</t>
  </si>
  <si>
    <t>PT6021</t>
  </si>
  <si>
    <t>BHPC TESTERS ROYALE 100ML EDP MEN</t>
  </si>
  <si>
    <t>net</t>
  </si>
  <si>
    <t>gross</t>
  </si>
  <si>
    <t>m3</t>
  </si>
  <si>
    <t>boxes</t>
  </si>
  <si>
    <t>bottles</t>
  </si>
  <si>
    <t>profumi</t>
  </si>
  <si>
    <t>bodymist</t>
  </si>
  <si>
    <t>deodoranti</t>
  </si>
  <si>
    <t>mastige</t>
  </si>
  <si>
    <t>prestige</t>
  </si>
  <si>
    <t>tester</t>
  </si>
  <si>
    <t>deodorant</t>
  </si>
  <si>
    <t>size</t>
  </si>
  <si>
    <t>size12</t>
  </si>
  <si>
    <t>size22</t>
  </si>
  <si>
    <t>unit_net_weight</t>
  </si>
  <si>
    <t>unit_gross_weight</t>
  </si>
  <si>
    <t>cbm</t>
  </si>
  <si>
    <t>order</t>
  </si>
  <si>
    <t>descrizione</t>
  </si>
  <si>
    <t>giftset</t>
  </si>
  <si>
    <t>tot bottles</t>
  </si>
  <si>
    <t>categorie</t>
  </si>
  <si>
    <t>testers_boxes</t>
  </si>
  <si>
    <t>normal_boxes</t>
  </si>
  <si>
    <t>normal</t>
  </si>
  <si>
    <t>foc</t>
  </si>
  <si>
    <t>total</t>
  </si>
  <si>
    <t>foc_order</t>
  </si>
  <si>
    <t>tot_order</t>
  </si>
  <si>
    <t>SHIPPER / CONSIGNOR / SENDER</t>
  </si>
  <si>
    <t>CONSIGNEE</t>
  </si>
  <si>
    <t>CIELOMED ENTERPRISES LTD</t>
  </si>
  <si>
    <t>33, PAUL &amp; WATERS</t>
  </si>
  <si>
    <t>TRIQ IL-KARMELITANI</t>
  </si>
  <si>
    <t>FGURA, MALTA</t>
  </si>
  <si>
    <t>PROFORMA INVOICE</t>
  </si>
  <si>
    <t>EUR</t>
  </si>
  <si>
    <t>UM</t>
  </si>
  <si>
    <t>FREE GOODS / F.O.C.</t>
  </si>
  <si>
    <t>CESS. CEE AR. 41 L 427</t>
  </si>
  <si>
    <t>061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</si>
  <si>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</si>
  <si>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</si>
  <si>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</si>
  <si>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</si>
  <si>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</si>
  <si>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</si>
  <si>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</si>
  <si>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TYPE OF SHIPMENT</t>
  </si>
  <si>
    <t>COUNTRY OF DESTINATION</t>
  </si>
  <si>
    <t>PACKING LIST</t>
  </si>
  <si>
    <t>INCOTERMS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</si>
  <si>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</si>
  <si>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</si>
  <si>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</si>
  <si>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</si>
  <si>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</si>
  <si>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</si>
  <si>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</si>
  <si>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</si>
  <si>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</si>
  <si>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SIGNATURE</t>
  </si>
  <si>
    <t>OTHER PACKING INFORMATION</t>
  </si>
  <si>
    <t>Carriage in accordance with 1.1.4.2</t>
  </si>
  <si>
    <t>VENTIMIGLIA, 14/12/2023</t>
  </si>
  <si>
    <t>CIELOMED</t>
  </si>
  <si>
    <t>MALTA</t>
  </si>
  <si>
    <t>PRESTIGE BRANDS</t>
  </si>
  <si>
    <t>GREECE</t>
  </si>
  <si>
    <t>PRESTIGE BRANDS S.A.</t>
  </si>
  <si>
    <t>305, VOULIAGMENIS AVE.17236</t>
  </si>
  <si>
    <t>AGIOS DIMITRIOS, ATHENS - GREECE</t>
  </si>
  <si>
    <t>024 - IN ADVANCE</t>
  </si>
  <si>
    <t>EXW VENTIMIGLIA, VIA GALLARDI 204, 18039 (ITALY)</t>
  </si>
  <si>
    <t>SKU CODE</t>
  </si>
  <si>
    <t>PRODUCT DESCRIPTION</t>
  </si>
  <si>
    <t>QUANTITY</t>
  </si>
  <si>
    <t>UNIT PRICE</t>
  </si>
  <si>
    <t>CARTONS</t>
  </si>
  <si>
    <t>AMOUNT</t>
  </si>
  <si>
    <t>VAT</t>
  </si>
  <si>
    <t>BEVERLY HILLS POLO CLUB EDP / EDT / DEO / GIFT SETS</t>
  </si>
  <si>
    <t>sex</t>
  </si>
  <si>
    <t>ean</t>
  </si>
  <si>
    <t>hs_code</t>
  </si>
  <si>
    <t>unit</t>
  </si>
  <si>
    <t>box_per_pallet</t>
  </si>
  <si>
    <t>box_per_layer</t>
  </si>
  <si>
    <t>layers_per_pallet</t>
  </si>
  <si>
    <t>cif_price_per_unit</t>
  </si>
  <si>
    <t>country_of_origin</t>
  </si>
  <si>
    <t>WOMAN</t>
  </si>
  <si>
    <t>33030090</t>
  </si>
  <si>
    <t>BOTTLE</t>
  </si>
  <si>
    <t>INDIA</t>
  </si>
  <si>
    <t>MAN</t>
  </si>
  <si>
    <t>33072000</t>
  </si>
  <si>
    <t>CAN</t>
  </si>
  <si>
    <t>SPAIN</t>
  </si>
  <si>
    <t>GIFT</t>
  </si>
  <si>
    <t xml:space="preserve">BHPC GIFTSET PRESTIGE ELEGANCE EDP100ML + DEO 250ML </t>
  </si>
  <si>
    <t>33030010</t>
  </si>
  <si>
    <t>CURRENCY</t>
  </si>
  <si>
    <t>PAYMENT</t>
  </si>
  <si>
    <t>NUMBER</t>
  </si>
  <si>
    <t>DATE</t>
  </si>
  <si>
    <t>DOCUMENT</t>
  </si>
  <si>
    <t>BANK DETAILS</t>
  </si>
  <si>
    <t>OTHER</t>
  </si>
  <si>
    <t>TOTAL DISCOUNTS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</si>
  <si>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</si>
  <si>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</si>
  <si>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</si>
  <si>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</si>
  <si>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</si>
  <si>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</si>
  <si>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</si>
  <si>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</si>
  <si>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>NET WEIGHT</t>
  </si>
  <si>
    <t>GROSS WEIGHT</t>
  </si>
  <si>
    <t>MADE IN</t>
  </si>
  <si>
    <t>operational headquarters / center / branch</t>
  </si>
  <si>
    <t>legal headquarters / center / offices / branch</t>
  </si>
  <si>
    <t>PROBLEMI DA RISOLVERE</t>
  </si>
  <si>
    <t>product1_weight</t>
  </si>
  <si>
    <t>product2_weight</t>
  </si>
  <si>
    <t>product3_weight</t>
  </si>
  <si>
    <t>product4_weight</t>
  </si>
  <si>
    <t>unit_net_weight2</t>
  </si>
  <si>
    <t>unit_gross_weight2</t>
  </si>
  <si>
    <t>cbm2</t>
  </si>
  <si>
    <t>Cosa succede se aggiungo una nuova classe di rischio? Tutto funziona?</t>
  </si>
  <si>
    <t>Le categoria nella riga 3 dovrebbero essere dinamiche.</t>
  </si>
  <si>
    <t>Cosa succede se aggiungo una categoria?</t>
  </si>
  <si>
    <t>BHPC PRESTIGE TROPHY DEO 300ML</t>
  </si>
  <si>
    <t>BHPC PRESTIGE ELEGANCE DEO 250ML</t>
  </si>
  <si>
    <t>Dinamicità della tabella. Cosa succede se aggiungo un prodotto con una nuova size? Tutto funziona?</t>
  </si>
  <si>
    <t>NORMAL</t>
  </si>
  <si>
    <t>FOC</t>
  </si>
  <si>
    <t>TOTALS</t>
  </si>
  <si>
    <t>No:</t>
  </si>
  <si>
    <t>Currency:</t>
  </si>
  <si>
    <t>unit
price</t>
  </si>
  <si>
    <t>Etichette di riga</t>
  </si>
  <si>
    <t>Totale complessivo</t>
  </si>
  <si>
    <t>Valori</t>
  </si>
  <si>
    <t>Somma di TOTAL</t>
  </si>
  <si>
    <t>Somma di QTY</t>
  </si>
  <si>
    <t>Etichette di colonna</t>
  </si>
  <si>
    <t>Logistic Details</t>
  </si>
  <si>
    <t>Transport Details</t>
  </si>
  <si>
    <t>TOTAL GROSS WEIGHT + PALLETS</t>
  </si>
  <si>
    <t>order_no</t>
  </si>
  <si>
    <t>customer</t>
  </si>
  <si>
    <t>currency</t>
  </si>
  <si>
    <t>incoterms</t>
  </si>
  <si>
    <t>pallet_type</t>
  </si>
  <si>
    <t>pallet_no</t>
  </si>
  <si>
    <t>logistic_notes</t>
  </si>
  <si>
    <t>carrier_name</t>
  </si>
  <si>
    <t>carrier_cost</t>
  </si>
  <si>
    <t>other_notes</t>
  </si>
  <si>
    <t>invoice_no</t>
  </si>
  <si>
    <t>invoice_date</t>
  </si>
  <si>
    <t>payment_type</t>
  </si>
  <si>
    <t>payment_date</t>
  </si>
  <si>
    <t>profit</t>
  </si>
  <si>
    <t>qty</t>
  </si>
  <si>
    <t>sale_price</t>
  </si>
  <si>
    <t>cost_price</t>
  </si>
  <si>
    <t>Exchange Rate:</t>
  </si>
  <si>
    <t>exchange_rate</t>
  </si>
  <si>
    <t>tot. Cost</t>
  </si>
  <si>
    <t>tot. Sold</t>
  </si>
  <si>
    <t>ORDER ON GOING</t>
  </si>
  <si>
    <t>La lista degli ordini in preparazione con una visuale "alla Trello" per gestire le diverse fasi di preparazione</t>
  </si>
  <si>
    <t>ORDER ENDED</t>
  </si>
  <si>
    <t>La lista degli ordini conclusi in ordine temporale</t>
  </si>
  <si>
    <t>Un facile doppio click sull'ordine permette di fare uno zoom sui dettagli dell'ordine</t>
  </si>
  <si>
    <t>Un facile doppio click permetterebbe lo zoom sui dettagli dell'ordine per poter operare ed effettuare modifiche</t>
  </si>
  <si>
    <t>Cost On Behalf of BHPC</t>
  </si>
  <si>
    <t>Pallets Costs</t>
  </si>
  <si>
    <t>Labour Costs</t>
  </si>
  <si>
    <t>Other Costs</t>
  </si>
  <si>
    <t>1 - CREO L'ORDINE</t>
  </si>
  <si>
    <t>3 - AGGIUNGO LA MERCE ORDINATA</t>
  </si>
  <si>
    <t>4 - POCO ALLA VOLTA AGGIUNGO TUTTI GLI ALTRI DETTAGLI</t>
  </si>
  <si>
    <t>Quindi ogni ordini esiste come record a se stante in "orderHistory"</t>
  </si>
  <si>
    <t>e ad ogni ordine è associata una vendita di prodotti che verrà salvata in "salesHistory"</t>
  </si>
  <si>
    <t>foc_qty</t>
  </si>
  <si>
    <t>unit 
price</t>
  </si>
  <si>
    <t>disc_qty</t>
  </si>
  <si>
    <t>DISCOUNTED GOODS</t>
  </si>
  <si>
    <t>FREE OF CHARGE</t>
  </si>
  <si>
    <t>Client Details</t>
  </si>
  <si>
    <t>Pallets Movimantation Costs</t>
  </si>
  <si>
    <t>Transport Costs</t>
  </si>
  <si>
    <t>100x120</t>
  </si>
  <si>
    <t>D11</t>
  </si>
  <si>
    <t>D13</t>
  </si>
  <si>
    <t>D15</t>
  </si>
  <si>
    <t>D17</t>
  </si>
  <si>
    <t>P11</t>
  </si>
  <si>
    <t>J17</t>
  </si>
  <si>
    <t>D24</t>
  </si>
  <si>
    <t>D25</t>
  </si>
  <si>
    <t>D26</t>
  </si>
  <si>
    <t>MT11556301</t>
  </si>
  <si>
    <t>EL800758437</t>
  </si>
  <si>
    <t>D19</t>
  </si>
  <si>
    <t>D12</t>
  </si>
  <si>
    <t>VAT No:</t>
  </si>
  <si>
    <t>Payment Type:</t>
  </si>
  <si>
    <t>Name:</t>
  </si>
  <si>
    <t>Country:</t>
  </si>
  <si>
    <t>Legal HQ:</t>
  </si>
  <si>
    <t>Profit:</t>
  </si>
  <si>
    <t>Expected Profit:</t>
  </si>
  <si>
    <t>Incoterms:</t>
  </si>
  <si>
    <t>Cartons No:</t>
  </si>
  <si>
    <t>Pallet Type:</t>
  </si>
  <si>
    <t>Pallet No:</t>
  </si>
  <si>
    <t>Net Weight:</t>
  </si>
  <si>
    <t>Gross Weight:</t>
  </si>
  <si>
    <t>Logistic Notes:</t>
  </si>
  <si>
    <t>payed</t>
  </si>
  <si>
    <t>Fercam</t>
  </si>
  <si>
    <t>ADVANCED</t>
  </si>
  <si>
    <t>Vera</t>
  </si>
  <si>
    <t>NET30</t>
  </si>
  <si>
    <t>order_id</t>
  </si>
  <si>
    <t>order_date</t>
  </si>
  <si>
    <t>carton_no</t>
  </si>
  <si>
    <t>amount_sold</t>
  </si>
  <si>
    <t>80x120</t>
  </si>
  <si>
    <t>NET60</t>
  </si>
  <si>
    <t>Orders Details</t>
  </si>
  <si>
    <t>Pick a Client</t>
  </si>
  <si>
    <t>LUXUM BEAUTY</t>
  </si>
  <si>
    <t>4BEAUTY4YOU</t>
  </si>
  <si>
    <t>GERMANY</t>
  </si>
  <si>
    <t>POLAND</t>
  </si>
  <si>
    <t>Payment 
Account:</t>
  </si>
  <si>
    <t>Logistic HQ:</t>
  </si>
  <si>
    <t>status</t>
  </si>
  <si>
    <t>LUXUM BEAUTY GMBH</t>
  </si>
  <si>
    <t>LANDHAUSSTRAßE 97</t>
  </si>
  <si>
    <t>70190 STUTTGART, GERMANY</t>
  </si>
  <si>
    <t>DE339569838</t>
  </si>
  <si>
    <t>CIP HAMBURG, GERMANY</t>
  </si>
  <si>
    <t>"BANCO DESIO" - IBAN: IT 74 T 03440 10601 000070659040</t>
  </si>
  <si>
    <t>"BANCO BPM" - IBAN: IT 98 R 05034 10500 000000000813 - (BIC)  SWIFT: BAPPIT22</t>
  </si>
  <si>
    <t>"BANCO DESIO" - IBAN: IT 59 M 03440 49110 000047251833 - (BIC) SWIFT: BDBDIT22</t>
  </si>
  <si>
    <t>Selected Row</t>
  </si>
  <si>
    <t>SHIPPED</t>
  </si>
  <si>
    <t>cost_of_goods</t>
  </si>
  <si>
    <t>ON GOING</t>
  </si>
  <si>
    <t>PRE-ORDER</t>
  </si>
  <si>
    <t>Sort By</t>
  </si>
  <si>
    <t>Sort Direction</t>
  </si>
  <si>
    <t>Descending</t>
  </si>
  <si>
    <t>SelectedOrder</t>
  </si>
  <si>
    <t>YES</t>
  </si>
  <si>
    <t>NO</t>
  </si>
  <si>
    <t>First Order Date:</t>
  </si>
  <si>
    <t>Last Order Date:</t>
  </si>
  <si>
    <t>Key Data</t>
  </si>
  <si>
    <t>Total Sold:</t>
  </si>
  <si>
    <t>Exp. Profit:</t>
  </si>
  <si>
    <t>Total Orders:</t>
  </si>
  <si>
    <t>Value of Goods:</t>
  </si>
  <si>
    <t>Ordered Products</t>
  </si>
  <si>
    <t>disc_price</t>
  </si>
  <si>
    <t>tot_cost</t>
  </si>
  <si>
    <t>tot_sold</t>
  </si>
  <si>
    <t>Pick an Order</t>
  </si>
  <si>
    <t>Scroll Bar Client Value</t>
  </si>
  <si>
    <t>Scroll Bar Order</t>
  </si>
  <si>
    <t>General Details</t>
  </si>
  <si>
    <t>Financial Details</t>
  </si>
  <si>
    <t>Carrier Name:</t>
  </si>
  <si>
    <t>Carrier Cost:</t>
  </si>
  <si>
    <t>Amount Sold:</t>
  </si>
  <si>
    <t>Total Cost of Goods:</t>
  </si>
  <si>
    <t>Gross Weight + Pallets:</t>
  </si>
  <si>
    <t xml:space="preserve">      DGN DATA</t>
  </si>
  <si>
    <t>Client Row</t>
  </si>
  <si>
    <t>Tot. FOC:</t>
  </si>
  <si>
    <t>FOC Value:</t>
  </si>
  <si>
    <t>Aggiungere un check al caricamento dell'ordine sulla currency.</t>
  </si>
  <si>
    <t>Se la currency è USD tutte le quantità vanno cambiate</t>
  </si>
  <si>
    <t>CLIENT DETAILS</t>
  </si>
  <si>
    <t>LOGISTIC DETAILS</t>
  </si>
  <si>
    <t>FINANCIAL DETAILS</t>
  </si>
  <si>
    <t>Invoice No:</t>
  </si>
  <si>
    <t>Order Date:</t>
  </si>
  <si>
    <t>Invoice Date:</t>
  </si>
  <si>
    <t>REALIZZARE UNA VISUALE ALLA TRELLO DOVE GESTIRE E AGGIORNARSI SULLO STATO DEGLI ORDINI</t>
  </si>
  <si>
    <t>ABU SHAKRA</t>
  </si>
  <si>
    <t>BACHER &amp; CO</t>
  </si>
  <si>
    <t>BEAUTY &amp; LUXURY</t>
  </si>
  <si>
    <t>BLUE OCEAN 1</t>
  </si>
  <si>
    <t>DIACOSMO</t>
  </si>
  <si>
    <t>DRUNI</t>
  </si>
  <si>
    <t>GLOBAL BEAUTY</t>
  </si>
  <si>
    <t>ILM</t>
  </si>
  <si>
    <t>LINDO CHAIN</t>
  </si>
  <si>
    <t>NORDIC</t>
  </si>
  <si>
    <t>ORCOS</t>
  </si>
  <si>
    <t>PANABEL</t>
  </si>
  <si>
    <t>PARFUMOOV</t>
  </si>
  <si>
    <t>PER SCENT</t>
  </si>
  <si>
    <t>SIGMA</t>
  </si>
  <si>
    <t>SOLVENT</t>
  </si>
  <si>
    <t>SPRINGNET</t>
  </si>
  <si>
    <t>WORDIS</t>
  </si>
  <si>
    <t>JORDAN</t>
  </si>
  <si>
    <t>SOUTH AFRICA</t>
  </si>
  <si>
    <t>UK</t>
  </si>
  <si>
    <t>BELGIUM</t>
  </si>
  <si>
    <t>TURKEY</t>
  </si>
  <si>
    <t>CHILE</t>
  </si>
  <si>
    <t>ISRAEL</t>
  </si>
  <si>
    <t>DENMARK</t>
  </si>
  <si>
    <t>MONTENEGRO</t>
  </si>
  <si>
    <t>FRANCE</t>
  </si>
  <si>
    <t>PARAGUAY</t>
  </si>
  <si>
    <t>CZECH REP.</t>
  </si>
  <si>
    <t>MAROCCO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</si>
  <si>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</si>
  <si>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</si>
  <si>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</si>
  <si>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</si>
  <si>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</si>
  <si>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</si>
  <si>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</si>
  <si>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</si>
  <si>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hq_address1</t>
  </si>
  <si>
    <t>hq_address2</t>
  </si>
  <si>
    <t>hq_address3</t>
  </si>
  <si>
    <t>vat_no</t>
  </si>
  <si>
    <t>payment_method</t>
  </si>
  <si>
    <t>vat_code</t>
  </si>
  <si>
    <t>legal_references</t>
  </si>
  <si>
    <t>POLSKA / POLAND</t>
  </si>
  <si>
    <t>PL6423224141</t>
  </si>
  <si>
    <t>FOT VENTIMIGLIA - ITALY</t>
  </si>
  <si>
    <t>"BANCO DI SARDEGNA SPA" - IBAN: IT58 R010 1510 6000 0007 0659 040 - (BIC) SWIFT: BPMOIT22XXX</t>
  </si>
  <si>
    <t>44-321 MARKLOWICE</t>
  </si>
  <si>
    <t>A&amp;A DISTRIBUTION</t>
  </si>
  <si>
    <t>ROMANIA</t>
  </si>
  <si>
    <t>RO44479488</t>
  </si>
  <si>
    <t>KLEIMA</t>
  </si>
  <si>
    <t>CYPRUS</t>
  </si>
  <si>
    <t>BANCO DESIO - IBAN: IT 59 M 03440 49110 000047251833</t>
  </si>
  <si>
    <t>A &amp; G KLEIMA IMPORT EXPORT LIMITED</t>
  </si>
  <si>
    <t>2 Ayiou Athanasiou</t>
  </si>
  <si>
    <t>7102 Aradippou Larnaca</t>
  </si>
  <si>
    <t xml:space="preserve">Cyprus </t>
  </si>
  <si>
    <t>CY99000130O</t>
  </si>
  <si>
    <t xml:space="preserve">HEALTH &amp; BEAUTY LOGISTICS ON BEHALF OF </t>
  </si>
  <si>
    <t>A&amp;A DISTRIBUTION ANSWER</t>
  </si>
  <si>
    <t xml:space="preserve">AUTOSTRADA A1 BUCURESTI PITESTI KM 13, </t>
  </si>
  <si>
    <t>logistic_address4</t>
  </si>
  <si>
    <t>logistic_address5</t>
  </si>
  <si>
    <t>CLADIREA BUCH 6, UNIT F, RAMPA 1, 2, 3,</t>
  </si>
  <si>
    <t>CTPARK BUCHAREST 6, SAT DRAGOMIRESTI</t>
  </si>
  <si>
    <t>UL. WIOSNY LUDÓW 21</t>
  </si>
  <si>
    <t>UL. KOLEJOWA 2/1</t>
  </si>
  <si>
    <t>44-230 CZERWIONKA - LESZCZYNY</t>
  </si>
  <si>
    <t>DIMITRIE CANTEMIR 1, B2 BUILING, 3RD ENTRANCE</t>
  </si>
  <si>
    <t>4TH FLOOR, BUCHAREST - ROMANIA</t>
  </si>
  <si>
    <t>EXW VENTIMIGLIA, ITALY</t>
  </si>
  <si>
    <t>2 AYIOU ATHANASIOU</t>
  </si>
  <si>
    <t>7102 ARADIPPOU LARNACA</t>
  </si>
  <si>
    <t xml:space="preserve">CYPRUS </t>
  </si>
  <si>
    <t>4BEAUTY 4YOU SP. Z O. O. SP. K.</t>
  </si>
  <si>
    <t>BLUE OCEAN 2</t>
  </si>
  <si>
    <t>date</t>
  </si>
  <si>
    <t>order year</t>
  </si>
  <si>
    <t>year sel dist</t>
  </si>
  <si>
    <t>order id</t>
  </si>
  <si>
    <t>filteredOrderId</t>
  </si>
  <si>
    <t>Filter By Year</t>
  </si>
  <si>
    <t>Filter By Quarter</t>
  </si>
  <si>
    <t>Work In Progress</t>
  </si>
  <si>
    <t>Selected Client</t>
  </si>
  <si>
    <t>Selected Order</t>
  </si>
  <si>
    <t/>
  </si>
</sst>
</file>

<file path=xl/styles.xml><?xml version="1.0" encoding="utf-8"?>
<styleSheet xmlns="http://schemas.openxmlformats.org/spreadsheetml/2006/main">
  <numFmts count="17">
    <numFmt numFmtId="44" formatCode="_-* #,##0.00\ &quot;€&quot;_-;\-* #,##0.00\ &quot;€&quot;_-;_-* &quot;-&quot;??\ &quot;€&quot;_-;_-@_-"/>
    <numFmt numFmtId="164" formatCode="_-* #,##0.00_-;\-* #,##0.00_-;_-* &quot;-&quot;??_-;_-@_-"/>
    <numFmt numFmtId="165" formatCode="_(* #,##0.00_);_(* \(#,##0.00\);_(* &quot;-&quot;??_);_(@_)"/>
    <numFmt numFmtId="166" formatCode="_-&quot;€&quot;\ * #,##0.00_-;\-&quot;€&quot;\ * #,##0.00_-;_-&quot;€&quot;\ * &quot;-&quot;??_-;_-@_-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8"/>
      <color rgb="FF393E47"/>
      <name val="Arial"/>
      <family val="2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scheme val="minor"/>
    </font>
    <font>
      <sz val="10"/>
      <name val="Arial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44">
    <xf numFmtId="0" fontId="0" fillId="0" borderId="0"/>
    <xf numFmtId="164" fontId="1" fillId="0" borderId="0" applyFont="0" applyFill="0" applyBorder="0" applyAlignment="0" applyProtection="0"/>
    <xf numFmtId="0" fontId="15" fillId="0" borderId="0"/>
    <xf numFmtId="166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6" fontId="15" fillId="0" borderId="0" applyFont="0" applyFill="0" applyBorder="0" applyAlignment="0" applyProtection="0"/>
    <xf numFmtId="0" fontId="1" fillId="0" borderId="0"/>
    <xf numFmtId="165" fontId="15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6" fontId="15" fillId="0" borderId="0" applyFont="0" applyFill="0" applyBorder="0" applyAlignment="0" applyProtection="0"/>
    <xf numFmtId="165" fontId="16" fillId="0" borderId="0" applyFont="0" applyFill="0" applyBorder="0" applyAlignment="0" applyProtection="0"/>
    <xf numFmtId="0" fontId="15" fillId="0" borderId="0"/>
    <xf numFmtId="0" fontId="1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32" applyAlignment="0"/>
    <xf numFmtId="49" fontId="26" fillId="21" borderId="33" applyAlignment="0">
      <protection locked="0"/>
    </xf>
    <xf numFmtId="49" fontId="26" fillId="21" borderId="33" applyAlignment="0">
      <protection locked="0"/>
    </xf>
    <xf numFmtId="0" fontId="21" fillId="4" borderId="0" applyNumberFormat="0" applyBorder="0" applyAlignment="0" applyProtection="0"/>
    <xf numFmtId="49" fontId="26" fillId="21" borderId="33" applyAlignment="0">
      <protection locked="0"/>
    </xf>
    <xf numFmtId="49" fontId="26" fillId="21" borderId="33" applyAlignment="0">
      <protection locked="0"/>
    </xf>
    <xf numFmtId="49" fontId="26" fillId="21" borderId="33" applyAlignment="0">
      <protection locked="0"/>
    </xf>
    <xf numFmtId="49" fontId="26" fillId="21" borderId="33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32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4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20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49" fontId="26" fillId="26" borderId="32" applyAlignment="0"/>
    <xf numFmtId="49" fontId="32" fillId="27" borderId="33">
      <alignment horizontal="center" wrapText="1"/>
    </xf>
    <xf numFmtId="49" fontId="32" fillId="27" borderId="33">
      <alignment horizontal="center" wrapText="1"/>
    </xf>
    <xf numFmtId="49" fontId="32" fillId="28" borderId="33">
      <alignment horizontal="center" wrapText="1"/>
    </xf>
    <xf numFmtId="49" fontId="32" fillId="28" borderId="33">
      <alignment horizontal="center" wrapText="1"/>
    </xf>
    <xf numFmtId="49" fontId="32" fillId="29" borderId="20">
      <alignment horizontal="center" wrapText="1"/>
    </xf>
    <xf numFmtId="49" fontId="32" fillId="30" borderId="33">
      <alignment horizontal="center" wrapText="1"/>
    </xf>
    <xf numFmtId="49" fontId="32" fillId="30" borderId="33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20">
      <alignment horizontal="center" wrapText="1"/>
    </xf>
    <xf numFmtId="49" fontId="32" fillId="22" borderId="20">
      <alignment horizontal="center" wrapText="1"/>
    </xf>
    <xf numFmtId="49" fontId="26" fillId="22" borderId="32" applyAlignment="0"/>
    <xf numFmtId="49" fontId="32" fillId="32" borderId="20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33">
      <protection locked="0"/>
    </xf>
    <xf numFmtId="49" fontId="26" fillId="33" borderId="33">
      <protection locked="0"/>
    </xf>
    <xf numFmtId="0" fontId="34" fillId="0" borderId="0"/>
    <xf numFmtId="0" fontId="43" fillId="0" borderId="0"/>
  </cellStyleXfs>
  <cellXfs count="6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9" xfId="0" applyBorder="1"/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wrapText="1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 applyAlignment="1">
      <alignment horizontal="center" vertical="center"/>
    </xf>
    <xf numFmtId="0" fontId="15" fillId="2" borderId="23" xfId="2" applyFill="1" applyBorder="1" applyAlignment="1">
      <alignment vertical="center"/>
    </xf>
    <xf numFmtId="0" fontId="15" fillId="2" borderId="23" xfId="2" applyFill="1" applyBorder="1" applyAlignment="1">
      <alignment horizontal="right" vertical="center"/>
    </xf>
    <xf numFmtId="0" fontId="15" fillId="2" borderId="23" xfId="2" applyFill="1" applyBorder="1" applyAlignment="1">
      <alignment horizontal="left" vertical="center"/>
    </xf>
    <xf numFmtId="0" fontId="15" fillId="2" borderId="24" xfId="2" applyFill="1" applyBorder="1" applyAlignment="1">
      <alignment vertical="center"/>
    </xf>
    <xf numFmtId="0" fontId="15" fillId="2" borderId="0" xfId="2" applyFill="1" applyAlignment="1">
      <alignment vertical="center"/>
    </xf>
    <xf numFmtId="0" fontId="15" fillId="2" borderId="14" xfId="2" applyFill="1" applyBorder="1" applyAlignment="1">
      <alignment vertical="center"/>
    </xf>
    <xf numFmtId="0" fontId="15" fillId="2" borderId="0" xfId="2" applyFill="1" applyAlignment="1">
      <alignment horizontal="right" vertical="center"/>
    </xf>
    <xf numFmtId="0" fontId="15" fillId="2" borderId="0" xfId="2" applyFill="1" applyAlignment="1">
      <alignment horizontal="left" vertical="center"/>
    </xf>
    <xf numFmtId="0" fontId="15" fillId="2" borderId="25" xfId="2" applyFill="1" applyBorder="1" applyAlignment="1">
      <alignment vertical="center"/>
    </xf>
    <xf numFmtId="0" fontId="16" fillId="2" borderId="14" xfId="2" applyFont="1" applyFill="1" applyBorder="1" applyAlignment="1">
      <alignment horizontal="left" vertical="center" indent="1"/>
    </xf>
    <xf numFmtId="0" fontId="16" fillId="2" borderId="0" xfId="2" applyFont="1" applyFill="1" applyAlignment="1">
      <alignment vertical="center"/>
    </xf>
    <xf numFmtId="0" fontId="16" fillId="19" borderId="0" xfId="2" applyFont="1" applyFill="1" applyAlignment="1">
      <alignment vertical="center"/>
    </xf>
    <xf numFmtId="0" fontId="15" fillId="2" borderId="14" xfId="2" applyFill="1" applyBorder="1" applyAlignment="1">
      <alignment horizontal="left" vertical="center" indent="1"/>
    </xf>
    <xf numFmtId="0" fontId="15" fillId="2" borderId="26" xfId="2" applyFill="1" applyBorder="1" applyAlignment="1">
      <alignment vertical="center"/>
    </xf>
    <xf numFmtId="0" fontId="15" fillId="2" borderId="27" xfId="2" applyFill="1" applyBorder="1" applyAlignment="1">
      <alignment vertical="center"/>
    </xf>
    <xf numFmtId="0" fontId="15" fillId="2" borderId="27" xfId="2" applyFill="1" applyBorder="1" applyAlignment="1">
      <alignment horizontal="right" vertical="center"/>
    </xf>
    <xf numFmtId="0" fontId="15" fillId="2" borderId="27" xfId="2" applyFill="1" applyBorder="1" applyAlignment="1">
      <alignment horizontal="left" vertical="center"/>
    </xf>
    <xf numFmtId="0" fontId="15" fillId="2" borderId="28" xfId="2" applyFill="1" applyBorder="1" applyAlignment="1">
      <alignment vertical="center"/>
    </xf>
    <xf numFmtId="0" fontId="15" fillId="2" borderId="26" xfId="2" applyFill="1" applyBorder="1" applyAlignment="1">
      <alignment horizontal="left" vertical="center" indent="1"/>
    </xf>
    <xf numFmtId="0" fontId="15" fillId="19" borderId="27" xfId="2" applyFill="1" applyBorder="1" applyAlignment="1">
      <alignment vertical="center"/>
    </xf>
    <xf numFmtId="0" fontId="23" fillId="2" borderId="24" xfId="2" applyFont="1" applyFill="1" applyBorder="1" applyAlignment="1">
      <alignment vertical="top"/>
    </xf>
    <xf numFmtId="0" fontId="15" fillId="19" borderId="14" xfId="2" applyFill="1" applyBorder="1" applyAlignment="1">
      <alignment horizontal="left" vertical="center"/>
    </xf>
    <xf numFmtId="0" fontId="16" fillId="19" borderId="14" xfId="2" applyFont="1" applyFill="1" applyBorder="1" applyAlignment="1">
      <alignment horizontal="left" vertical="center"/>
    </xf>
    <xf numFmtId="0" fontId="16" fillId="2" borderId="0" xfId="2" applyFont="1" applyFill="1" applyAlignment="1">
      <alignment horizontal="right" vertical="center"/>
    </xf>
    <xf numFmtId="0" fontId="16" fillId="2" borderId="25" xfId="2" applyFont="1" applyFill="1" applyBorder="1" applyAlignment="1">
      <alignment vertical="center"/>
    </xf>
    <xf numFmtId="0" fontId="16" fillId="2" borderId="30" xfId="2" applyFont="1" applyFill="1" applyBorder="1" applyAlignment="1">
      <alignment horizontal="center" vertical="center"/>
    </xf>
    <xf numFmtId="0" fontId="15" fillId="2" borderId="29" xfId="2" applyFill="1" applyBorder="1" applyAlignment="1">
      <alignment horizontal="left" vertical="center"/>
    </xf>
    <xf numFmtId="0" fontId="15" fillId="2" borderId="30" xfId="2" applyFill="1" applyBorder="1" applyAlignment="1">
      <alignment vertical="center"/>
    </xf>
    <xf numFmtId="0" fontId="15" fillId="19" borderId="14" xfId="2" applyFill="1" applyBorder="1" applyAlignment="1">
      <alignment horizontal="center" vertical="center"/>
    </xf>
    <xf numFmtId="0" fontId="15" fillId="2" borderId="0" xfId="2" applyFill="1" applyAlignment="1">
      <alignment horizontal="center" vertical="center"/>
    </xf>
    <xf numFmtId="171" fontId="15" fillId="2" borderId="0" xfId="2" applyNumberFormat="1" applyFill="1" applyAlignment="1">
      <alignment horizontal="center" vertical="center"/>
    </xf>
    <xf numFmtId="4" fontId="3" fillId="19" borderId="30" xfId="2" applyNumberFormat="1" applyFont="1" applyFill="1" applyBorder="1" applyAlignment="1">
      <alignment horizontal="center" vertical="center"/>
    </xf>
    <xf numFmtId="3" fontId="15" fillId="19" borderId="30" xfId="2" applyNumberFormat="1" applyFill="1" applyBorder="1" applyAlignment="1">
      <alignment horizontal="center" vertical="center"/>
    </xf>
    <xf numFmtId="0" fontId="15" fillId="2" borderId="30" xfId="2" applyFill="1" applyBorder="1" applyAlignment="1">
      <alignment horizontal="center" vertical="center"/>
    </xf>
    <xf numFmtId="4" fontId="23" fillId="19" borderId="30" xfId="2" applyNumberFormat="1" applyFont="1" applyFill="1" applyBorder="1" applyAlignment="1">
      <alignment horizontal="center" vertical="center"/>
    </xf>
    <xf numFmtId="0" fontId="16" fillId="2" borderId="14" xfId="2" applyFont="1" applyFill="1" applyBorder="1" applyAlignment="1">
      <alignment vertical="center"/>
    </xf>
    <xf numFmtId="1" fontId="15" fillId="2" borderId="27" xfId="2" applyNumberFormat="1" applyFill="1" applyBorder="1" applyAlignment="1">
      <alignment horizontal="right" vertical="center"/>
    </xf>
    <xf numFmtId="3" fontId="15" fillId="2" borderId="31" xfId="2" applyNumberFormat="1" applyFill="1" applyBorder="1" applyAlignment="1">
      <alignment horizontal="center" vertical="center"/>
    </xf>
    <xf numFmtId="2" fontId="15" fillId="2" borderId="26" xfId="2" applyNumberFormat="1" applyFill="1" applyBorder="1" applyAlignment="1">
      <alignment horizontal="left" vertical="center"/>
    </xf>
    <xf numFmtId="0" fontId="15" fillId="2" borderId="31" xfId="2" applyFill="1" applyBorder="1" applyAlignment="1">
      <alignment vertical="center"/>
    </xf>
    <xf numFmtId="0" fontId="23" fillId="2" borderId="0" xfId="2" applyFont="1" applyFill="1" applyAlignment="1">
      <alignment vertical="center"/>
    </xf>
    <xf numFmtId="0" fontId="23" fillId="2" borderId="29" xfId="2" applyFont="1" applyFill="1" applyBorder="1" applyAlignment="1">
      <alignment horizontal="left" vertical="top"/>
    </xf>
    <xf numFmtId="0" fontId="3" fillId="2" borderId="0" xfId="2" applyFont="1" applyFill="1" applyAlignment="1">
      <alignment vertical="center"/>
    </xf>
    <xf numFmtId="0" fontId="15" fillId="19" borderId="0" xfId="2" applyFill="1" applyAlignment="1">
      <alignment vertical="center"/>
    </xf>
    <xf numFmtId="0" fontId="15" fillId="2" borderId="23" xfId="40" applyFill="1" applyBorder="1" applyAlignment="1">
      <alignment vertical="center"/>
    </xf>
    <xf numFmtId="0" fontId="23" fillId="2" borderId="22" xfId="40" applyFont="1" applyFill="1" applyBorder="1" applyAlignment="1">
      <alignment vertical="top"/>
    </xf>
    <xf numFmtId="0" fontId="23" fillId="2" borderId="23" xfId="40" applyFont="1" applyFill="1" applyBorder="1" applyAlignment="1">
      <alignment vertical="top"/>
    </xf>
    <xf numFmtId="0" fontId="23" fillId="2" borderId="23" xfId="40" applyFont="1" applyFill="1" applyBorder="1" applyAlignment="1">
      <alignment horizontal="right" vertical="top"/>
    </xf>
    <xf numFmtId="0" fontId="23" fillId="2" borderId="22" xfId="40" applyFont="1" applyFill="1" applyBorder="1" applyAlignment="1">
      <alignment horizontal="left" vertical="top"/>
    </xf>
    <xf numFmtId="0" fontId="23" fillId="2" borderId="23" xfId="40" applyFont="1" applyFill="1" applyBorder="1" applyAlignment="1">
      <alignment horizontal="left" vertical="top"/>
    </xf>
    <xf numFmtId="0" fontId="23" fillId="2" borderId="24" xfId="40" applyFont="1" applyFill="1" applyBorder="1" applyAlignment="1">
      <alignment horizontal="left" vertical="top"/>
    </xf>
    <xf numFmtId="0" fontId="23" fillId="2" borderId="24" xfId="40" applyFont="1" applyFill="1" applyBorder="1" applyAlignment="1">
      <alignment vertical="top"/>
    </xf>
    <xf numFmtId="0" fontId="23" fillId="2" borderId="24" xfId="40" applyFont="1" applyFill="1" applyBorder="1" applyAlignment="1">
      <alignment horizontal="right" vertical="top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24" fillId="0" borderId="2" xfId="41" applyFont="1" applyBorder="1" applyAlignment="1" applyProtection="1">
      <alignment horizontal="left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0" fillId="0" borderId="17" xfId="0" applyBorder="1"/>
    <xf numFmtId="0" fontId="15" fillId="2" borderId="24" xfId="2" applyFill="1" applyBorder="1" applyAlignment="1">
      <alignment horizontal="left" vertical="center"/>
    </xf>
    <xf numFmtId="0" fontId="23" fillId="2" borderId="14" xfId="40" applyFont="1" applyFill="1" applyBorder="1" applyAlignment="1">
      <alignment vertical="top"/>
    </xf>
    <xf numFmtId="0" fontId="23" fillId="2" borderId="25" xfId="40" applyFont="1" applyFill="1" applyBorder="1" applyAlignment="1">
      <alignment vertical="top"/>
    </xf>
    <xf numFmtId="0" fontId="23" fillId="2" borderId="14" xfId="40" applyFont="1" applyFill="1" applyBorder="1" applyAlignment="1">
      <alignment horizontal="left" vertical="top"/>
    </xf>
    <xf numFmtId="0" fontId="23" fillId="2" borderId="25" xfId="40" applyFont="1" applyFill="1" applyBorder="1" applyAlignment="1">
      <alignment horizontal="right" vertical="top"/>
    </xf>
    <xf numFmtId="0" fontId="23" fillId="2" borderId="24" xfId="2" applyFont="1" applyFill="1" applyBorder="1" applyAlignment="1">
      <alignment vertical="center"/>
    </xf>
    <xf numFmtId="0" fontId="23" fillId="2" borderId="22" xfId="2" applyFont="1" applyFill="1" applyBorder="1" applyAlignment="1">
      <alignment vertical="top"/>
    </xf>
    <xf numFmtId="0" fontId="23" fillId="2" borderId="23" xfId="2" applyFont="1" applyFill="1" applyBorder="1" applyAlignment="1">
      <alignment vertical="top"/>
    </xf>
    <xf numFmtId="1" fontId="16" fillId="19" borderId="29" xfId="2" applyNumberFormat="1" applyFont="1" applyFill="1" applyBorder="1" applyAlignment="1">
      <alignment horizontal="center" vertical="center"/>
    </xf>
    <xf numFmtId="1" fontId="15" fillId="19" borderId="30" xfId="5" applyNumberFormat="1" applyFont="1" applyFill="1" applyBorder="1" applyAlignment="1" applyProtection="1">
      <alignment horizontal="center" vertical="center"/>
    </xf>
    <xf numFmtId="1" fontId="15" fillId="19" borderId="31" xfId="5" applyNumberFormat="1" applyFont="1" applyFill="1" applyBorder="1" applyAlignment="1" applyProtection="1">
      <alignment horizontal="center" vertical="center"/>
    </xf>
    <xf numFmtId="1" fontId="15" fillId="19" borderId="30" xfId="2" applyNumberFormat="1" applyFill="1" applyBorder="1" applyAlignment="1">
      <alignment horizontal="center" vertical="center"/>
    </xf>
    <xf numFmtId="1" fontId="15" fillId="2" borderId="30" xfId="2" applyNumberFormat="1" applyFill="1" applyBorder="1" applyAlignment="1">
      <alignment horizontal="center" vertical="center"/>
    </xf>
    <xf numFmtId="1" fontId="15" fillId="19" borderId="30" xfId="3" applyNumberFormat="1" applyFont="1" applyFill="1" applyBorder="1" applyAlignment="1" applyProtection="1">
      <alignment horizontal="center" vertical="center"/>
    </xf>
    <xf numFmtId="1" fontId="15" fillId="2" borderId="30" xfId="2" applyNumberFormat="1" applyFill="1" applyBorder="1" applyAlignment="1">
      <alignment vertical="center"/>
    </xf>
    <xf numFmtId="1" fontId="15" fillId="2" borderId="31" xfId="4" applyNumberFormat="1" applyFont="1" applyFill="1" applyBorder="1" applyAlignment="1" applyProtection="1">
      <alignment horizontal="center" vertical="center"/>
    </xf>
    <xf numFmtId="1" fontId="15" fillId="2" borderId="26" xfId="2" applyNumberFormat="1" applyFill="1" applyBorder="1" applyAlignment="1">
      <alignment horizontal="left" vertical="center"/>
    </xf>
    <xf numFmtId="1" fontId="15" fillId="19" borderId="14" xfId="3" applyNumberFormat="1" applyFont="1" applyFill="1" applyBorder="1" applyAlignment="1" applyProtection="1">
      <alignment horizontal="center" vertic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17" fillId="0" borderId="0" xfId="2" applyNumberFormat="1" applyFont="1" applyAlignment="1">
      <alignment horizontal="center" vertical="center" wrapText="1"/>
    </xf>
    <xf numFmtId="169" fontId="17" fillId="0" borderId="0" xfId="2" applyNumberFormat="1" applyFont="1" applyAlignment="1">
      <alignment horizontal="center" vertical="center" wrapText="1"/>
    </xf>
    <xf numFmtId="169" fontId="15" fillId="0" borderId="0" xfId="2" applyNumberFormat="1" applyAlignment="1">
      <alignment horizontal="center" vertical="center"/>
    </xf>
    <xf numFmtId="2" fontId="17" fillId="0" borderId="0" xfId="2" applyNumberFormat="1" applyFont="1" applyAlignment="1">
      <alignment horizontal="center" vertical="center" wrapText="1"/>
    </xf>
    <xf numFmtId="2" fontId="15" fillId="0" borderId="0" xfId="2" applyNumberForma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2" borderId="0" xfId="2" applyFont="1" applyFill="1" applyAlignment="1">
      <alignment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2" fillId="0" borderId="19" xfId="0" applyFont="1" applyBorder="1" applyAlignment="1">
      <alignment horizontal="center"/>
    </xf>
    <xf numFmtId="0" fontId="2" fillId="0" borderId="36" xfId="0" applyFont="1" applyBorder="1" applyAlignment="1">
      <alignment horizontal="center" vertical="center" wrapText="1"/>
    </xf>
    <xf numFmtId="170" fontId="2" fillId="0" borderId="37" xfId="0" applyNumberFormat="1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right"/>
    </xf>
    <xf numFmtId="178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2" fillId="0" borderId="19" xfId="0" applyNumberFormat="1" applyFont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horizontal="left" vertical="center"/>
    </xf>
    <xf numFmtId="0" fontId="2" fillId="0" borderId="37" xfId="0" applyFont="1" applyBorder="1" applyAlignment="1">
      <alignment horizontal="center" vertical="center" wrapText="1"/>
    </xf>
    <xf numFmtId="0" fontId="0" fillId="0" borderId="0" xfId="0" pivotButton="1"/>
    <xf numFmtId="177" fontId="0" fillId="0" borderId="0" xfId="0" applyNumberFormat="1" applyAlignment="1">
      <alignment horizontal="left" indent="1"/>
    </xf>
    <xf numFmtId="0" fontId="0" fillId="0" borderId="19" xfId="0" applyBorder="1" applyAlignment="1">
      <alignment horizontal="center" vertical="center"/>
    </xf>
    <xf numFmtId="178" fontId="16" fillId="2" borderId="30" xfId="2" applyNumberFormat="1" applyFont="1" applyFill="1" applyBorder="1" applyAlignment="1">
      <alignment horizontal="center" vertical="center"/>
    </xf>
    <xf numFmtId="178" fontId="15" fillId="19" borderId="14" xfId="3" applyNumberFormat="1" applyFont="1" applyFill="1" applyBorder="1" applyAlignment="1" applyProtection="1">
      <alignment vertical="center"/>
    </xf>
    <xf numFmtId="178" fontId="15" fillId="19" borderId="30" xfId="3" applyNumberFormat="1" applyFont="1" applyFill="1" applyBorder="1" applyAlignment="1" applyProtection="1">
      <alignment horizontal="center" vertical="center"/>
    </xf>
    <xf numFmtId="178" fontId="15" fillId="2" borderId="31" xfId="4" applyNumberFormat="1" applyFont="1" applyFill="1" applyBorder="1" applyAlignment="1" applyProtection="1">
      <alignment horizontal="center" vertical="center"/>
    </xf>
    <xf numFmtId="178" fontId="16" fillId="19" borderId="29" xfId="2" applyNumberFormat="1" applyFont="1" applyFill="1" applyBorder="1" applyAlignment="1">
      <alignment horizontal="center" vertical="center"/>
    </xf>
    <xf numFmtId="178" fontId="15" fillId="19" borderId="30" xfId="5" applyNumberFormat="1" applyFont="1" applyFill="1" applyBorder="1" applyAlignment="1" applyProtection="1">
      <alignment vertical="center"/>
    </xf>
    <xf numFmtId="178" fontId="15" fillId="19" borderId="31" xfId="5" applyNumberFormat="1" applyFont="1" applyFill="1" applyBorder="1" applyAlignment="1" applyProtection="1">
      <alignment horizontal="right" vertical="center"/>
    </xf>
    <xf numFmtId="0" fontId="9" fillId="2" borderId="0" xfId="2" applyFont="1" applyFill="1" applyAlignment="1">
      <alignment vertical="center"/>
    </xf>
    <xf numFmtId="0" fontId="9" fillId="2" borderId="14" xfId="40" applyFont="1" applyFill="1" applyBorder="1" applyAlignment="1">
      <alignment horizontal="left" vertical="center"/>
    </xf>
    <xf numFmtId="0" fontId="9" fillId="2" borderId="0" xfId="40" applyFont="1" applyFill="1" applyAlignment="1">
      <alignment vertical="center"/>
    </xf>
    <xf numFmtId="0" fontId="9" fillId="2" borderId="25" xfId="40" applyFont="1" applyFill="1" applyBorder="1" applyAlignment="1">
      <alignment vertical="center"/>
    </xf>
    <xf numFmtId="0" fontId="9" fillId="2" borderId="14" xfId="40" applyFont="1" applyFill="1" applyBorder="1" applyAlignment="1">
      <alignment vertical="center"/>
    </xf>
    <xf numFmtId="0" fontId="9" fillId="2" borderId="0" xfId="40" applyFont="1" applyFill="1" applyAlignment="1">
      <alignment horizontal="left" vertical="center"/>
    </xf>
    <xf numFmtId="0" fontId="9" fillId="2" borderId="25" xfId="2" applyFont="1" applyFill="1" applyBorder="1" applyAlignment="1">
      <alignment vertical="center"/>
    </xf>
    <xf numFmtId="0" fontId="9" fillId="2" borderId="0" xfId="40" applyFont="1" applyFill="1" applyAlignment="1">
      <alignment horizontal="right" vertical="center"/>
    </xf>
    <xf numFmtId="0" fontId="9" fillId="2" borderId="26" xfId="40" applyFont="1" applyFill="1" applyBorder="1" applyAlignment="1">
      <alignment vertical="center"/>
    </xf>
    <xf numFmtId="0" fontId="9" fillId="2" borderId="27" xfId="40" applyFont="1" applyFill="1" applyBorder="1" applyAlignment="1">
      <alignment vertical="center"/>
    </xf>
    <xf numFmtId="0" fontId="9" fillId="2" borderId="27" xfId="40" applyFont="1" applyFill="1" applyBorder="1" applyAlignment="1">
      <alignment horizontal="right" vertical="center"/>
    </xf>
    <xf numFmtId="0" fontId="9" fillId="2" borderId="28" xfId="2" applyFont="1" applyFill="1" applyBorder="1" applyAlignment="1">
      <alignment vertical="center"/>
    </xf>
    <xf numFmtId="0" fontId="9" fillId="2" borderId="0" xfId="40" applyFont="1" applyFill="1" applyAlignment="1">
      <alignment horizontal="center" vertical="center"/>
    </xf>
    <xf numFmtId="0" fontId="9" fillId="2" borderId="25" xfId="40" applyFont="1" applyFill="1" applyBorder="1" applyAlignment="1">
      <alignment horizontal="left" vertical="center"/>
    </xf>
    <xf numFmtId="0" fontId="9" fillId="2" borderId="26" xfId="40" applyFont="1" applyFill="1" applyBorder="1" applyAlignment="1">
      <alignment horizontal="left" vertical="center"/>
    </xf>
    <xf numFmtId="0" fontId="9" fillId="2" borderId="28" xfId="40" applyFont="1" applyFill="1" applyBorder="1" applyAlignment="1">
      <alignment horizontal="left" vertical="center"/>
    </xf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15" fillId="0" borderId="35" xfId="2" applyBorder="1" applyAlignment="1">
      <alignment horizontal="center" vertical="center"/>
    </xf>
    <xf numFmtId="0" fontId="0" fillId="0" borderId="39" xfId="0" applyBorder="1"/>
    <xf numFmtId="170" fontId="15" fillId="0" borderId="0" xfId="5" applyNumberFormat="1" applyFont="1" applyFill="1" applyBorder="1" applyAlignment="1" applyProtection="1">
      <alignment horizontal="center" vertical="center"/>
    </xf>
    <xf numFmtId="0" fontId="0" fillId="0" borderId="17" xfId="0" applyBorder="1" applyAlignment="1">
      <alignment horizontal="center"/>
    </xf>
    <xf numFmtId="0" fontId="0" fillId="0" borderId="40" xfId="0" applyBorder="1"/>
    <xf numFmtId="3" fontId="15" fillId="0" borderId="41" xfId="2" applyNumberFormat="1" applyBorder="1" applyAlignment="1">
      <alignment horizontal="center" vertical="center"/>
    </xf>
    <xf numFmtId="3" fontId="15" fillId="0" borderId="16" xfId="2" applyNumberFormat="1" applyBorder="1" applyAlignment="1">
      <alignment horizontal="center" vertical="center"/>
    </xf>
    <xf numFmtId="170" fontId="2" fillId="0" borderId="38" xfId="0" applyNumberFormat="1" applyFont="1" applyBorder="1" applyAlignment="1">
      <alignment horizontal="center" vertical="center" wrapText="1"/>
    </xf>
    <xf numFmtId="170" fontId="15" fillId="0" borderId="39" xfId="5" applyNumberFormat="1" applyFont="1" applyFill="1" applyBorder="1" applyAlignment="1" applyProtection="1">
      <alignment horizontal="center" vertical="center"/>
    </xf>
    <xf numFmtId="170" fontId="15" fillId="0" borderId="17" xfId="5" applyNumberFormat="1" applyFont="1" applyFill="1" applyBorder="1" applyAlignment="1" applyProtection="1">
      <alignment horizontal="center" vertical="center"/>
    </xf>
    <xf numFmtId="170" fontId="0" fillId="0" borderId="17" xfId="0" applyNumberFormat="1" applyBorder="1" applyAlignment="1">
      <alignment horizontal="center"/>
    </xf>
    <xf numFmtId="178" fontId="0" fillId="0" borderId="17" xfId="0" applyNumberFormat="1" applyBorder="1" applyAlignment="1">
      <alignment horizontal="center"/>
    </xf>
    <xf numFmtId="170" fontId="0" fillId="0" borderId="40" xfId="0" applyNumberFormat="1" applyBorder="1" applyAlignment="1">
      <alignment horizontal="center"/>
    </xf>
    <xf numFmtId="0" fontId="2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2" fillId="0" borderId="45" xfId="0" applyFont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49" fontId="0" fillId="36" borderId="0" xfId="0" applyNumberFormat="1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vertical="center"/>
    </xf>
    <xf numFmtId="49" fontId="25" fillId="0" borderId="0" xfId="0" applyNumberFormat="1" applyFont="1" applyAlignment="1">
      <alignment horizontal="center"/>
    </xf>
    <xf numFmtId="0" fontId="0" fillId="36" borderId="0" xfId="0" applyFill="1"/>
    <xf numFmtId="0" fontId="2" fillId="37" borderId="45" xfId="0" applyFont="1" applyFill="1" applyBorder="1"/>
    <xf numFmtId="0" fontId="0" fillId="37" borderId="46" xfId="0" applyFill="1" applyBorder="1"/>
    <xf numFmtId="0" fontId="0" fillId="37" borderId="47" xfId="0" applyFill="1" applyBorder="1"/>
    <xf numFmtId="0" fontId="0" fillId="37" borderId="0" xfId="0" applyFill="1"/>
    <xf numFmtId="0" fontId="0" fillId="37" borderId="49" xfId="0" applyFill="1" applyBorder="1"/>
    <xf numFmtId="0" fontId="0" fillId="37" borderId="50" xfId="0" applyFill="1" applyBorder="1"/>
    <xf numFmtId="0" fontId="0" fillId="37" borderId="51" xfId="0" applyFill="1" applyBorder="1"/>
    <xf numFmtId="0" fontId="0" fillId="37" borderId="52" xfId="0" applyFill="1" applyBorder="1"/>
    <xf numFmtId="0" fontId="2" fillId="37" borderId="48" xfId="0" applyFont="1" applyFill="1" applyBorder="1" applyAlignment="1">
      <alignment horizontal="right"/>
    </xf>
    <xf numFmtId="0" fontId="0" fillId="37" borderId="48" xfId="0" applyFill="1" applyBorder="1" applyAlignment="1">
      <alignment horizontal="right"/>
    </xf>
    <xf numFmtId="0" fontId="0" fillId="0" borderId="33" xfId="0" applyBorder="1" applyAlignment="1">
      <alignment horizontal="center"/>
    </xf>
    <xf numFmtId="0" fontId="2" fillId="37" borderId="48" xfId="0" applyFont="1" applyFill="1" applyBorder="1" applyAlignment="1">
      <alignment vertical="top"/>
    </xf>
    <xf numFmtId="0" fontId="2" fillId="37" borderId="54" xfId="0" applyFont="1" applyFill="1" applyBorder="1" applyAlignment="1">
      <alignment horizontal="center"/>
    </xf>
    <xf numFmtId="0" fontId="2" fillId="37" borderId="55" xfId="0" applyFont="1" applyFill="1" applyBorder="1" applyAlignment="1">
      <alignment horizontal="center"/>
    </xf>
    <xf numFmtId="0" fontId="2" fillId="37" borderId="56" xfId="0" applyFont="1" applyFill="1" applyBorder="1" applyAlignment="1">
      <alignment horizontal="center"/>
    </xf>
    <xf numFmtId="0" fontId="39" fillId="0" borderId="0" xfId="0" applyFont="1"/>
    <xf numFmtId="0" fontId="25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0" fillId="36" borderId="0" xfId="0" applyFill="1" applyAlignment="1">
      <alignment horizontal="left" vertical="center"/>
    </xf>
    <xf numFmtId="0" fontId="0" fillId="37" borderId="50" xfId="0" applyFill="1" applyBorder="1" applyAlignment="1">
      <alignment horizontal="right"/>
    </xf>
    <xf numFmtId="0" fontId="0" fillId="37" borderId="45" xfId="0" applyFill="1" applyBorder="1" applyAlignment="1">
      <alignment horizontal="right"/>
    </xf>
    <xf numFmtId="0" fontId="2" fillId="37" borderId="48" xfId="0" applyFont="1" applyFill="1" applyBorder="1" applyAlignment="1">
      <alignment horizontal="right" vertical="top"/>
    </xf>
    <xf numFmtId="0" fontId="2" fillId="37" borderId="48" xfId="0" applyFont="1" applyFill="1" applyBorder="1" applyAlignment="1">
      <alignment vertical="top" wrapText="1"/>
    </xf>
    <xf numFmtId="0" fontId="0" fillId="0" borderId="33" xfId="0" applyBorder="1" applyAlignment="1">
      <alignment horizontal="center" vertical="center"/>
    </xf>
    <xf numFmtId="0" fontId="0" fillId="0" borderId="57" xfId="0" applyBorder="1"/>
    <xf numFmtId="0" fontId="0" fillId="0" borderId="58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37" borderId="48" xfId="0" applyFill="1" applyBorder="1"/>
    <xf numFmtId="0" fontId="0" fillId="19" borderId="33" xfId="0" applyFill="1" applyBorder="1"/>
    <xf numFmtId="0" fontId="0" fillId="37" borderId="0" xfId="0" applyFill="1" applyAlignment="1">
      <alignment vertical="top"/>
    </xf>
    <xf numFmtId="0" fontId="0" fillId="37" borderId="49" xfId="0" applyFill="1" applyBorder="1" applyAlignment="1">
      <alignment vertical="top"/>
    </xf>
    <xf numFmtId="0" fontId="0" fillId="38" borderId="60" xfId="0" applyFill="1" applyBorder="1" applyAlignment="1">
      <alignment horizontal="center"/>
    </xf>
    <xf numFmtId="14" fontId="0" fillId="38" borderId="61" xfId="0" applyNumberFormat="1" applyFill="1" applyBorder="1" applyAlignment="1">
      <alignment horizontal="center"/>
    </xf>
    <xf numFmtId="0" fontId="0" fillId="38" borderId="61" xfId="0" applyFill="1" applyBorder="1" applyAlignment="1">
      <alignment horizontal="center"/>
    </xf>
    <xf numFmtId="170" fontId="0" fillId="38" borderId="61" xfId="0" applyNumberFormat="1" applyFill="1" applyBorder="1" applyAlignment="1">
      <alignment horizontal="right"/>
    </xf>
    <xf numFmtId="0" fontId="0" fillId="37" borderId="62" xfId="0" applyFill="1" applyBorder="1" applyAlignment="1">
      <alignment horizontal="center" vertical="center"/>
    </xf>
    <xf numFmtId="0" fontId="0" fillId="38" borderId="63" xfId="0" applyFill="1" applyBorder="1" applyAlignment="1">
      <alignment horizontal="center"/>
    </xf>
    <xf numFmtId="14" fontId="0" fillId="38" borderId="30" xfId="0" applyNumberFormat="1" applyFill="1" applyBorder="1" applyAlignment="1">
      <alignment horizontal="center"/>
    </xf>
    <xf numFmtId="0" fontId="0" fillId="38" borderId="30" xfId="0" applyFill="1" applyBorder="1" applyAlignment="1">
      <alignment horizontal="center"/>
    </xf>
    <xf numFmtId="170" fontId="0" fillId="38" borderId="30" xfId="0" applyNumberFormat="1" applyFill="1" applyBorder="1" applyAlignment="1">
      <alignment horizontal="right"/>
    </xf>
    <xf numFmtId="0" fontId="0" fillId="37" borderId="64" xfId="0" applyFill="1" applyBorder="1" applyAlignment="1">
      <alignment horizontal="center" vertical="center"/>
    </xf>
    <xf numFmtId="0" fontId="0" fillId="38" borderId="30" xfId="0" applyFill="1" applyBorder="1"/>
    <xf numFmtId="0" fontId="0" fillId="38" borderId="65" xfId="0" applyFill="1" applyBorder="1" applyAlignment="1">
      <alignment horizontal="center"/>
    </xf>
    <xf numFmtId="14" fontId="0" fillId="38" borderId="66" xfId="0" applyNumberFormat="1" applyFill="1" applyBorder="1" applyAlignment="1">
      <alignment horizontal="center"/>
    </xf>
    <xf numFmtId="0" fontId="0" fillId="38" borderId="66" xfId="0" applyFill="1" applyBorder="1" applyAlignment="1">
      <alignment horizontal="center"/>
    </xf>
    <xf numFmtId="170" fontId="0" fillId="38" borderId="66" xfId="0" applyNumberFormat="1" applyFill="1" applyBorder="1" applyAlignment="1">
      <alignment horizontal="right"/>
    </xf>
    <xf numFmtId="0" fontId="0" fillId="37" borderId="67" xfId="0" applyFill="1" applyBorder="1" applyAlignment="1">
      <alignment horizontal="center" vertical="center"/>
    </xf>
    <xf numFmtId="0" fontId="0" fillId="37" borderId="61" xfId="0" applyFill="1" applyBorder="1" applyAlignment="1">
      <alignment horizontal="center" vertical="center"/>
    </xf>
    <xf numFmtId="0" fontId="0" fillId="37" borderId="30" xfId="0" applyFill="1" applyBorder="1" applyAlignment="1">
      <alignment horizontal="center" vertical="center"/>
    </xf>
    <xf numFmtId="0" fontId="0" fillId="37" borderId="66" xfId="0" applyFill="1" applyBorder="1" applyAlignment="1">
      <alignment horizontal="center" vertical="center"/>
    </xf>
    <xf numFmtId="170" fontId="0" fillId="37" borderId="61" xfId="0" applyNumberFormat="1" applyFill="1" applyBorder="1" applyAlignment="1">
      <alignment horizontal="right" vertical="center"/>
    </xf>
    <xf numFmtId="170" fontId="0" fillId="37" borderId="30" xfId="0" applyNumberFormat="1" applyFill="1" applyBorder="1" applyAlignment="1">
      <alignment horizontal="right" vertical="center"/>
    </xf>
    <xf numFmtId="170" fontId="0" fillId="37" borderId="66" xfId="0" applyNumberFormat="1" applyFill="1" applyBorder="1" applyAlignment="1">
      <alignment horizontal="right" vertical="center"/>
    </xf>
    <xf numFmtId="1" fontId="0" fillId="37" borderId="61" xfId="0" applyNumberFormat="1" applyFill="1" applyBorder="1" applyAlignment="1">
      <alignment horizontal="center" vertical="center"/>
    </xf>
    <xf numFmtId="1" fontId="0" fillId="37" borderId="30" xfId="0" applyNumberFormat="1" applyFill="1" applyBorder="1" applyAlignment="1">
      <alignment horizontal="center" vertical="center"/>
    </xf>
    <xf numFmtId="1" fontId="0" fillId="37" borderId="66" xfId="0" applyNumberFormat="1" applyFill="1" applyBorder="1" applyAlignment="1">
      <alignment horizontal="center" vertical="center"/>
    </xf>
    <xf numFmtId="0" fontId="0" fillId="37" borderId="61" xfId="0" applyFill="1" applyBorder="1" applyAlignment="1">
      <alignment vertical="center"/>
    </xf>
    <xf numFmtId="170" fontId="0" fillId="37" borderId="61" xfId="0" applyNumberFormat="1" applyFill="1" applyBorder="1" applyAlignment="1">
      <alignment vertical="center"/>
    </xf>
    <xf numFmtId="0" fontId="0" fillId="37" borderId="62" xfId="0" applyFill="1" applyBorder="1" applyAlignment="1">
      <alignment vertical="center"/>
    </xf>
    <xf numFmtId="0" fontId="0" fillId="37" borderId="30" xfId="0" applyFill="1" applyBorder="1" applyAlignment="1">
      <alignment vertical="center"/>
    </xf>
    <xf numFmtId="170" fontId="0" fillId="37" borderId="30" xfId="0" applyNumberFormat="1" applyFill="1" applyBorder="1" applyAlignment="1">
      <alignment vertical="center"/>
    </xf>
    <xf numFmtId="0" fontId="0" fillId="37" borderId="64" xfId="0" applyFill="1" applyBorder="1" applyAlignment="1">
      <alignment vertical="center"/>
    </xf>
    <xf numFmtId="0" fontId="0" fillId="37" borderId="66" xfId="0" applyFill="1" applyBorder="1" applyAlignment="1">
      <alignment vertical="center"/>
    </xf>
    <xf numFmtId="170" fontId="0" fillId="37" borderId="66" xfId="0" applyNumberFormat="1" applyFill="1" applyBorder="1" applyAlignment="1">
      <alignment vertical="center"/>
    </xf>
    <xf numFmtId="0" fontId="0" fillId="37" borderId="67" xfId="0" applyFill="1" applyBorder="1" applyAlignment="1">
      <alignment vertical="center"/>
    </xf>
    <xf numFmtId="0" fontId="0" fillId="37" borderId="0" xfId="0" applyFill="1" applyAlignment="1">
      <alignment horizontal="right"/>
    </xf>
    <xf numFmtId="0" fontId="2" fillId="0" borderId="55" xfId="0" applyFont="1" applyBorder="1"/>
    <xf numFmtId="0" fontId="0" fillId="0" borderId="55" xfId="0" applyBorder="1"/>
    <xf numFmtId="0" fontId="0" fillId="0" borderId="55" xfId="0" applyBorder="1" applyAlignment="1">
      <alignment horizontal="right"/>
    </xf>
    <xf numFmtId="0" fontId="25" fillId="37" borderId="0" xfId="0" applyFont="1" applyFill="1"/>
    <xf numFmtId="0" fontId="25" fillId="37" borderId="0" xfId="0" applyFont="1" applyFill="1" applyAlignment="1">
      <alignment vertical="top"/>
    </xf>
    <xf numFmtId="0" fontId="25" fillId="0" borderId="33" xfId="0" applyFont="1" applyBorder="1" applyAlignment="1">
      <alignment horizontal="right"/>
    </xf>
    <xf numFmtId="0" fontId="25" fillId="0" borderId="2" xfId="0" applyFont="1" applyBorder="1" applyAlignment="1">
      <alignment horizontal="right"/>
    </xf>
    <xf numFmtId="0" fontId="0" fillId="0" borderId="33" xfId="0" applyBorder="1" applyAlignment="1">
      <alignment horizontal="right"/>
    </xf>
    <xf numFmtId="170" fontId="0" fillId="0" borderId="33" xfId="0" applyNumberFormat="1" applyBorder="1" applyAlignment="1">
      <alignment horizontal="right"/>
    </xf>
    <xf numFmtId="0" fontId="0" fillId="0" borderId="33" xfId="0" applyBorder="1"/>
    <xf numFmtId="14" fontId="0" fillId="0" borderId="33" xfId="0" applyNumberFormat="1" applyBorder="1"/>
    <xf numFmtId="0" fontId="41" fillId="37" borderId="0" xfId="0" applyFont="1" applyFill="1" applyAlignment="1">
      <alignment horizontal="left" vertical="center"/>
    </xf>
    <xf numFmtId="179" fontId="25" fillId="0" borderId="33" xfId="0" applyNumberFormat="1" applyFont="1" applyBorder="1" applyAlignment="1">
      <alignment horizontal="right"/>
    </xf>
    <xf numFmtId="179" fontId="25" fillId="0" borderId="1" xfId="0" applyNumberFormat="1" applyFont="1" applyBorder="1" applyAlignment="1">
      <alignment horizontal="righ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vertical="center"/>
    </xf>
    <xf numFmtId="0" fontId="2" fillId="0" borderId="3" xfId="0" applyFont="1" applyBorder="1" applyAlignment="1">
      <alignment horizontal="center"/>
    </xf>
    <xf numFmtId="0" fontId="0" fillId="0" borderId="33" xfId="0" applyFill="1" applyBorder="1" applyAlignment="1">
      <alignment horizontal="center" vertical="center"/>
    </xf>
    <xf numFmtId="170" fontId="0" fillId="0" borderId="33" xfId="0" applyNumberFormat="1" applyFill="1" applyBorder="1" applyAlignment="1">
      <alignment horizontal="right"/>
    </xf>
    <xf numFmtId="0" fontId="0" fillId="0" borderId="33" xfId="0" applyFill="1" applyBorder="1" applyAlignment="1">
      <alignment horizontal="center"/>
    </xf>
    <xf numFmtId="14" fontId="0" fillId="0" borderId="33" xfId="0" applyNumberFormat="1" applyFill="1" applyBorder="1"/>
    <xf numFmtId="0" fontId="2" fillId="0" borderId="0" xfId="0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42" fillId="0" borderId="0" xfId="0" applyFont="1" applyBorder="1" applyAlignment="1">
      <alignment vertical="center"/>
    </xf>
    <xf numFmtId="0" fontId="42" fillId="0" borderId="0" xfId="0" applyFont="1" applyBorder="1" applyAlignment="1">
      <alignment horizontal="left" vertical="center"/>
    </xf>
    <xf numFmtId="0" fontId="0" fillId="0" borderId="0" xfId="0" applyBorder="1"/>
    <xf numFmtId="49" fontId="0" fillId="0" borderId="0" xfId="0" applyNumberFormat="1" applyBorder="1" applyAlignment="1">
      <alignment horizontal="center"/>
    </xf>
    <xf numFmtId="49" fontId="25" fillId="0" borderId="0" xfId="0" applyNumberFormat="1" applyFont="1" applyBorder="1" applyAlignment="1">
      <alignment horizontal="center"/>
    </xf>
    <xf numFmtId="0" fontId="25" fillId="0" borderId="0" xfId="0" applyFont="1" applyBorder="1" applyAlignment="1">
      <alignment vertical="center"/>
    </xf>
    <xf numFmtId="0" fontId="25" fillId="0" borderId="0" xfId="0" applyFont="1" applyBorder="1" applyAlignment="1">
      <alignment horizontal="left" wrapText="1"/>
    </xf>
    <xf numFmtId="0" fontId="25" fillId="0" borderId="0" xfId="0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37" borderId="60" xfId="0" applyFill="1" applyBorder="1" applyAlignment="1">
      <alignment horizontal="left" vertical="center"/>
    </xf>
    <xf numFmtId="0" fontId="0" fillId="37" borderId="63" xfId="0" applyFill="1" applyBorder="1" applyAlignment="1">
      <alignment horizontal="left" vertical="center"/>
    </xf>
    <xf numFmtId="0" fontId="0" fillId="37" borderId="65" xfId="0" applyFill="1" applyBorder="1" applyAlignment="1">
      <alignment horizontal="left" vertical="center"/>
    </xf>
    <xf numFmtId="14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0" fontId="0" fillId="0" borderId="0" xfId="0" applyAlignment="1"/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14" fontId="25" fillId="0" borderId="68" xfId="0" applyNumberFormat="1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/>
    </xf>
    <xf numFmtId="14" fontId="25" fillId="0" borderId="69" xfId="0" applyNumberFormat="1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/>
    </xf>
    <xf numFmtId="14" fontId="25" fillId="0" borderId="70" xfId="0" applyNumberFormat="1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3" fillId="2" borderId="0" xfId="2" applyFont="1" applyFill="1" applyAlignment="1">
      <alignment horizontal="center" vertical="center"/>
    </xf>
    <xf numFmtId="0" fontId="15" fillId="2" borderId="0" xfId="2" applyFill="1" applyAlignment="1">
      <alignment horizontal="center" vertical="center"/>
    </xf>
    <xf numFmtId="0" fontId="18" fillId="2" borderId="26" xfId="2" applyFont="1" applyFill="1" applyBorder="1" applyAlignment="1">
      <alignment horizontal="center" vertical="center"/>
    </xf>
    <xf numFmtId="0" fontId="18" fillId="2" borderId="27" xfId="2" applyFont="1" applyFill="1" applyBorder="1" applyAlignment="1">
      <alignment horizontal="center" vertical="center"/>
    </xf>
    <xf numFmtId="178" fontId="18" fillId="2" borderId="0" xfId="5" applyNumberFormat="1" applyFont="1" applyFill="1" applyBorder="1" applyAlignment="1" applyProtection="1">
      <alignment horizontal="center" vertical="center"/>
    </xf>
    <xf numFmtId="166" fontId="18" fillId="2" borderId="25" xfId="5" applyFont="1" applyFill="1" applyBorder="1" applyAlignment="1" applyProtection="1">
      <alignment horizontal="center" vertical="center"/>
    </xf>
    <xf numFmtId="0" fontId="3" fillId="2" borderId="22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horizontal="center" vertical="center"/>
    </xf>
    <xf numFmtId="0" fontId="3" fillId="2" borderId="24" xfId="2" applyFont="1" applyFill="1" applyBorder="1" applyAlignment="1">
      <alignment horizontal="center" vertical="center"/>
    </xf>
    <xf numFmtId="0" fontId="3" fillId="2" borderId="26" xfId="2" applyFont="1" applyFill="1" applyBorder="1" applyAlignment="1">
      <alignment horizontal="center" vertical="center"/>
    </xf>
    <xf numFmtId="0" fontId="3" fillId="2" borderId="27" xfId="2" applyFont="1" applyFill="1" applyBorder="1" applyAlignment="1">
      <alignment horizontal="center" vertical="center"/>
    </xf>
    <xf numFmtId="0" fontId="3" fillId="2" borderId="28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horizontal="left" vertical="center"/>
    </xf>
    <xf numFmtId="0" fontId="3" fillId="2" borderId="24" xfId="2" applyFont="1" applyFill="1" applyBorder="1" applyAlignment="1">
      <alignment horizontal="left" vertical="center"/>
    </xf>
    <xf numFmtId="0" fontId="3" fillId="2" borderId="27" xfId="2" applyFont="1" applyFill="1" applyBorder="1" applyAlignment="1">
      <alignment horizontal="left" vertical="center"/>
    </xf>
    <xf numFmtId="0" fontId="3" fillId="2" borderId="28" xfId="2" applyFont="1" applyFill="1" applyBorder="1" applyAlignment="1">
      <alignment horizontal="left" vertical="center"/>
    </xf>
    <xf numFmtId="0" fontId="18" fillId="2" borderId="14" xfId="2" applyFont="1" applyFill="1" applyBorder="1" applyAlignment="1">
      <alignment horizontal="center" vertical="center" wrapText="1"/>
    </xf>
    <xf numFmtId="0" fontId="18" fillId="2" borderId="25" xfId="2" applyFont="1" applyFill="1" applyBorder="1" applyAlignment="1">
      <alignment horizontal="center" vertical="center" wrapText="1"/>
    </xf>
    <xf numFmtId="0" fontId="18" fillId="2" borderId="26" xfId="2" applyFont="1" applyFill="1" applyBorder="1" applyAlignment="1">
      <alignment horizontal="center" vertical="center" wrapText="1"/>
    </xf>
    <xf numFmtId="0" fontId="18" fillId="2" borderId="28" xfId="2" applyFont="1" applyFill="1" applyBorder="1" applyAlignment="1">
      <alignment horizontal="center" vertical="center" wrapText="1"/>
    </xf>
    <xf numFmtId="49" fontId="18" fillId="2" borderId="30" xfId="2" applyNumberFormat="1" applyFont="1" applyFill="1" applyBorder="1" applyAlignment="1">
      <alignment horizontal="center" vertical="center"/>
    </xf>
    <xf numFmtId="49" fontId="18" fillId="2" borderId="31" xfId="2" applyNumberFormat="1" applyFont="1" applyFill="1" applyBorder="1" applyAlignment="1">
      <alignment horizontal="center" vertical="center"/>
    </xf>
    <xf numFmtId="178" fontId="18" fillId="2" borderId="14" xfId="5" applyNumberFormat="1" applyFont="1" applyFill="1" applyBorder="1" applyAlignment="1" applyProtection="1">
      <alignment horizontal="center" vertical="center"/>
    </xf>
    <xf numFmtId="178" fontId="18" fillId="2" borderId="25" xfId="5" applyNumberFormat="1" applyFont="1" applyFill="1" applyBorder="1" applyAlignment="1" applyProtection="1">
      <alignment horizontal="center" vertical="center"/>
    </xf>
    <xf numFmtId="178" fontId="18" fillId="2" borderId="26" xfId="5" applyNumberFormat="1" applyFont="1" applyFill="1" applyBorder="1" applyAlignment="1" applyProtection="1">
      <alignment horizontal="center" vertical="center"/>
    </xf>
    <xf numFmtId="178" fontId="18" fillId="2" borderId="28" xfId="5" applyNumberFormat="1" applyFont="1" applyFill="1" applyBorder="1" applyAlignment="1" applyProtection="1">
      <alignment horizontal="center" vertical="center"/>
    </xf>
    <xf numFmtId="164" fontId="15" fillId="2" borderId="14" xfId="2" applyNumberFormat="1" applyFill="1" applyBorder="1" applyAlignment="1">
      <alignment horizontal="center" vertical="center"/>
    </xf>
    <xf numFmtId="164" fontId="15" fillId="2" borderId="25" xfId="2" applyNumberFormat="1" applyFill="1" applyBorder="1" applyAlignment="1">
      <alignment horizontal="center" vertical="center"/>
    </xf>
    <xf numFmtId="164" fontId="15" fillId="2" borderId="26" xfId="2" applyNumberFormat="1" applyFill="1" applyBorder="1" applyAlignment="1">
      <alignment horizontal="center" vertical="center"/>
    </xf>
    <xf numFmtId="164" fontId="15" fillId="2" borderId="28" xfId="2" applyNumberFormat="1" applyFill="1" applyBorder="1" applyAlignment="1">
      <alignment horizontal="center" vertical="center"/>
    </xf>
    <xf numFmtId="178" fontId="18" fillId="2" borderId="27" xfId="5" applyNumberFormat="1" applyFont="1" applyFill="1" applyBorder="1" applyAlignment="1" applyProtection="1">
      <alignment horizontal="center" vertical="center"/>
    </xf>
    <xf numFmtId="166" fontId="18" fillId="2" borderId="28" xfId="5" applyFont="1" applyFill="1" applyBorder="1" applyAlignment="1" applyProtection="1">
      <alignment horizontal="center" vertical="center"/>
    </xf>
    <xf numFmtId="0" fontId="23" fillId="2" borderId="22" xfId="2" applyFont="1" applyFill="1" applyBorder="1" applyAlignment="1">
      <alignment horizontal="left" vertical="top"/>
    </xf>
    <xf numFmtId="0" fontId="23" fillId="2" borderId="23" xfId="2" applyFont="1" applyFill="1" applyBorder="1" applyAlignment="1">
      <alignment horizontal="left" vertical="top"/>
    </xf>
    <xf numFmtId="0" fontId="23" fillId="2" borderId="24" xfId="2" applyFont="1" applyFill="1" applyBorder="1" applyAlignment="1">
      <alignment horizontal="left" vertical="top"/>
    </xf>
    <xf numFmtId="0" fontId="18" fillId="2" borderId="28" xfId="2" applyFont="1" applyFill="1" applyBorder="1" applyAlignment="1">
      <alignment horizontal="center" vertical="center"/>
    </xf>
    <xf numFmtId="178" fontId="18" fillId="2" borderId="26" xfId="2" applyNumberFormat="1" applyFont="1" applyFill="1" applyBorder="1" applyAlignment="1">
      <alignment horizontal="left" vertical="center"/>
    </xf>
    <xf numFmtId="178" fontId="18" fillId="2" borderId="27" xfId="2" applyNumberFormat="1" applyFont="1" applyFill="1" applyBorder="1" applyAlignment="1">
      <alignment horizontal="left" vertical="center"/>
    </xf>
    <xf numFmtId="178" fontId="18" fillId="2" borderId="28" xfId="2" applyNumberFormat="1" applyFont="1" applyFill="1" applyBorder="1" applyAlignment="1">
      <alignment horizontal="left" vertical="center"/>
    </xf>
    <xf numFmtId="0" fontId="23" fillId="19" borderId="29" xfId="2" applyFont="1" applyFill="1" applyBorder="1" applyAlignment="1">
      <alignment horizontal="center" vertical="center" wrapText="1"/>
    </xf>
    <xf numFmtId="0" fontId="23" fillId="19" borderId="30" xfId="2" applyFont="1" applyFill="1" applyBorder="1" applyAlignment="1">
      <alignment horizontal="center" vertical="center"/>
    </xf>
    <xf numFmtId="0" fontId="23" fillId="19" borderId="31" xfId="2" applyFont="1" applyFill="1" applyBorder="1" applyAlignment="1">
      <alignment horizontal="center" vertical="center"/>
    </xf>
    <xf numFmtId="0" fontId="23" fillId="2" borderId="29" xfId="2" applyFont="1" applyFill="1" applyBorder="1" applyAlignment="1">
      <alignment horizontal="center" vertical="center" wrapText="1"/>
    </xf>
    <xf numFmtId="0" fontId="23" fillId="2" borderId="30" xfId="2" applyFont="1" applyFill="1" applyBorder="1" applyAlignment="1">
      <alignment horizontal="center" vertical="center"/>
    </xf>
    <xf numFmtId="0" fontId="23" fillId="2" borderId="31" xfId="2" applyFont="1" applyFill="1" applyBorder="1" applyAlignment="1">
      <alignment horizontal="center" vertical="center"/>
    </xf>
    <xf numFmtId="0" fontId="23" fillId="2" borderId="22" xfId="2" applyFont="1" applyFill="1" applyBorder="1" applyAlignment="1">
      <alignment horizontal="center" vertical="center" wrapText="1"/>
    </xf>
    <xf numFmtId="0" fontId="23" fillId="2" borderId="14" xfId="2" applyFont="1" applyFill="1" applyBorder="1" applyAlignment="1">
      <alignment horizontal="center" vertical="center" wrapText="1"/>
    </xf>
    <xf numFmtId="0" fontId="23" fillId="2" borderId="26" xfId="2" applyFont="1" applyFill="1" applyBorder="1" applyAlignment="1">
      <alignment horizontal="center" vertical="center" wrapText="1"/>
    </xf>
    <xf numFmtId="0" fontId="23" fillId="2" borderId="23" xfId="2" applyFont="1" applyFill="1" applyBorder="1" applyAlignment="1">
      <alignment horizontal="center" vertical="center" wrapText="1"/>
    </xf>
    <xf numFmtId="0" fontId="23" fillId="2" borderId="24" xfId="2" applyFont="1" applyFill="1" applyBorder="1" applyAlignment="1">
      <alignment horizontal="center" vertical="center" wrapText="1"/>
    </xf>
    <xf numFmtId="0" fontId="23" fillId="2" borderId="0" xfId="2" applyFont="1" applyFill="1" applyAlignment="1">
      <alignment horizontal="center" vertical="center" wrapText="1"/>
    </xf>
    <xf numFmtId="0" fontId="23" fillId="2" borderId="25" xfId="2" applyFont="1" applyFill="1" applyBorder="1" applyAlignment="1">
      <alignment horizontal="center" vertical="center" wrapText="1"/>
    </xf>
    <xf numFmtId="0" fontId="23" fillId="2" borderId="27" xfId="2" applyFont="1" applyFill="1" applyBorder="1" applyAlignment="1">
      <alignment horizontal="center" vertical="center" wrapText="1"/>
    </xf>
    <xf numFmtId="0" fontId="23" fillId="2" borderId="28" xfId="2" applyFont="1" applyFill="1" applyBorder="1" applyAlignment="1">
      <alignment horizontal="center" vertical="center" wrapText="1"/>
    </xf>
    <xf numFmtId="0" fontId="23" fillId="2" borderId="29" xfId="2" applyFont="1" applyFill="1" applyBorder="1" applyAlignment="1">
      <alignment horizontal="center" vertical="center"/>
    </xf>
    <xf numFmtId="0" fontId="23" fillId="2" borderId="30" xfId="2" applyFont="1" applyFill="1" applyBorder="1" applyAlignment="1">
      <alignment horizontal="center" vertical="center" wrapText="1"/>
    </xf>
    <xf numFmtId="0" fontId="23" fillId="2" borderId="31" xfId="2" applyFont="1" applyFill="1" applyBorder="1" applyAlignment="1">
      <alignment horizontal="center" vertical="center" wrapText="1"/>
    </xf>
    <xf numFmtId="0" fontId="15" fillId="0" borderId="14" xfId="2" applyBorder="1"/>
    <xf numFmtId="0" fontId="15" fillId="0" borderId="26" xfId="2" applyBorder="1"/>
    <xf numFmtId="0" fontId="23" fillId="2" borderId="22" xfId="2" applyFont="1" applyFill="1" applyBorder="1" applyAlignment="1">
      <alignment vertical="top"/>
    </xf>
    <xf numFmtId="0" fontId="23" fillId="2" borderId="23" xfId="2" applyFont="1" applyFill="1" applyBorder="1" applyAlignment="1">
      <alignment vertical="top"/>
    </xf>
    <xf numFmtId="0" fontId="23" fillId="2" borderId="24" xfId="2" applyFont="1" applyFill="1" applyBorder="1" applyAlignment="1">
      <alignment vertical="top"/>
    </xf>
    <xf numFmtId="0" fontId="23" fillId="19" borderId="22" xfId="2" applyFont="1" applyFill="1" applyBorder="1" applyAlignment="1">
      <alignment horizontal="left" vertical="top"/>
    </xf>
    <xf numFmtId="0" fontId="23" fillId="19" borderId="24" xfId="2" applyFont="1" applyFill="1" applyBorder="1" applyAlignment="1">
      <alignment horizontal="left" vertical="top"/>
    </xf>
    <xf numFmtId="0" fontId="15" fillId="2" borderId="26" xfId="2" applyFill="1" applyBorder="1" applyAlignment="1">
      <alignment horizontal="center" vertical="center"/>
    </xf>
    <xf numFmtId="0" fontId="15" fillId="2" borderId="28" xfId="2" applyFill="1" applyBorder="1" applyAlignment="1">
      <alignment horizontal="center" vertical="center"/>
    </xf>
    <xf numFmtId="14" fontId="15" fillId="0" borderId="26" xfId="2" applyNumberFormat="1" applyBorder="1" applyAlignment="1">
      <alignment horizontal="center" vertical="center"/>
    </xf>
    <xf numFmtId="14" fontId="15" fillId="0" borderId="28" xfId="2" applyNumberFormat="1" applyBorder="1" applyAlignment="1">
      <alignment horizontal="center" vertical="center"/>
    </xf>
    <xf numFmtId="0" fontId="15" fillId="0" borderId="27" xfId="2" applyBorder="1" applyAlignment="1">
      <alignment horizontal="center" vertical="center"/>
    </xf>
    <xf numFmtId="0" fontId="15" fillId="2" borderId="27" xfId="2" applyFill="1" applyBorder="1" applyAlignment="1">
      <alignment horizontal="center" vertical="center"/>
    </xf>
    <xf numFmtId="0" fontId="23" fillId="19" borderId="23" xfId="2" applyFont="1" applyFill="1" applyBorder="1" applyAlignment="1">
      <alignment horizontal="left" vertical="top"/>
    </xf>
    <xf numFmtId="0" fontId="9" fillId="2" borderId="26" xfId="40" applyFont="1" applyFill="1" applyBorder="1" applyAlignment="1">
      <alignment horizontal="center" vertical="center"/>
    </xf>
    <xf numFmtId="0" fontId="9" fillId="2" borderId="27" xfId="40" applyFont="1" applyFill="1" applyBorder="1" applyAlignment="1">
      <alignment horizontal="center" vertical="center"/>
    </xf>
    <xf numFmtId="0" fontId="9" fillId="2" borderId="28" xfId="40" applyFont="1" applyFill="1" applyBorder="1" applyAlignment="1">
      <alignment horizontal="center" vertical="center"/>
    </xf>
    <xf numFmtId="179" fontId="9" fillId="2" borderId="26" xfId="40" applyNumberFormat="1" applyFont="1" applyFill="1" applyBorder="1" applyAlignment="1">
      <alignment horizontal="center" vertical="center"/>
    </xf>
    <xf numFmtId="179" fontId="9" fillId="2" borderId="28" xfId="40" applyNumberFormat="1" applyFont="1" applyFill="1" applyBorder="1" applyAlignment="1">
      <alignment horizontal="center" vertical="center"/>
    </xf>
    <xf numFmtId="1" fontId="9" fillId="2" borderId="26" xfId="40" applyNumberFormat="1" applyFont="1" applyFill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vertical="center" shrinkToFit="1"/>
      <protection locked="0"/>
    </xf>
    <xf numFmtId="0" fontId="24" fillId="0" borderId="13" xfId="41" applyFont="1" applyBorder="1" applyAlignment="1" applyProtection="1">
      <alignment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0" fillId="34" borderId="33" xfId="0" applyFill="1" applyBorder="1" applyAlignment="1">
      <alignment horizontal="center" vertical="center"/>
    </xf>
    <xf numFmtId="0" fontId="0" fillId="39" borderId="33" xfId="0" applyFill="1" applyBorder="1" applyAlignment="1">
      <alignment horizont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Border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19" borderId="3" xfId="0" applyFill="1" applyBorder="1" applyAlignment="1">
      <alignment horizontal="left" vertical="center"/>
    </xf>
    <xf numFmtId="0" fontId="0" fillId="19" borderId="4" xfId="0" applyFill="1" applyBorder="1" applyAlignment="1">
      <alignment horizontal="left" vertical="center"/>
    </xf>
    <xf numFmtId="0" fontId="0" fillId="19" borderId="5" xfId="0" applyFill="1" applyBorder="1" applyAlignment="1">
      <alignment horizontal="left" vertical="center"/>
    </xf>
    <xf numFmtId="0" fontId="2" fillId="37" borderId="53" xfId="0" applyFont="1" applyFill="1" applyBorder="1" applyAlignment="1">
      <alignment horizontal="right" vertical="center" wrapText="1"/>
    </xf>
    <xf numFmtId="14" fontId="0" fillId="19" borderId="11" xfId="0" applyNumberFormat="1" applyFill="1" applyBorder="1" applyAlignment="1">
      <alignment horizontal="right" vertical="center"/>
    </xf>
    <xf numFmtId="14" fontId="0" fillId="19" borderId="13" xfId="0" applyNumberFormat="1" applyFill="1" applyBorder="1" applyAlignment="1">
      <alignment horizontal="right" vertical="center"/>
    </xf>
    <xf numFmtId="0" fontId="25" fillId="0" borderId="33" xfId="0" applyFont="1" applyBorder="1" applyAlignment="1">
      <alignment horizontal="left" vertical="top" wrapText="1"/>
    </xf>
    <xf numFmtId="0" fontId="41" fillId="37" borderId="9" xfId="0" applyFont="1" applyFill="1" applyBorder="1" applyAlignment="1">
      <alignment horizontal="left" vertical="center"/>
    </xf>
    <xf numFmtId="0" fontId="41" fillId="37" borderId="0" xfId="0" applyFont="1" applyFill="1" applyAlignment="1">
      <alignment horizontal="left" vertical="center"/>
    </xf>
    <xf numFmtId="0" fontId="25" fillId="0" borderId="6" xfId="0" applyFont="1" applyBorder="1" applyAlignment="1">
      <alignment horizontal="center"/>
    </xf>
    <xf numFmtId="0" fontId="25" fillId="0" borderId="7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5" fillId="0" borderId="12" xfId="0" applyFont="1" applyBorder="1" applyAlignment="1">
      <alignment horizontal="center"/>
    </xf>
    <xf numFmtId="170" fontId="40" fillId="19" borderId="3" xfId="0" applyNumberFormat="1" applyFont="1" applyFill="1" applyBorder="1" applyAlignment="1">
      <alignment horizontal="right" vertical="center"/>
    </xf>
    <xf numFmtId="170" fontId="40" fillId="19" borderId="5" xfId="0" applyNumberFormat="1" applyFont="1" applyFill="1" applyBorder="1" applyAlignment="1">
      <alignment horizontal="right" vertical="center"/>
    </xf>
    <xf numFmtId="14" fontId="0" fillId="19" borderId="3" xfId="0" applyNumberFormat="1" applyFill="1" applyBorder="1" applyAlignment="1">
      <alignment horizontal="right" vertical="center"/>
    </xf>
    <xf numFmtId="14" fontId="0" fillId="19" borderId="5" xfId="0" applyNumberFormat="1" applyFill="1" applyBorder="1" applyAlignment="1">
      <alignment horizontal="right" vertical="center"/>
    </xf>
    <xf numFmtId="0" fontId="0" fillId="19" borderId="6" xfId="0" applyFill="1" applyBorder="1" applyAlignment="1">
      <alignment horizontal="left" vertical="top" wrapText="1"/>
    </xf>
    <xf numFmtId="0" fontId="0" fillId="19" borderId="7" xfId="0" applyFill="1" applyBorder="1" applyAlignment="1">
      <alignment horizontal="left" vertical="top" wrapText="1"/>
    </xf>
    <xf numFmtId="0" fontId="0" fillId="19" borderId="8" xfId="0" applyFill="1" applyBorder="1" applyAlignment="1">
      <alignment horizontal="left" vertical="top" wrapText="1"/>
    </xf>
    <xf numFmtId="0" fontId="0" fillId="19" borderId="9" xfId="0" applyFill="1" applyBorder="1" applyAlignment="1">
      <alignment horizontal="left" vertical="top" wrapText="1"/>
    </xf>
    <xf numFmtId="0" fontId="0" fillId="19" borderId="0" xfId="0" applyFill="1" applyAlignment="1">
      <alignment horizontal="left" vertical="top" wrapText="1"/>
    </xf>
    <xf numFmtId="0" fontId="0" fillId="19" borderId="10" xfId="0" applyFill="1" applyBorder="1" applyAlignment="1">
      <alignment horizontal="left" vertical="top" wrapText="1"/>
    </xf>
    <xf numFmtId="0" fontId="0" fillId="19" borderId="11" xfId="0" applyFill="1" applyBorder="1" applyAlignment="1">
      <alignment horizontal="left" vertical="top" wrapText="1"/>
    </xf>
    <xf numFmtId="0" fontId="0" fillId="19" borderId="12" xfId="0" applyFill="1" applyBorder="1" applyAlignment="1">
      <alignment horizontal="left" vertical="top" wrapText="1"/>
    </xf>
    <xf numFmtId="0" fontId="0" fillId="19" borderId="13" xfId="0" applyFill="1" applyBorder="1" applyAlignment="1">
      <alignment horizontal="left" vertical="top" wrapText="1"/>
    </xf>
    <xf numFmtId="0" fontId="0" fillId="19" borderId="6" xfId="0" applyFill="1" applyBorder="1" applyAlignment="1">
      <alignment horizontal="left" vertical="center" shrinkToFit="1"/>
    </xf>
    <xf numFmtId="0" fontId="0" fillId="19" borderId="7" xfId="0" applyFill="1" applyBorder="1" applyAlignment="1">
      <alignment horizontal="left" vertical="center" shrinkToFit="1"/>
    </xf>
    <xf numFmtId="0" fontId="0" fillId="19" borderId="8" xfId="0" applyFill="1" applyBorder="1" applyAlignment="1">
      <alignment horizontal="left" vertical="center" shrinkToFit="1"/>
    </xf>
    <xf numFmtId="0" fontId="0" fillId="19" borderId="9" xfId="0" applyFill="1" applyBorder="1" applyAlignment="1">
      <alignment horizontal="left" vertical="center" shrinkToFit="1"/>
    </xf>
    <xf numFmtId="0" fontId="0" fillId="19" borderId="0" xfId="0" applyFill="1" applyBorder="1" applyAlignment="1">
      <alignment horizontal="left" vertical="center" shrinkToFit="1"/>
    </xf>
    <xf numFmtId="0" fontId="0" fillId="19" borderId="10" xfId="0" applyFill="1" applyBorder="1" applyAlignment="1">
      <alignment horizontal="left" vertical="center" shrinkToFit="1"/>
    </xf>
    <xf numFmtId="0" fontId="0" fillId="19" borderId="11" xfId="0" applyFill="1" applyBorder="1" applyAlignment="1">
      <alignment horizontal="left" vertical="center" shrinkToFit="1"/>
    </xf>
    <xf numFmtId="0" fontId="0" fillId="19" borderId="12" xfId="0" applyFill="1" applyBorder="1" applyAlignment="1">
      <alignment horizontal="left" vertical="center" shrinkToFit="1"/>
    </xf>
    <xf numFmtId="0" fontId="0" fillId="19" borderId="13" xfId="0" applyFill="1" applyBorder="1" applyAlignment="1">
      <alignment horizontal="left" vertical="center" shrinkToFit="1"/>
    </xf>
    <xf numFmtId="0" fontId="0" fillId="19" borderId="9" xfId="0" applyFill="1" applyBorder="1" applyAlignment="1">
      <alignment horizontal="left" vertical="center"/>
    </xf>
    <xf numFmtId="0" fontId="0" fillId="19" borderId="0" xfId="0" applyFill="1" applyBorder="1" applyAlignment="1">
      <alignment horizontal="left" vertical="center"/>
    </xf>
    <xf numFmtId="0" fontId="0" fillId="19" borderId="10" xfId="0" applyFill="1" applyBorder="1" applyAlignment="1">
      <alignment horizontal="left" vertical="center"/>
    </xf>
    <xf numFmtId="0" fontId="0" fillId="19" borderId="11" xfId="0" applyFill="1" applyBorder="1" applyAlignment="1">
      <alignment horizontal="left" vertical="center"/>
    </xf>
    <xf numFmtId="0" fontId="0" fillId="19" borderId="12" xfId="0" applyFill="1" applyBorder="1" applyAlignment="1">
      <alignment horizontal="left" vertical="center"/>
    </xf>
    <xf numFmtId="0" fontId="0" fillId="19" borderId="13" xfId="0" applyFill="1" applyBorder="1" applyAlignment="1">
      <alignment horizontal="left" vertical="center"/>
    </xf>
  </cellXfs>
  <cellStyles count="344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 2" xfId="3"/>
    <cellStyle name="Valuta 2 2" xfId="37"/>
    <cellStyle name="Valuta 2 3" xfId="38"/>
    <cellStyle name="Valuta 3" xfId="5"/>
    <cellStyle name="Valuta 4" xfId="339"/>
    <cellStyle name="Warnings" xfId="340"/>
    <cellStyle name="Warnings 2" xfId="341"/>
    <cellStyle name="Κανονικό 2" xfId="342"/>
  </cellStyles>
  <dxfs count="107">
    <dxf>
      <numFmt numFmtId="170" formatCode="#,##0.00\ &quot;€&quot;"/>
    </dxf>
    <dxf>
      <font>
        <color theme="0"/>
      </font>
    </dxf>
    <dxf>
      <font>
        <color theme="0"/>
      </font>
    </dxf>
    <dxf>
      <fill>
        <patternFill>
          <bgColor theme="4" tint="0.59996337778862885"/>
        </patternFill>
      </fill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8" formatCode="\€\ #,##0.00_)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numFmt numFmtId="0" formatCode="General"/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2" formatCode="0.00"/>
      <alignment horizontal="center" vertical="center" textRotation="0" wrapText="0" indent="0" relativeIndent="0" justifyLastLine="0" shrinkToFit="0" readingOrder="0"/>
    </dxf>
    <dxf>
      <numFmt numFmtId="2" formatCode="0.00"/>
      <alignment horizontal="center" vertical="center" textRotation="0" wrapText="0" inden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4</xdr:col>
      <xdr:colOff>641223</xdr:colOff>
      <xdr:row>0</xdr:row>
      <xdr:rowOff>49149</xdr:rowOff>
    </xdr:to>
    <xdr:pic>
      <xdr:nvPicPr>
        <xdr:cNvPr id="2" name="Picture 2" descr="Logo Coppo lung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38352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245498</xdr:colOff>
      <xdr:row>6</xdr:row>
      <xdr:rowOff>131238</xdr:rowOff>
    </xdr:to>
    <xdr:pic>
      <xdr:nvPicPr>
        <xdr:cNvPr id="3" name="Immagine 2" descr="Logo Coppo lungo.JP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4</xdr:col>
      <xdr:colOff>584073</xdr:colOff>
      <xdr:row>0</xdr:row>
      <xdr:rowOff>49149</xdr:rowOff>
    </xdr:to>
    <xdr:pic>
      <xdr:nvPicPr>
        <xdr:cNvPr id="2" name="Picture 2" descr="Logo Coppo lung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38352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Immagine 2" descr="Logo Coppo lungo.JPG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1181099</xdr:colOff>
      <xdr:row>1</xdr:row>
      <xdr:rowOff>50801</xdr:rowOff>
    </xdr:from>
    <xdr:to>
      <xdr:col>14</xdr:col>
      <xdr:colOff>41274</xdr:colOff>
      <xdr:row>2</xdr:row>
      <xdr:rowOff>346075</xdr:rowOff>
    </xdr:to>
    <xdr:sp macro="" textlink="">
      <xdr:nvSpPr>
        <xdr:cNvPr id="2" name="Rettangolo arrotondat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3119099" y="234951"/>
          <a:ext cx="1685925" cy="758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/>
            <a:t>NUOVO </a:t>
          </a:r>
          <a:endParaRPr lang="it-IT" sz="1400" b="1"/>
        </a:p>
        <a:p>
          <a:pPr algn="ctr"/>
          <a:r>
            <a:rPr lang="it-IT" sz="1600" b="1"/>
            <a:t>ORDINE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772584</xdr:colOff>
      <xdr:row>0</xdr:row>
      <xdr:rowOff>120650</xdr:rowOff>
    </xdr:from>
    <xdr:to>
      <xdr:col>13</xdr:col>
      <xdr:colOff>686858</xdr:colOff>
      <xdr:row>2</xdr:row>
      <xdr:rowOff>38100</xdr:rowOff>
    </xdr:to>
    <xdr:sp macro="" textlink="">
      <xdr:nvSpPr>
        <xdr:cNvPr id="2" name="new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7962900" y="120650"/>
          <a:ext cx="981075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NEW</a:t>
          </a:r>
        </a:p>
      </xdr:txBody>
    </xdr:sp>
    <xdr:clientData/>
  </xdr:twoCellAnchor>
  <xdr:twoCellAnchor editAs="absolute">
    <xdr:from>
      <xdr:col>13</xdr:col>
      <xdr:colOff>1007533</xdr:colOff>
      <xdr:row>0</xdr:row>
      <xdr:rowOff>107950</xdr:rowOff>
    </xdr:from>
    <xdr:to>
      <xdr:col>14</xdr:col>
      <xdr:colOff>775758</xdr:colOff>
      <xdr:row>2</xdr:row>
      <xdr:rowOff>25400</xdr:rowOff>
    </xdr:to>
    <xdr:sp macro="" textlink="">
      <xdr:nvSpPr>
        <xdr:cNvPr id="3" name="load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9264650" y="107950"/>
          <a:ext cx="835025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LOAD</a:t>
          </a:r>
        </a:p>
      </xdr:txBody>
    </xdr:sp>
    <xdr:clientData/>
  </xdr:twoCellAnchor>
  <xdr:twoCellAnchor editAs="absolute">
    <xdr:from>
      <xdr:col>14</xdr:col>
      <xdr:colOff>982133</xdr:colOff>
      <xdr:row>0</xdr:row>
      <xdr:rowOff>107950</xdr:rowOff>
    </xdr:from>
    <xdr:to>
      <xdr:col>15</xdr:col>
      <xdr:colOff>915459</xdr:colOff>
      <xdr:row>2</xdr:row>
      <xdr:rowOff>25400</xdr:rowOff>
    </xdr:to>
    <xdr:sp macro="" textlink="">
      <xdr:nvSpPr>
        <xdr:cNvPr id="4" name="save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06050" y="107950"/>
          <a:ext cx="1000125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SAVE</a:t>
          </a:r>
        </a:p>
      </xdr:txBody>
    </xdr:sp>
    <xdr:clientData/>
  </xdr:twoCellAnchor>
  <xdr:twoCellAnchor editAs="absolute">
    <xdr:from>
      <xdr:col>16</xdr:col>
      <xdr:colOff>52917</xdr:colOff>
      <xdr:row>0</xdr:row>
      <xdr:rowOff>107950</xdr:rowOff>
    </xdr:from>
    <xdr:to>
      <xdr:col>17</xdr:col>
      <xdr:colOff>227541</xdr:colOff>
      <xdr:row>2</xdr:row>
      <xdr:rowOff>25400</xdr:rowOff>
    </xdr:to>
    <xdr:sp macro="" textlink="">
      <xdr:nvSpPr>
        <xdr:cNvPr id="5" name="delete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1512550" y="107950"/>
          <a:ext cx="1241425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DELETE</a:t>
          </a:r>
        </a:p>
      </xdr:txBody>
    </xdr:sp>
    <xdr:clientData/>
  </xdr:twoCellAnchor>
  <xdr:twoCellAnchor editAs="absolute">
    <xdr:from>
      <xdr:col>4</xdr:col>
      <xdr:colOff>39158</xdr:colOff>
      <xdr:row>3</xdr:row>
      <xdr:rowOff>76200</xdr:rowOff>
    </xdr:from>
    <xdr:to>
      <xdr:col>4</xdr:col>
      <xdr:colOff>1380700</xdr:colOff>
      <xdr:row>5</xdr:row>
      <xdr:rowOff>85725</xdr:rowOff>
    </xdr:to>
    <xdr:sp macro="[0]!showClientTab" textlink="">
      <xdr:nvSpPr>
        <xdr:cNvPr id="6" name="client" hidden="1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927225" y="654050"/>
          <a:ext cx="1339425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CLIENT</a:t>
          </a:r>
        </a:p>
      </xdr:txBody>
    </xdr:sp>
    <xdr:clientData/>
  </xdr:twoCellAnchor>
  <xdr:twoCellAnchor editAs="absolute">
    <xdr:from>
      <xdr:col>4</xdr:col>
      <xdr:colOff>1397000</xdr:colOff>
      <xdr:row>3</xdr:row>
      <xdr:rowOff>76200</xdr:rowOff>
    </xdr:from>
    <xdr:to>
      <xdr:col>7</xdr:col>
      <xdr:colOff>138250</xdr:colOff>
      <xdr:row>5</xdr:row>
      <xdr:rowOff>85725</xdr:rowOff>
    </xdr:to>
    <xdr:sp macro="[0]!showOrderTab" textlink="">
      <xdr:nvSpPr>
        <xdr:cNvPr id="7" name="order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3282950" y="654050"/>
          <a:ext cx="1440000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ORDER</a:t>
          </a:r>
        </a:p>
      </xdr:txBody>
    </xdr:sp>
    <xdr:clientData/>
  </xdr:twoCellAnchor>
  <xdr:twoCellAnchor editAs="absolute">
    <xdr:from>
      <xdr:col>7</xdr:col>
      <xdr:colOff>171450</xdr:colOff>
      <xdr:row>3</xdr:row>
      <xdr:rowOff>76200</xdr:rowOff>
    </xdr:from>
    <xdr:to>
      <xdr:col>9</xdr:col>
      <xdr:colOff>308641</xdr:colOff>
      <xdr:row>5</xdr:row>
      <xdr:rowOff>85725</xdr:rowOff>
    </xdr:to>
    <xdr:sp macro="[0]!showDocTab" textlink="">
      <xdr:nvSpPr>
        <xdr:cNvPr id="8" name="doc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756150" y="654050"/>
          <a:ext cx="1440000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>
    <xdr:from>
      <xdr:col>17</xdr:col>
      <xdr:colOff>146050</xdr:colOff>
      <xdr:row>40</xdr:row>
      <xdr:rowOff>82550</xdr:rowOff>
    </xdr:from>
    <xdr:to>
      <xdr:col>20</xdr:col>
      <xdr:colOff>825500</xdr:colOff>
      <xdr:row>43</xdr:row>
      <xdr:rowOff>165100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 txBox="1"/>
      </xdr:nvSpPr>
      <xdr:spPr>
        <a:xfrm>
          <a:off x="12223750" y="7486650"/>
          <a:ext cx="330835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 baseline="0"/>
            <a:t>Con un doppio click o cliccando sulla scheda ORDER sarà possibile visualizzare l'ordine nel dettaglio (quali prodotti sono stati acquistati, quanti e a che prezzo)</a:t>
          </a:r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4</xdr:col>
      <xdr:colOff>39158</xdr:colOff>
      <xdr:row>3</xdr:row>
      <xdr:rowOff>76200</xdr:rowOff>
    </xdr:from>
    <xdr:to>
      <xdr:col>4</xdr:col>
      <xdr:colOff>1380700</xdr:colOff>
      <xdr:row>5</xdr:row>
      <xdr:rowOff>85725</xdr:rowOff>
    </xdr:to>
    <xdr:sp macro="" textlink="">
      <xdr:nvSpPr>
        <xdr:cNvPr id="13" name="clientPressed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1927225" y="654050"/>
          <a:ext cx="1339425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CLIENT</a:t>
          </a:r>
        </a:p>
      </xdr:txBody>
    </xdr:sp>
    <xdr:clientData/>
  </xdr:twoCellAnchor>
  <xdr:twoCellAnchor editAs="absolute">
    <xdr:from>
      <xdr:col>4</xdr:col>
      <xdr:colOff>1397000</xdr:colOff>
      <xdr:row>3</xdr:row>
      <xdr:rowOff>76200</xdr:rowOff>
    </xdr:from>
    <xdr:to>
      <xdr:col>7</xdr:col>
      <xdr:colOff>138250</xdr:colOff>
      <xdr:row>5</xdr:row>
      <xdr:rowOff>85725</xdr:rowOff>
    </xdr:to>
    <xdr:sp macro="" textlink="">
      <xdr:nvSpPr>
        <xdr:cNvPr id="14" name="orderPressed" hidden="1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3282950" y="654050"/>
          <a:ext cx="1440000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ORDER</a:t>
          </a:r>
        </a:p>
      </xdr:txBody>
    </xdr:sp>
    <xdr:clientData/>
  </xdr:twoCellAnchor>
  <xdr:twoCellAnchor editAs="absolute">
    <xdr:from>
      <xdr:col>7</xdr:col>
      <xdr:colOff>171450</xdr:colOff>
      <xdr:row>3</xdr:row>
      <xdr:rowOff>76200</xdr:rowOff>
    </xdr:from>
    <xdr:to>
      <xdr:col>9</xdr:col>
      <xdr:colOff>308641</xdr:colOff>
      <xdr:row>5</xdr:row>
      <xdr:rowOff>85725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4756150" y="654050"/>
          <a:ext cx="1440000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>
    <xdr:from>
      <xdr:col>40</xdr:col>
      <xdr:colOff>105833</xdr:colOff>
      <xdr:row>11</xdr:row>
      <xdr:rowOff>169334</xdr:rowOff>
    </xdr:from>
    <xdr:to>
      <xdr:col>40</xdr:col>
      <xdr:colOff>1232958</xdr:colOff>
      <xdr:row>14</xdr:row>
      <xdr:rowOff>164042</xdr:rowOff>
    </xdr:to>
    <xdr:sp macro="[0]!showClientTab" textlink="">
      <xdr:nvSpPr>
        <xdr:cNvPr id="16" name="Freccia a sinistra 15"/>
        <xdr:cNvSpPr/>
      </xdr:nvSpPr>
      <xdr:spPr>
        <a:xfrm>
          <a:off x="285750" y="2243667"/>
          <a:ext cx="1127125" cy="55033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M%20BHPC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hpc_data_dgn"/>
      <sheetName val="dgnFinal"/>
      <sheetName val="db_clienti"/>
      <sheetName val="bhpc_data"/>
      <sheetName val="dgn_calculation"/>
      <sheetName val="ORDER"/>
      <sheetName val="proformaModel"/>
      <sheetName val="plModel"/>
      <sheetName val="dgnModel"/>
    </sheetNames>
    <sheetDataSet>
      <sheetData sheetId="0"/>
      <sheetData sheetId="1"/>
      <sheetData sheetId="2"/>
      <sheetData sheetId="3"/>
      <sheetData sheetId="4">
        <row r="6">
          <cell r="E6">
            <v>24</v>
          </cell>
        </row>
      </sheetData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 Ducci" refreshedDate="45337.580436226854" createdVersion="3" refreshedVersion="3" minRefreshableVersion="3" recordCount="32">
  <cacheSource type="worksheet">
    <worksheetSource name="dbStorico"/>
  </cacheSource>
  <cacheFields count="9">
    <cacheField name="NO." numFmtId="0">
      <sharedItems containsSemiMixedTypes="0" containsString="0" containsNumber="1" containsInteger="1" minValue="1" maxValue="2"/>
    </cacheField>
    <cacheField name="DATE" numFmtId="177">
      <sharedItems containsSemiMixedTypes="0" containsNonDate="0" containsDate="1" containsString="0" minDate="2024-02-15T00:00:00" maxDate="2024-02-21T00:00:00" count="2">
        <d v="2024-02-15T00:00:00"/>
        <d v="2024-02-20T00:00:00"/>
      </sharedItems>
    </cacheField>
    <cacheField name="CLIENT" numFmtId="0">
      <sharedItems count="2">
        <s v="CIELOMED"/>
        <s v="PRESTIGE BRANDS"/>
      </sharedItems>
    </cacheField>
    <cacheField name="SKU" numFmtId="0">
      <sharedItems/>
    </cacheField>
    <cacheField name="QTY" numFmtId="0">
      <sharedItems containsSemiMixedTypes="0" containsString="0" containsNumber="1" containsInteger="1" minValue="3" maxValue="250"/>
    </cacheField>
    <cacheField name="PRICE" numFmtId="170">
      <sharedItems containsSemiMixedTypes="0" containsString="0" containsNumber="1" minValue="0" maxValue="15"/>
    </cacheField>
    <cacheField name="TOTAL" numFmtId="170">
      <sharedItems containsSemiMixedTypes="0" containsString="0" containsNumber="1" minValue="0" maxValue="1500"/>
    </cacheField>
    <cacheField name="SALE TYPE" numFmtId="0">
      <sharedItems count="2">
        <s v="NORMAL"/>
        <s v="FOC"/>
      </sharedItems>
    </cacheField>
    <cacheField name="CURRENC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n v="1"/>
    <x v="0"/>
    <x v="0"/>
    <s v="P06000"/>
    <n v="100"/>
    <n v="5"/>
    <n v="500"/>
    <x v="0"/>
    <s v="EUR"/>
  </r>
  <r>
    <n v="1"/>
    <x v="0"/>
    <x v="0"/>
    <s v="P06001"/>
    <n v="100"/>
    <n v="5"/>
    <n v="500"/>
    <x v="0"/>
    <s v="EUR"/>
  </r>
  <r>
    <n v="1"/>
    <x v="0"/>
    <x v="0"/>
    <s v="P06002"/>
    <n v="100"/>
    <n v="5"/>
    <n v="500"/>
    <x v="0"/>
    <s v="EUR"/>
  </r>
  <r>
    <n v="1"/>
    <x v="0"/>
    <x v="0"/>
    <s v="P06003"/>
    <n v="100"/>
    <n v="5"/>
    <n v="500"/>
    <x v="0"/>
    <s v="EUR"/>
  </r>
  <r>
    <n v="1"/>
    <x v="0"/>
    <x v="0"/>
    <s v="GS5004"/>
    <n v="100"/>
    <n v="6"/>
    <n v="600"/>
    <x v="0"/>
    <s v="EUR"/>
  </r>
  <r>
    <n v="1"/>
    <x v="0"/>
    <x v="0"/>
    <s v="GS5005"/>
    <n v="100"/>
    <n v="6"/>
    <n v="600"/>
    <x v="0"/>
    <s v="EUR"/>
  </r>
  <r>
    <n v="1"/>
    <x v="0"/>
    <x v="0"/>
    <s v="GS5006"/>
    <n v="100"/>
    <n v="6"/>
    <n v="600"/>
    <x v="0"/>
    <s v="EUR"/>
  </r>
  <r>
    <n v="1"/>
    <x v="0"/>
    <x v="0"/>
    <s v="GS5007"/>
    <n v="100"/>
    <n v="6"/>
    <n v="600"/>
    <x v="0"/>
    <s v="EUR"/>
  </r>
  <r>
    <n v="1"/>
    <x v="0"/>
    <x v="0"/>
    <s v="GSTRO3"/>
    <n v="100"/>
    <n v="15"/>
    <n v="1500"/>
    <x v="0"/>
    <s v="EUR"/>
  </r>
  <r>
    <n v="1"/>
    <x v="0"/>
    <x v="0"/>
    <s v="P06000"/>
    <n v="10"/>
    <n v="0"/>
    <n v="0"/>
    <x v="1"/>
    <s v="EUR"/>
  </r>
  <r>
    <n v="1"/>
    <x v="0"/>
    <x v="0"/>
    <s v="P06001"/>
    <n v="10"/>
    <n v="0"/>
    <n v="0"/>
    <x v="1"/>
    <s v="EUR"/>
  </r>
  <r>
    <n v="1"/>
    <x v="0"/>
    <x v="0"/>
    <s v="P06002"/>
    <n v="10"/>
    <n v="0"/>
    <n v="0"/>
    <x v="1"/>
    <s v="EUR"/>
  </r>
  <r>
    <n v="1"/>
    <x v="0"/>
    <x v="0"/>
    <s v="P06003"/>
    <n v="10"/>
    <n v="0"/>
    <n v="0"/>
    <x v="1"/>
    <s v="EUR"/>
  </r>
  <r>
    <n v="2"/>
    <x v="1"/>
    <x v="1"/>
    <s v="P05004"/>
    <n v="60"/>
    <n v="4.76"/>
    <n v="285.59999999999997"/>
    <x v="0"/>
    <s v="EUR"/>
  </r>
  <r>
    <n v="2"/>
    <x v="1"/>
    <x v="1"/>
    <s v="P05005"/>
    <n v="20"/>
    <n v="4.76"/>
    <n v="95.199999999999989"/>
    <x v="0"/>
    <s v="EUR"/>
  </r>
  <r>
    <n v="2"/>
    <x v="1"/>
    <x v="1"/>
    <s v="P05006"/>
    <n v="40"/>
    <n v="4.76"/>
    <n v="190.39999999999998"/>
    <x v="0"/>
    <s v="EUR"/>
  </r>
  <r>
    <n v="2"/>
    <x v="1"/>
    <x v="1"/>
    <s v="P05007"/>
    <n v="40"/>
    <n v="4.76"/>
    <n v="190.39999999999998"/>
    <x v="0"/>
    <s v="EUR"/>
  </r>
  <r>
    <n v="2"/>
    <x v="1"/>
    <x v="1"/>
    <s v="P05050"/>
    <n v="50"/>
    <n v="4.76"/>
    <n v="238"/>
    <x v="0"/>
    <s v="EUR"/>
  </r>
  <r>
    <n v="2"/>
    <x v="1"/>
    <x v="1"/>
    <s v="P05051"/>
    <n v="40"/>
    <n v="4.76"/>
    <n v="190.39999999999998"/>
    <x v="0"/>
    <s v="EUR"/>
  </r>
  <r>
    <n v="2"/>
    <x v="1"/>
    <x v="1"/>
    <s v="P05052"/>
    <n v="30"/>
    <n v="4.76"/>
    <n v="142.79999999999998"/>
    <x v="0"/>
    <s v="EUR"/>
  </r>
  <r>
    <n v="2"/>
    <x v="1"/>
    <x v="1"/>
    <s v="GS5004"/>
    <n v="100"/>
    <n v="5.6"/>
    <n v="560"/>
    <x v="0"/>
    <s v="EUR"/>
  </r>
  <r>
    <n v="2"/>
    <x v="1"/>
    <x v="1"/>
    <s v="GS5005"/>
    <n v="250"/>
    <n v="5.6"/>
    <n v="1400"/>
    <x v="0"/>
    <s v="EUR"/>
  </r>
  <r>
    <n v="2"/>
    <x v="1"/>
    <x v="1"/>
    <s v="GS5006"/>
    <n v="60"/>
    <n v="5.6"/>
    <n v="336"/>
    <x v="0"/>
    <s v="EUR"/>
  </r>
  <r>
    <n v="2"/>
    <x v="1"/>
    <x v="1"/>
    <s v="GS5007"/>
    <n v="250"/>
    <n v="5.6"/>
    <n v="1400"/>
    <x v="0"/>
    <s v="EUR"/>
  </r>
  <r>
    <n v="2"/>
    <x v="1"/>
    <x v="1"/>
    <s v="GS5050"/>
    <n v="40"/>
    <n v="5.6"/>
    <n v="224"/>
    <x v="0"/>
    <s v="EUR"/>
  </r>
  <r>
    <n v="2"/>
    <x v="1"/>
    <x v="1"/>
    <s v="P05004"/>
    <n v="10"/>
    <n v="0"/>
    <n v="0"/>
    <x v="1"/>
    <s v="EUR"/>
  </r>
  <r>
    <n v="2"/>
    <x v="1"/>
    <x v="1"/>
    <s v="P05005"/>
    <n v="3"/>
    <n v="0"/>
    <n v="0"/>
    <x v="1"/>
    <s v="EUR"/>
  </r>
  <r>
    <n v="2"/>
    <x v="1"/>
    <x v="1"/>
    <s v="P05006"/>
    <n v="7"/>
    <n v="0"/>
    <n v="0"/>
    <x v="1"/>
    <s v="EUR"/>
  </r>
  <r>
    <n v="2"/>
    <x v="1"/>
    <x v="1"/>
    <s v="P05007"/>
    <n v="7"/>
    <n v="0"/>
    <n v="0"/>
    <x v="1"/>
    <s v="EUR"/>
  </r>
  <r>
    <n v="2"/>
    <x v="1"/>
    <x v="1"/>
    <s v="P05050"/>
    <n v="8"/>
    <n v="0"/>
    <n v="0"/>
    <x v="1"/>
    <s v="EUR"/>
  </r>
  <r>
    <n v="2"/>
    <x v="1"/>
    <x v="1"/>
    <s v="P05051"/>
    <n v="7"/>
    <n v="0"/>
    <n v="0"/>
    <x v="1"/>
    <s v="EUR"/>
  </r>
  <r>
    <n v="2"/>
    <x v="1"/>
    <x v="1"/>
    <s v="P05052"/>
    <n v="5"/>
    <n v="0"/>
    <n v="0"/>
    <x v="1"/>
    <s v="EU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A1:C7" firstHeaderRow="1" firstDataRow="2" firstDataCol="1"/>
  <pivotFields count="9">
    <pivotField showAll="0"/>
    <pivotField axis="axisRow" numFmtId="177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170" showAll="0"/>
    <pivotField dataField="1" numFmtId="170" showAll="0" defaultSubtotal="0"/>
    <pivotField showAll="0"/>
    <pivotField showAll="0"/>
  </pivotFields>
  <rowFields count="2">
    <field x="2"/>
    <field x="1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QTY" fld="4" baseField="0" baseItem="0"/>
    <dataField name="Somma di TOTAL" fld="6" baseField="0" baseItem="0"/>
  </dataFields>
  <formats count="1">
    <format dxfId="0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la_pivot2" cacheId="0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E1:H5" firstHeaderRow="1" firstDataRow="2" firstDataCol="1"/>
  <pivotFields count="9">
    <pivotField showAll="0"/>
    <pivotField numFmtId="177" showAll="0"/>
    <pivotField axis="axisCol" showAll="0">
      <items count="3">
        <item x="0"/>
        <item x="1"/>
        <item t="default"/>
      </items>
    </pivotField>
    <pivotField showAll="0"/>
    <pivotField dataField="1" showAll="0"/>
    <pivotField numFmtId="170" showAll="0"/>
    <pivotField numFmtId="170" showAll="0" defaultSubtotal="0"/>
    <pivotField axis="axisRow" showAll="0">
      <items count="3">
        <item x="0"/>
        <item x="1"/>
        <item t="default"/>
      </items>
    </pivotField>
    <pivotField showAll="0"/>
  </pivotFields>
  <rowFields count="1">
    <field x="7"/>
  </rowFields>
  <rowItems count="3">
    <i>
      <x/>
    </i>
    <i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ma di QTY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5" name="dbClienti" displayName="dbClienti" ref="A2:S27" totalsRowShown="0" headerRowDxfId="106" dataDxfId="105">
  <autoFilter ref="A2:S27">
    <filterColumn colId="8"/>
    <filterColumn colId="9"/>
  </autoFilter>
  <sortState ref="A3:S27">
    <sortCondition ref="A2:A27"/>
  </sortState>
  <tableColumns count="19">
    <tableColumn id="1" name="cod_cliente" dataDxfId="104"/>
    <tableColumn id="2" name="country" dataDxfId="103"/>
    <tableColumn id="3" name="payment_account" dataDxfId="102"/>
    <tableColumn id="4" name="company_name1"/>
    <tableColumn id="5" name="company_name2"/>
    <tableColumn id="6" name="logistic_address1"/>
    <tableColumn id="7" name="logistic_address2"/>
    <tableColumn id="8" name="logistic_address3" dataDxfId="101"/>
    <tableColumn id="18" name="logistic_address4" dataDxfId="100"/>
    <tableColumn id="19" name="logistic_address5" dataDxfId="99"/>
    <tableColumn id="15" name="hq_address1" dataDxfId="98"/>
    <tableColumn id="16" name="hq_address2" dataDxfId="97"/>
    <tableColumn id="17" name="hq_address3" dataDxfId="96"/>
    <tableColumn id="9" name="vat_no" dataDxfId="95"/>
    <tableColumn id="10" name="payment_method" dataDxfId="94"/>
    <tableColumn id="11" name="incoterms"/>
    <tableColumn id="12" name="currency" dataDxfId="93"/>
    <tableColumn id="13" name="vat_code" dataDxfId="92"/>
    <tableColumn id="14" name="legal_references" dataDxfId="9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bhpc_data" displayName="bhpc_data" ref="A1:Z77" totalsRowShown="0" headerRowDxfId="90" dataDxfId="89">
  <autoFilter ref="A1:Z77"/>
  <sortState ref="A2:Z77">
    <sortCondition ref="S1:S77"/>
  </sortState>
  <tableColumns count="26">
    <tableColumn id="1" name="sku" dataDxfId="88"/>
    <tableColumn id="2" name="category" dataDxfId="87"/>
    <tableColumn id="3" name="nr_of_products" dataDxfId="86"/>
    <tableColumn id="4" name="sex" dataDxfId="85"/>
    <tableColumn id="5" name="ean" dataDxfId="84"/>
    <tableColumn id="6" name="hs_code" dataDxfId="83"/>
    <tableColumn id="7" name="description" dataDxfId="82"/>
    <tableColumn id="8" name="unit" dataDxfId="81"/>
    <tableColumn id="9" name="units_per_carton" dataDxfId="80"/>
    <tableColumn id="10" name="box_per_pallet" dataDxfId="79"/>
    <tableColumn id="11" name="box_per_layer" dataDxfId="78"/>
    <tableColumn id="12" name="layers_per_pallet" dataDxfId="77"/>
    <tableColumn id="13" name="cif_price_per_unit" dataDxfId="76"/>
    <tableColumn id="14" name="lenght" dataDxfId="75"/>
    <tableColumn id="15" name="width" dataDxfId="74"/>
    <tableColumn id="16" name="height" dataDxfId="73"/>
    <tableColumn id="17" name="net_weight" dataDxfId="72"/>
    <tableColumn id="18" name="gross_weight" dataDxfId="71"/>
    <tableColumn id="19" name="size12" dataDxfId="70"/>
    <tableColumn id="20" name="size22" dataDxfId="69"/>
    <tableColumn id="21" name="size3" dataDxfId="68"/>
    <tableColumn id="22" name="product1_weight" dataDxfId="67"/>
    <tableColumn id="23" name="product2_weight" dataDxfId="66"/>
    <tableColumn id="24" name="product3_weight" dataDxfId="65"/>
    <tableColumn id="25" name="product4_weight" dataDxfId="64"/>
    <tableColumn id="26" name="country_of_origin" dataDxfId="6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dgn_data" displayName="dgn_data" ref="AB1:AL77" totalsRowShown="0" headerRowDxfId="62" dataDxfId="61" headerRowCellStyle="Normale 2" dataCellStyle="Normale 2">
  <autoFilter ref="AB1:AL77"/>
  <tableColumns count="11">
    <tableColumn id="1" name="normal_boxes" dataDxfId="60" dataCellStyle="Normale 2">
      <calculatedColumnFormula>ROUNDUP(dgn_data[[#This Row],[order]]/bhpc_data[[#This Row],[units_per_carton]],0)</calculatedColumnFormula>
    </tableColumn>
    <tableColumn id="2" name="testers_boxes" dataDxfId="59" dataCellStyle="Normale 2">
      <calculatedColumnFormula>dgn_data[[#This Row],[foc_order]]/bhpc_data[[#This Row],[units_per_carton]]</calculatedColumnFormula>
    </tableColumn>
    <tableColumn id="3" name="unit_net_weight" dataDxfId="58" dataCellStyle="Normale 2">
      <calculatedColumnFormula>(bhpc_data[[#This Row],[net_weight]]/bhpc_data[[#This Row],[units_per_carton]])*dgn_data[[#This Row],[tot_order]]*bhpc_data[[#This Row],[product1_weight]]</calculatedColumnFormula>
    </tableColumn>
    <tableColumn id="9" name="unit_net_weight2" dataDxfId="57" dataCellStyle="Normale 2">
      <calculatedColumnFormula>(bhpc_data[[#This Row],[net_weight]]/bhpc_data[[#This Row],[units_per_carton]])*dgn_data[[#This Row],[tot_order]]*bhpc_data[[#This Row],[product2_weight]]</calculatedColumnFormula>
    </tableColumn>
    <tableColumn id="4" name="unit_gross_weight" dataDxfId="56" dataCellStyle="Normale 2">
      <calculatedColumnFormula>(bhpc_data[[#This Row],[gross_weight]]/bhpc_data[[#This Row],[units_per_carton]])*dgn_data[[#This Row],[tot_order]]*bhpc_data[[#This Row],[product1_weight]]</calculatedColumnFormula>
    </tableColumn>
    <tableColumn id="10" name="unit_gross_weight2" dataDxfId="55" dataCellStyle="Normale 2">
      <calculatedColumnFormula>(bhpc_data[[#This Row],[gross_weight]]/bhpc_data[[#This Row],[units_per_carton]])*dgn_data[[#This Row],[tot_order]]*bhpc_data[[#This Row],[product2_weight]]</calculatedColumnFormula>
    </tableColumn>
    <tableColumn id="5" name="cbm" dataDxfId="54" dataCellStyle="Normale 2">
      <calculatedColumnFormula>(bhpc_data[[#This Row],[lenght]]*bhpc_data[[#This Row],[width]]*bhpc_data[[#This Row],[height]])/1000000000*dgn_data[[#This Row],[tot_order]]/bhpc_data[[#This Row],[units_per_carton]]*bhpc_data[[#This Row],[product1_weight]]</calculatedColumnFormula>
    </tableColumn>
    <tableColumn id="11" name="cbm2" dataDxfId="53" dataCellStyle="Normale 2">
      <calculatedColumnFormula>(bhpc_data[[#This Row],[lenght]]*bhpc_data[[#This Row],[width]]*bhpc_data[[#This Row],[height]])/1000000000*dgn_data[[#This Row],[tot_order]]/bhpc_data[[#This Row],[units_per_carton]]*bhpc_data[[#This Row],[product2_weight]]</calculatedColumnFormula>
    </tableColumn>
    <tableColumn id="6" name="order" dataDxfId="52" dataCellStyle="Normale 2">
      <calculatedColumnFormula>SUMIF('ORDER ENTRY FORM'!$C$4:$C$61,bhpc_data[[#This Row],[sku]],'ORDER ENTRY FORM'!$E$4:$E$61)</calculatedColumnFormula>
    </tableColumn>
    <tableColumn id="7" name="foc_order" dataDxfId="51" dataCellStyle="Normale 2">
      <calculatedColumnFormula>SUMIF('ORDER ENTRY FORM'!$C$4:$C$61,bhpc_data[[#This Row],[sku]],'ORDER ENTRY FORM'!#REF!)</calculatedColumnFormula>
    </tableColumn>
    <tableColumn id="8" name="tot_order" dataDxfId="50" dataCellStyle="Normale 2">
      <calculatedColumnFormula>dgn_data[[#This Row],[order]]+dgn_data[[#This Row],[foc_order]]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salesHistory" displayName="salesHistory" ref="A1:K33" totalsRowShown="0" headerRowDxfId="47" dataDxfId="46">
  <autoFilter ref="A1:K33">
    <filterColumn colId="2"/>
  </autoFilter>
  <sortState ref="A2:K33">
    <sortCondition descending="1" ref="B1:B1048576"/>
  </sortState>
  <tableColumns count="11">
    <tableColumn id="1" name="order_no" dataDxfId="45"/>
    <tableColumn id="4" name="sku" dataDxfId="44"/>
    <tableColumn id="7" name="description" dataDxfId="43"/>
    <tableColumn id="5" name="qty" dataDxfId="42"/>
    <tableColumn id="10" name="cost_price" dataDxfId="41"/>
    <tableColumn id="6" name="sale_price" dataDxfId="40"/>
    <tableColumn id="3" name="disc_qty" dataDxfId="39"/>
    <tableColumn id="8" name="disc_price" dataDxfId="38"/>
    <tableColumn id="11" name="foc_qty" dataDxfId="37"/>
    <tableColumn id="2" name="tot_cost" dataDxfId="36"/>
    <tableColumn id="9" name="tot_sold" dataDxfId="3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orderHistory" displayName="orderHistory" ref="A2:X8" totalsRowShown="0" headerRowDxfId="34">
  <autoFilter ref="A2:X8">
    <filterColumn colId="9"/>
    <filterColumn colId="10"/>
  </autoFilter>
  <sortState ref="A3:X8">
    <sortCondition descending="1" ref="F1:F1048576"/>
  </sortState>
  <tableColumns count="24">
    <tableColumn id="1" name="order_id" dataDxfId="33"/>
    <tableColumn id="2" name="order_date" dataDxfId="32"/>
    <tableColumn id="3" name="customer" dataDxfId="31"/>
    <tableColumn id="4" name="currency" dataDxfId="30"/>
    <tableColumn id="5" name="exchange_rate" dataDxfId="29"/>
    <tableColumn id="6" name="carton_no" dataDxfId="28"/>
    <tableColumn id="7" name="incoterms" dataDxfId="27"/>
    <tableColumn id="8" name="pallet_type" dataDxfId="26"/>
    <tableColumn id="9" name="pallet_no" dataDxfId="25"/>
    <tableColumn id="24" name="net_weight" dataDxfId="24"/>
    <tableColumn id="23" name="gross_weight" dataDxfId="23"/>
    <tableColumn id="10" name="logistic_notes" dataDxfId="22"/>
    <tableColumn id="11" name="carrier_name" dataDxfId="21"/>
    <tableColumn id="12" name="carrier_cost" dataDxfId="20"/>
    <tableColumn id="20" name="status" dataDxfId="19"/>
    <tableColumn id="14" name="invoice_no" dataDxfId="18"/>
    <tableColumn id="15" name="invoice_date" dataDxfId="17"/>
    <tableColumn id="16" name="payment_type"/>
    <tableColumn id="17" name="payment_date" dataDxfId="16"/>
    <tableColumn id="22" name="payed" dataDxfId="15"/>
    <tableColumn id="21" name="cost_of_goods" dataDxfId="14"/>
    <tableColumn id="18" name="amount_sold" dataDxfId="13"/>
    <tableColumn id="19" name="profit" dataDxfId="12">
      <calculatedColumnFormula>orderHistory[[#This Row],[amount_sold]]-orderHistory[[#This Row],[cost_of_goods]]</calculatedColumnFormula>
    </tableColumn>
    <tableColumn id="13" name="other_notes" dataDxfId="1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5"/>
  <dimension ref="A1:S27"/>
  <sheetViews>
    <sheetView workbookViewId="0">
      <pane xSplit="1" ySplit="2" topLeftCell="B3" activePane="bottomRight" state="frozen"/>
      <selection activeCell="H55" sqref="H55"/>
      <selection pane="topRight" activeCell="H55" sqref="H55"/>
      <selection pane="bottomLeft" activeCell="H55" sqref="H55"/>
      <selection pane="bottomRight" activeCell="A8" sqref="A8:A9"/>
    </sheetView>
  </sheetViews>
  <sheetFormatPr defaultColWidth="8.7265625" defaultRowHeight="14.5"/>
  <cols>
    <col min="1" max="1" width="18.453125" style="133" customWidth="1"/>
    <col min="2" max="2" width="13.7265625" style="1" customWidth="1"/>
    <col min="3" max="3" width="85.453125" style="133" bestFit="1" customWidth="1"/>
    <col min="4" max="4" width="39.453125" bestFit="1" customWidth="1"/>
    <col min="5" max="5" width="31.26953125" customWidth="1"/>
    <col min="6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4" style="188" bestFit="1" customWidth="1"/>
    <col min="12" max="13" width="31.26953125" style="188" customWidth="1"/>
    <col min="14" max="14" width="31.26953125" customWidth="1"/>
    <col min="15" max="15" width="32.54296875" style="1" bestFit="1" customWidth="1"/>
    <col min="16" max="16" width="55.81640625" customWidth="1"/>
    <col min="17" max="17" width="12" style="1" bestFit="1" customWidth="1"/>
    <col min="18" max="18" width="8.7265625" style="135"/>
    <col min="19" max="19" width="31.7265625" style="1" customWidth="1"/>
  </cols>
  <sheetData>
    <row r="1" spans="1:19" s="257" customFormat="1">
      <c r="A1" s="257">
        <f ca="1">COUNTA(clientId)</f>
        <v>25</v>
      </c>
      <c r="B1" s="257" t="s">
        <v>434</v>
      </c>
      <c r="C1" s="257" t="s">
        <v>435</v>
      </c>
      <c r="D1" s="257" t="s">
        <v>433</v>
      </c>
      <c r="E1" s="257" t="s">
        <v>445</v>
      </c>
      <c r="F1" s="257" t="s">
        <v>439</v>
      </c>
      <c r="G1" s="257" t="s">
        <v>440</v>
      </c>
      <c r="H1" s="257" t="s">
        <v>441</v>
      </c>
      <c r="K1" s="283"/>
      <c r="L1" s="283"/>
      <c r="M1" s="283"/>
      <c r="N1" s="257" t="s">
        <v>444</v>
      </c>
      <c r="O1" s="257" t="s">
        <v>436</v>
      </c>
      <c r="P1" s="257" t="s">
        <v>437</v>
      </c>
      <c r="Q1" s="257" t="s">
        <v>438</v>
      </c>
      <c r="R1" s="258"/>
    </row>
    <row r="2" spans="1:19" s="19" customFormat="1">
      <c r="A2" s="19" t="s">
        <v>564</v>
      </c>
      <c r="B2" s="19" t="s">
        <v>565</v>
      </c>
      <c r="C2" s="19" t="s">
        <v>566</v>
      </c>
      <c r="D2" s="19" t="s">
        <v>567</v>
      </c>
      <c r="E2" s="19" t="s">
        <v>568</v>
      </c>
      <c r="F2" s="19" t="s">
        <v>569</v>
      </c>
      <c r="G2" s="19" t="s">
        <v>570</v>
      </c>
      <c r="H2" s="19" t="s">
        <v>571</v>
      </c>
      <c r="I2" s="19" t="s">
        <v>598</v>
      </c>
      <c r="J2" s="19" t="s">
        <v>599</v>
      </c>
      <c r="K2" s="19" t="s">
        <v>572</v>
      </c>
      <c r="L2" s="19" t="s">
        <v>573</v>
      </c>
      <c r="M2" s="19" t="s">
        <v>574</v>
      </c>
      <c r="N2" s="19" t="s">
        <v>575</v>
      </c>
      <c r="O2" s="19" t="s">
        <v>576</v>
      </c>
      <c r="P2" s="19" t="s">
        <v>390</v>
      </c>
      <c r="Q2" s="19" t="s">
        <v>389</v>
      </c>
      <c r="R2" s="132" t="s">
        <v>577</v>
      </c>
      <c r="S2" s="19" t="s">
        <v>578</v>
      </c>
    </row>
    <row r="3" spans="1:19">
      <c r="A3" s="133" t="s">
        <v>474</v>
      </c>
      <c r="B3" s="1" t="s">
        <v>476</v>
      </c>
      <c r="C3" s="133" t="s">
        <v>582</v>
      </c>
      <c r="D3" s="133" t="s">
        <v>611</v>
      </c>
      <c r="E3" s="133"/>
      <c r="F3" s="133" t="s">
        <v>602</v>
      </c>
      <c r="G3" s="133" t="s">
        <v>583</v>
      </c>
      <c r="H3" s="134" t="s">
        <v>579</v>
      </c>
      <c r="I3" s="134"/>
      <c r="J3" s="134"/>
      <c r="K3" s="133" t="s">
        <v>603</v>
      </c>
      <c r="L3" s="282" t="s">
        <v>604</v>
      </c>
      <c r="M3" s="262" t="s">
        <v>579</v>
      </c>
      <c r="N3" s="134" t="s">
        <v>580</v>
      </c>
      <c r="O3" s="1" t="s">
        <v>307</v>
      </c>
      <c r="P3" t="s">
        <v>581</v>
      </c>
      <c r="Q3" s="1" t="s">
        <v>271</v>
      </c>
      <c r="R3" s="135" t="s">
        <v>275</v>
      </c>
      <c r="S3" s="1" t="s">
        <v>274</v>
      </c>
    </row>
    <row r="4" spans="1:19">
      <c r="A4" s="357" t="s">
        <v>584</v>
      </c>
      <c r="B4" s="358" t="s">
        <v>585</v>
      </c>
      <c r="C4" s="365" t="s">
        <v>582</v>
      </c>
      <c r="D4" s="361" t="s">
        <v>584</v>
      </c>
      <c r="E4" s="361"/>
      <c r="F4" s="361" t="s">
        <v>595</v>
      </c>
      <c r="G4" s="361" t="s">
        <v>596</v>
      </c>
      <c r="H4" s="359" t="s">
        <v>597</v>
      </c>
      <c r="I4" s="359" t="s">
        <v>600</v>
      </c>
      <c r="J4" s="359" t="s">
        <v>601</v>
      </c>
      <c r="K4" s="360" t="s">
        <v>605</v>
      </c>
      <c r="L4" s="360" t="s">
        <v>606</v>
      </c>
      <c r="M4" s="360"/>
      <c r="N4" s="359" t="s">
        <v>586</v>
      </c>
      <c r="O4" s="1" t="s">
        <v>307</v>
      </c>
      <c r="P4" s="361" t="s">
        <v>607</v>
      </c>
      <c r="Q4" s="358" t="s">
        <v>271</v>
      </c>
      <c r="R4" s="135" t="s">
        <v>275</v>
      </c>
      <c r="S4" s="1" t="s">
        <v>274</v>
      </c>
    </row>
    <row r="5" spans="1:19">
      <c r="A5" s="357" t="s">
        <v>533</v>
      </c>
      <c r="B5" s="358" t="s">
        <v>551</v>
      </c>
      <c r="C5" s="357"/>
      <c r="D5" s="357"/>
      <c r="E5" s="357"/>
      <c r="F5" s="357"/>
      <c r="G5" s="357"/>
      <c r="H5" s="359"/>
      <c r="I5" s="359"/>
      <c r="J5" s="359"/>
      <c r="K5" s="360"/>
      <c r="L5" s="360"/>
      <c r="M5" s="360"/>
      <c r="N5" s="359"/>
      <c r="O5" s="358"/>
      <c r="P5" s="361"/>
      <c r="Q5" s="358"/>
      <c r="R5" s="362"/>
      <c r="S5" s="358"/>
    </row>
    <row r="6" spans="1:19">
      <c r="A6" s="357" t="s">
        <v>534</v>
      </c>
      <c r="B6" s="358" t="s">
        <v>552</v>
      </c>
      <c r="C6" s="357"/>
      <c r="D6" s="357"/>
      <c r="E6" s="357"/>
      <c r="F6" s="357"/>
      <c r="G6" s="357"/>
      <c r="H6" s="359"/>
      <c r="I6" s="359"/>
      <c r="J6" s="359"/>
      <c r="K6" s="360"/>
      <c r="L6" s="360"/>
      <c r="M6" s="360"/>
      <c r="N6" s="359"/>
      <c r="O6" s="358"/>
      <c r="P6" s="361"/>
      <c r="Q6" s="358"/>
      <c r="R6" s="363"/>
      <c r="S6" s="358"/>
    </row>
    <row r="7" spans="1:19">
      <c r="A7" s="357" t="s">
        <v>535</v>
      </c>
      <c r="B7" s="358" t="s">
        <v>138</v>
      </c>
      <c r="C7" s="357"/>
      <c r="D7" s="357"/>
      <c r="E7" s="357"/>
      <c r="F7" s="357"/>
      <c r="G7" s="357"/>
      <c r="H7" s="359"/>
      <c r="I7" s="359"/>
      <c r="J7" s="359"/>
      <c r="K7" s="360"/>
      <c r="L7" s="360"/>
      <c r="M7" s="360"/>
      <c r="N7" s="359"/>
      <c r="O7" s="358"/>
      <c r="P7" s="361"/>
      <c r="Q7" s="358"/>
      <c r="R7" s="362"/>
      <c r="S7" s="358"/>
    </row>
    <row r="8" spans="1:19">
      <c r="A8" s="133" t="s">
        <v>536</v>
      </c>
      <c r="B8" s="1" t="s">
        <v>553</v>
      </c>
      <c r="H8" s="355"/>
      <c r="I8" s="355"/>
      <c r="J8" s="355"/>
      <c r="K8" s="356"/>
      <c r="L8" s="356"/>
      <c r="M8" s="356"/>
      <c r="N8" s="355"/>
    </row>
    <row r="9" spans="1:19">
      <c r="A9" s="133" t="s">
        <v>612</v>
      </c>
      <c r="H9" s="355"/>
      <c r="I9" s="355"/>
      <c r="J9" s="355"/>
      <c r="K9" s="356"/>
      <c r="L9" s="356"/>
      <c r="M9" s="356"/>
      <c r="N9" s="355"/>
    </row>
    <row r="10" spans="1:19">
      <c r="A10" s="133" t="s">
        <v>300</v>
      </c>
      <c r="B10" s="1" t="s">
        <v>301</v>
      </c>
      <c r="C10" s="133" t="s">
        <v>486</v>
      </c>
      <c r="D10" t="s">
        <v>266</v>
      </c>
      <c r="F10" t="s">
        <v>267</v>
      </c>
      <c r="G10" t="s">
        <v>268</v>
      </c>
      <c r="H10" s="134" t="s">
        <v>269</v>
      </c>
      <c r="I10" s="134"/>
      <c r="J10" s="134"/>
      <c r="K10" s="281"/>
      <c r="L10" s="281"/>
      <c r="M10" s="281"/>
      <c r="N10" s="134" t="s">
        <v>442</v>
      </c>
      <c r="O10" s="1" t="s">
        <v>307</v>
      </c>
      <c r="P10" t="s">
        <v>308</v>
      </c>
      <c r="Q10" s="1" t="s">
        <v>271</v>
      </c>
      <c r="R10" s="135" t="s">
        <v>275</v>
      </c>
      <c r="S10" s="1" t="s">
        <v>274</v>
      </c>
    </row>
    <row r="11" spans="1:19">
      <c r="A11" s="133" t="s">
        <v>537</v>
      </c>
      <c r="B11" s="1" t="s">
        <v>554</v>
      </c>
      <c r="H11" s="355"/>
      <c r="I11" s="355"/>
      <c r="J11" s="355"/>
      <c r="K11" s="356"/>
      <c r="L11" s="356"/>
      <c r="M11" s="356"/>
      <c r="N11" s="355"/>
    </row>
    <row r="12" spans="1:19">
      <c r="A12" s="133" t="s">
        <v>538</v>
      </c>
      <c r="B12" s="1" t="s">
        <v>333</v>
      </c>
      <c r="H12" s="355"/>
      <c r="I12" s="355"/>
      <c r="J12" s="355"/>
      <c r="K12" s="356"/>
      <c r="L12" s="356"/>
      <c r="M12" s="356"/>
      <c r="N12" s="355"/>
    </row>
    <row r="13" spans="1:19">
      <c r="A13" s="133" t="s">
        <v>539</v>
      </c>
      <c r="B13" s="1" t="s">
        <v>555</v>
      </c>
      <c r="H13" s="355"/>
      <c r="I13" s="355"/>
      <c r="J13" s="355"/>
      <c r="K13" s="356"/>
      <c r="L13" s="356"/>
      <c r="M13" s="356"/>
      <c r="N13" s="355"/>
    </row>
    <row r="14" spans="1:19">
      <c r="A14" s="357" t="s">
        <v>540</v>
      </c>
      <c r="B14" s="358" t="s">
        <v>556</v>
      </c>
      <c r="C14" s="357"/>
      <c r="D14" s="361"/>
      <c r="E14" s="361"/>
      <c r="F14" s="361"/>
      <c r="G14" s="361"/>
      <c r="H14" s="359"/>
      <c r="I14" s="359"/>
      <c r="J14" s="359"/>
      <c r="K14" s="360"/>
      <c r="L14" s="360"/>
      <c r="M14" s="360"/>
      <c r="N14" s="359"/>
      <c r="O14" s="358"/>
      <c r="P14" s="361"/>
      <c r="Q14" s="358"/>
      <c r="R14" s="362"/>
      <c r="S14" s="358"/>
    </row>
    <row r="15" spans="1:19">
      <c r="A15" s="357" t="s">
        <v>587</v>
      </c>
      <c r="B15" s="358" t="s">
        <v>588</v>
      </c>
      <c r="C15" s="357" t="s">
        <v>589</v>
      </c>
      <c r="D15" s="361" t="s">
        <v>590</v>
      </c>
      <c r="E15" s="361"/>
      <c r="F15" s="366" t="s">
        <v>608</v>
      </c>
      <c r="G15" s="366" t="s">
        <v>609</v>
      </c>
      <c r="H15" s="366" t="s">
        <v>610</v>
      </c>
      <c r="I15" s="366"/>
      <c r="J15" s="366"/>
      <c r="K15" s="366" t="s">
        <v>591</v>
      </c>
      <c r="L15" s="366" t="s">
        <v>592</v>
      </c>
      <c r="M15" s="366" t="s">
        <v>593</v>
      </c>
      <c r="N15" s="364" t="s">
        <v>594</v>
      </c>
      <c r="O15" s="1" t="s">
        <v>307</v>
      </c>
      <c r="P15" s="361" t="s">
        <v>607</v>
      </c>
      <c r="Q15" s="358" t="s">
        <v>271</v>
      </c>
      <c r="R15" s="135" t="s">
        <v>275</v>
      </c>
      <c r="S15" s="1" t="s">
        <v>274</v>
      </c>
    </row>
    <row r="16" spans="1:19">
      <c r="A16" s="357" t="s">
        <v>541</v>
      </c>
      <c r="B16" s="358" t="s">
        <v>557</v>
      </c>
      <c r="C16" s="357"/>
      <c r="D16" s="361"/>
      <c r="E16" s="361"/>
      <c r="F16" s="361"/>
      <c r="G16" s="361"/>
      <c r="H16" s="359"/>
      <c r="I16" s="359"/>
      <c r="J16" s="359"/>
      <c r="K16" s="360"/>
      <c r="L16" s="360"/>
      <c r="M16" s="360"/>
      <c r="N16" s="359"/>
      <c r="O16" s="358"/>
      <c r="P16" s="361"/>
      <c r="Q16" s="358"/>
      <c r="R16" s="362"/>
      <c r="S16" s="358"/>
    </row>
    <row r="17" spans="1:19">
      <c r="A17" s="133" t="s">
        <v>473</v>
      </c>
      <c r="B17" s="1" t="s">
        <v>475</v>
      </c>
      <c r="C17" s="133" t="s">
        <v>485</v>
      </c>
      <c r="D17" s="134" t="s">
        <v>480</v>
      </c>
      <c r="E17" s="134"/>
      <c r="F17" s="134" t="s">
        <v>481</v>
      </c>
      <c r="G17" s="134" t="s">
        <v>482</v>
      </c>
      <c r="H17" s="262"/>
      <c r="I17" s="262"/>
      <c r="J17" s="262"/>
      <c r="K17" s="282"/>
      <c r="L17" s="282"/>
      <c r="M17" s="282"/>
      <c r="N17" s="134" t="s">
        <v>483</v>
      </c>
      <c r="O17" s="1" t="s">
        <v>464</v>
      </c>
      <c r="P17" t="s">
        <v>484</v>
      </c>
      <c r="Q17" s="1" t="s">
        <v>271</v>
      </c>
      <c r="R17" s="263" t="s">
        <v>275</v>
      </c>
      <c r="S17" s="1" t="s">
        <v>274</v>
      </c>
    </row>
    <row r="18" spans="1:19">
      <c r="A18" s="357" t="s">
        <v>542</v>
      </c>
      <c r="B18" s="358" t="s">
        <v>558</v>
      </c>
      <c r="C18" s="357"/>
      <c r="D18" s="361"/>
      <c r="E18" s="361"/>
      <c r="F18" s="361"/>
      <c r="G18" s="361"/>
      <c r="H18" s="359"/>
      <c r="I18" s="359"/>
      <c r="J18" s="359"/>
      <c r="K18" s="360"/>
      <c r="L18" s="360"/>
      <c r="M18" s="360"/>
      <c r="N18" s="359"/>
      <c r="O18" s="358"/>
      <c r="P18" s="361"/>
      <c r="Q18" s="358"/>
      <c r="R18" s="362"/>
      <c r="S18" s="358"/>
    </row>
    <row r="19" spans="1:19">
      <c r="A19" s="357" t="s">
        <v>543</v>
      </c>
      <c r="B19" s="358" t="s">
        <v>559</v>
      </c>
      <c r="C19" s="357"/>
      <c r="D19" s="361"/>
      <c r="E19" s="361"/>
      <c r="F19" s="361"/>
      <c r="G19" s="361"/>
      <c r="H19" s="359"/>
      <c r="I19" s="359"/>
      <c r="J19" s="359"/>
      <c r="K19" s="360"/>
      <c r="L19" s="360"/>
      <c r="M19" s="360"/>
      <c r="N19" s="359"/>
      <c r="O19" s="358"/>
      <c r="P19" s="361"/>
      <c r="Q19" s="358"/>
      <c r="R19" s="362"/>
      <c r="S19" s="358"/>
    </row>
    <row r="20" spans="1:19">
      <c r="A20" s="357" t="s">
        <v>544</v>
      </c>
      <c r="B20" s="358"/>
      <c r="C20" s="357"/>
      <c r="D20" s="361"/>
      <c r="E20" s="361"/>
      <c r="F20" s="361"/>
      <c r="G20" s="361"/>
      <c r="H20" s="359"/>
      <c r="I20" s="359"/>
      <c r="J20" s="359"/>
      <c r="K20" s="360"/>
      <c r="L20" s="360"/>
      <c r="M20" s="360"/>
      <c r="N20" s="359"/>
      <c r="O20" s="358"/>
      <c r="P20" s="361"/>
      <c r="Q20" s="358"/>
      <c r="R20" s="362"/>
      <c r="S20" s="358"/>
    </row>
    <row r="21" spans="1:19">
      <c r="A21" s="357" t="s">
        <v>545</v>
      </c>
      <c r="B21" s="358" t="s">
        <v>560</v>
      </c>
      <c r="C21" s="357"/>
      <c r="D21" s="361"/>
      <c r="E21" s="361"/>
      <c r="F21" s="361"/>
      <c r="G21" s="361"/>
      <c r="H21" s="359"/>
      <c r="I21" s="359"/>
      <c r="J21" s="359"/>
      <c r="K21" s="360"/>
      <c r="L21" s="360"/>
      <c r="M21" s="360"/>
      <c r="N21" s="359"/>
      <c r="O21" s="358"/>
      <c r="P21" s="361"/>
      <c r="Q21" s="358"/>
      <c r="R21" s="362"/>
      <c r="S21" s="358"/>
    </row>
    <row r="22" spans="1:19">
      <c r="A22" s="357" t="s">
        <v>546</v>
      </c>
      <c r="B22" s="358" t="s">
        <v>553</v>
      </c>
      <c r="C22" s="357"/>
      <c r="D22" s="361"/>
      <c r="E22" s="361"/>
      <c r="F22" s="361"/>
      <c r="G22" s="361"/>
      <c r="H22" s="359"/>
      <c r="I22" s="359"/>
      <c r="J22" s="359"/>
      <c r="K22" s="360"/>
      <c r="L22" s="360"/>
      <c r="M22" s="360"/>
      <c r="N22" s="359"/>
      <c r="O22" s="358"/>
      <c r="P22" s="361"/>
      <c r="Q22" s="358"/>
      <c r="R22" s="362"/>
      <c r="S22" s="358"/>
    </row>
    <row r="23" spans="1:19">
      <c r="A23" s="133" t="s">
        <v>302</v>
      </c>
      <c r="B23" s="1" t="s">
        <v>303</v>
      </c>
      <c r="C23" s="133" t="s">
        <v>487</v>
      </c>
      <c r="D23" t="s">
        <v>304</v>
      </c>
      <c r="F23" t="s">
        <v>305</v>
      </c>
      <c r="G23" t="s">
        <v>306</v>
      </c>
      <c r="H23" s="134"/>
      <c r="I23" s="134"/>
      <c r="J23" s="134"/>
      <c r="K23" s="281"/>
      <c r="L23" s="281"/>
      <c r="M23" s="281"/>
      <c r="N23" s="134" t="s">
        <v>443</v>
      </c>
      <c r="O23" s="1" t="s">
        <v>307</v>
      </c>
      <c r="P23" t="s">
        <v>308</v>
      </c>
      <c r="Q23" s="1" t="s">
        <v>271</v>
      </c>
      <c r="R23" s="263" t="s">
        <v>275</v>
      </c>
      <c r="S23" s="1" t="s">
        <v>274</v>
      </c>
    </row>
    <row r="24" spans="1:19">
      <c r="A24" s="357" t="s">
        <v>547</v>
      </c>
      <c r="B24" s="358" t="s">
        <v>561</v>
      </c>
      <c r="C24" s="357"/>
      <c r="D24" s="361"/>
      <c r="E24" s="361"/>
      <c r="F24" s="361"/>
      <c r="G24" s="361"/>
      <c r="H24" s="359"/>
      <c r="I24" s="359"/>
      <c r="J24" s="359"/>
      <c r="K24" s="360"/>
      <c r="L24" s="360"/>
      <c r="M24" s="360"/>
      <c r="N24" s="359"/>
      <c r="O24" s="358"/>
      <c r="P24" s="361"/>
      <c r="Q24" s="358"/>
      <c r="R24" s="362"/>
      <c r="S24" s="358"/>
    </row>
    <row r="25" spans="1:19">
      <c r="A25" s="357" t="s">
        <v>548</v>
      </c>
      <c r="B25" s="358" t="s">
        <v>562</v>
      </c>
      <c r="C25" s="357"/>
      <c r="D25" s="361"/>
      <c r="E25" s="361"/>
      <c r="F25" s="361"/>
      <c r="G25" s="361"/>
      <c r="H25" s="359"/>
      <c r="I25" s="359"/>
      <c r="J25" s="359"/>
      <c r="K25" s="360"/>
      <c r="L25" s="360"/>
      <c r="M25" s="360"/>
      <c r="N25" s="359"/>
      <c r="O25" s="358"/>
      <c r="P25" s="361"/>
      <c r="Q25" s="358"/>
      <c r="R25" s="362"/>
      <c r="S25" s="358"/>
    </row>
    <row r="26" spans="1:19">
      <c r="A26" s="357" t="s">
        <v>549</v>
      </c>
      <c r="B26" s="358" t="s">
        <v>138</v>
      </c>
      <c r="C26" s="357"/>
      <c r="D26" s="361"/>
      <c r="E26" s="361"/>
      <c r="F26" s="361"/>
      <c r="G26" s="361"/>
      <c r="H26" s="359"/>
      <c r="I26" s="359"/>
      <c r="J26" s="359"/>
      <c r="K26" s="360"/>
      <c r="L26" s="360"/>
      <c r="M26" s="360"/>
      <c r="N26" s="359"/>
      <c r="O26" s="358"/>
      <c r="P26" s="361"/>
      <c r="Q26" s="358"/>
      <c r="R26" s="362"/>
      <c r="S26" s="358"/>
    </row>
    <row r="27" spans="1:19">
      <c r="A27" s="357" t="s">
        <v>550</v>
      </c>
      <c r="B27" s="358" t="s">
        <v>563</v>
      </c>
      <c r="C27" s="357"/>
      <c r="D27" s="361"/>
      <c r="E27" s="361"/>
      <c r="F27" s="361"/>
      <c r="G27" s="361"/>
      <c r="H27" s="359"/>
      <c r="I27" s="359"/>
      <c r="J27" s="359"/>
      <c r="K27" s="360"/>
      <c r="L27" s="360"/>
      <c r="M27" s="360"/>
      <c r="N27" s="359"/>
      <c r="O27" s="358"/>
      <c r="P27" s="361"/>
      <c r="Q27" s="358"/>
      <c r="R27" s="362"/>
      <c r="S27" s="35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6"/>
  <dimension ref="A1:AL77"/>
  <sheetViews>
    <sheetView zoomScale="90" zoomScaleNormal="90" workbookViewId="0">
      <pane ySplit="1" topLeftCell="A2" activePane="bottomLeft" state="frozen"/>
      <selection activeCell="K6" sqref="K6"/>
      <selection pane="bottomLeft" activeCell="K6" sqref="K6"/>
    </sheetView>
  </sheetViews>
  <sheetFormatPr defaultColWidth="9.1796875" defaultRowHeight="12.5"/>
  <cols>
    <col min="1" max="1" width="8.453125" style="155" bestFit="1" customWidth="1"/>
    <col min="2" max="2" width="12.54296875" style="155" bestFit="1" customWidth="1"/>
    <col min="3" max="3" width="16.453125" style="155" customWidth="1"/>
    <col min="4" max="4" width="8.453125" style="155" bestFit="1" customWidth="1"/>
    <col min="5" max="5" width="15.81640625" style="159" customWidth="1"/>
    <col min="6" max="6" width="10.54296875" style="156" customWidth="1"/>
    <col min="7" max="7" width="67.26953125" style="155" bestFit="1" customWidth="1"/>
    <col min="8" max="8" width="8.7265625" style="155" bestFit="1" customWidth="1"/>
    <col min="9" max="9" width="18.1796875" style="155" customWidth="1"/>
    <col min="10" max="10" width="16.7265625" style="155" customWidth="1"/>
    <col min="11" max="11" width="16.1796875" style="155" customWidth="1"/>
    <col min="12" max="12" width="18.7265625" style="155" customWidth="1"/>
    <col min="13" max="13" width="14" style="155" customWidth="1"/>
    <col min="14" max="14" width="8.81640625" style="155" customWidth="1"/>
    <col min="15" max="15" width="8.1796875" style="155" customWidth="1"/>
    <col min="16" max="16" width="8.81640625" style="155" customWidth="1"/>
    <col min="17" max="17" width="13.1796875" style="155" customWidth="1"/>
    <col min="18" max="18" width="15" style="155" customWidth="1"/>
    <col min="19" max="21" width="7.7265625" style="155" customWidth="1"/>
    <col min="22" max="22" width="17.81640625" style="155" customWidth="1"/>
    <col min="23" max="23" width="19.54296875" style="155" customWidth="1"/>
    <col min="24" max="24" width="15.54296875" style="155" customWidth="1"/>
    <col min="25" max="25" width="18.453125" style="155" customWidth="1"/>
    <col min="26" max="26" width="19.54296875" style="156" customWidth="1"/>
    <col min="27" max="27" width="4" style="155" customWidth="1"/>
    <col min="28" max="28" width="16.26953125" style="155" customWidth="1"/>
    <col min="29" max="29" width="16.453125" style="155" customWidth="1"/>
    <col min="30" max="31" width="18" style="155" customWidth="1"/>
    <col min="32" max="33" width="20.453125" style="155" customWidth="1"/>
    <col min="34" max="34" width="14.54296875" style="155" bestFit="1" customWidth="1"/>
    <col min="35" max="35" width="14.54296875" style="155" customWidth="1"/>
    <col min="36" max="36" width="9.1796875" style="155"/>
    <col min="37" max="37" width="12.1796875" style="155" customWidth="1"/>
    <col min="38" max="38" width="11.7265625" style="155" customWidth="1"/>
    <col min="39" max="16384" width="9.1796875" style="155"/>
  </cols>
  <sheetData>
    <row r="1" spans="1:38" s="160" customFormat="1" ht="28.5" customHeight="1">
      <c r="A1" s="160" t="s">
        <v>148</v>
      </c>
      <c r="B1" s="160" t="s">
        <v>149</v>
      </c>
      <c r="C1" s="160" t="s">
        <v>150</v>
      </c>
      <c r="D1" s="160" t="s">
        <v>317</v>
      </c>
      <c r="E1" s="160" t="s">
        <v>318</v>
      </c>
      <c r="F1" s="160" t="s">
        <v>319</v>
      </c>
      <c r="G1" s="160" t="s">
        <v>151</v>
      </c>
      <c r="H1" s="160" t="s">
        <v>320</v>
      </c>
      <c r="I1" s="160" t="s">
        <v>152</v>
      </c>
      <c r="J1" s="160" t="s">
        <v>321</v>
      </c>
      <c r="K1" s="160" t="s">
        <v>322</v>
      </c>
      <c r="L1" s="160" t="s">
        <v>323</v>
      </c>
      <c r="M1" s="160" t="s">
        <v>324</v>
      </c>
      <c r="N1" s="160" t="s">
        <v>153</v>
      </c>
      <c r="O1" s="160" t="s">
        <v>154</v>
      </c>
      <c r="P1" s="160" t="s">
        <v>155</v>
      </c>
      <c r="Q1" s="160" t="s">
        <v>156</v>
      </c>
      <c r="R1" s="160" t="s">
        <v>157</v>
      </c>
      <c r="S1" s="160" t="s">
        <v>247</v>
      </c>
      <c r="T1" s="160" t="s">
        <v>248</v>
      </c>
      <c r="U1" s="160" t="s">
        <v>158</v>
      </c>
      <c r="V1" s="160" t="s">
        <v>359</v>
      </c>
      <c r="W1" s="160" t="s">
        <v>360</v>
      </c>
      <c r="X1" s="160" t="s">
        <v>361</v>
      </c>
      <c r="Y1" s="160" t="s">
        <v>362</v>
      </c>
      <c r="Z1" s="160" t="s">
        <v>325</v>
      </c>
      <c r="AB1" s="166" t="s">
        <v>258</v>
      </c>
      <c r="AC1" s="166" t="s">
        <v>257</v>
      </c>
      <c r="AD1" s="164" t="s">
        <v>249</v>
      </c>
      <c r="AE1" s="164" t="s">
        <v>363</v>
      </c>
      <c r="AF1" s="164" t="s">
        <v>250</v>
      </c>
      <c r="AG1" s="164" t="s">
        <v>364</v>
      </c>
      <c r="AH1" s="164" t="s">
        <v>251</v>
      </c>
      <c r="AI1" s="164" t="s">
        <v>365</v>
      </c>
      <c r="AJ1" s="163" t="s">
        <v>252</v>
      </c>
      <c r="AK1" s="163" t="s">
        <v>262</v>
      </c>
      <c r="AL1" s="163" t="s">
        <v>263</v>
      </c>
    </row>
    <row r="2" spans="1:38">
      <c r="A2" s="155" t="s">
        <v>48</v>
      </c>
      <c r="B2" s="155" t="s">
        <v>176</v>
      </c>
      <c r="C2" s="155">
        <v>2</v>
      </c>
      <c r="D2" s="155" t="s">
        <v>330</v>
      </c>
      <c r="E2" s="157">
        <v>6291107160993</v>
      </c>
      <c r="G2" s="155" t="s">
        <v>181</v>
      </c>
      <c r="H2" s="155" t="s">
        <v>334</v>
      </c>
      <c r="I2" s="155">
        <v>12</v>
      </c>
      <c r="J2" s="155">
        <v>42</v>
      </c>
      <c r="K2" s="155">
        <v>6</v>
      </c>
      <c r="L2" s="155">
        <v>7</v>
      </c>
      <c r="N2" s="155">
        <v>370</v>
      </c>
      <c r="O2" s="155">
        <v>330</v>
      </c>
      <c r="P2" s="155">
        <v>230</v>
      </c>
      <c r="Q2" s="155">
        <v>5.04</v>
      </c>
      <c r="R2" s="155">
        <v>5.79</v>
      </c>
      <c r="S2" s="155">
        <v>50</v>
      </c>
      <c r="T2" s="155">
        <v>175</v>
      </c>
      <c r="U2" s="155">
        <v>0</v>
      </c>
      <c r="V2" s="155">
        <v>0.55000000000000004</v>
      </c>
      <c r="W2" s="155">
        <v>0.45</v>
      </c>
      <c r="X2" s="155">
        <v>0</v>
      </c>
      <c r="Y2" s="155">
        <v>0</v>
      </c>
      <c r="Z2" s="156" t="s">
        <v>333</v>
      </c>
      <c r="AB2" s="167">
        <f>ROUNDUP(dgn_data[[#This Row],[order]]/bhpc_data[[#This Row],[units_per_carton]],0)</f>
        <v>0</v>
      </c>
      <c r="AC2" s="167" t="e">
        <f>dgn_data[[#This Row],[foc_order]]/bhpc_data[[#This Row],[units_per_carton]]</f>
        <v>#REF!</v>
      </c>
      <c r="AD2" s="165" t="e">
        <f>(bhpc_data[[#This Row],[net_weight]]/bhpc_data[[#This Row],[units_per_carton]])*dgn_data[[#This Row],[tot_order]]*bhpc_data[[#This Row],[product1_weight]]</f>
        <v>#REF!</v>
      </c>
      <c r="AE2" s="165" t="e">
        <f>(bhpc_data[[#This Row],[net_weight]]/bhpc_data[[#This Row],[units_per_carton]])*dgn_data[[#This Row],[tot_order]]*bhpc_data[[#This Row],[product2_weight]]</f>
        <v>#REF!</v>
      </c>
      <c r="AF2" s="165" t="e">
        <f>(bhpc_data[[#This Row],[gross_weight]]/bhpc_data[[#This Row],[units_per_carton]])*dgn_data[[#This Row],[tot_order]]*bhpc_data[[#This Row],[product1_weight]]</f>
        <v>#REF!</v>
      </c>
      <c r="AG2" s="165" t="e">
        <f>(bhpc_data[[#This Row],[gross_weight]]/bhpc_data[[#This Row],[units_per_carton]])*dgn_data[[#This Row],[tot_order]]*bhpc_data[[#This Row],[product2_weight]]</f>
        <v>#REF!</v>
      </c>
      <c r="AH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" s="158">
        <f>SUMIF('ORDER ENTRY FORM'!$C$4:$C$61,bhpc_data[[#This Row],[sku]],'ORDER ENTRY FORM'!$E$4:$E$61)</f>
        <v>0</v>
      </c>
      <c r="AK2" s="158" t="e">
        <f>SUMIF('ORDER ENTRY FORM'!$C$4:$C$61,bhpc_data[[#This Row],[sku]],'ORDER ENTRY FORM'!#REF!)</f>
        <v>#REF!</v>
      </c>
      <c r="AL2" s="158" t="e">
        <f>dgn_data[[#This Row],[order]]+dgn_data[[#This Row],[foc_order]]</f>
        <v>#REF!</v>
      </c>
    </row>
    <row r="3" spans="1:38">
      <c r="A3" s="155" t="s">
        <v>49</v>
      </c>
      <c r="B3" s="155" t="s">
        <v>176</v>
      </c>
      <c r="C3" s="155">
        <v>2</v>
      </c>
      <c r="D3" s="155" t="s">
        <v>330</v>
      </c>
      <c r="E3" s="157">
        <v>6291107161006</v>
      </c>
      <c r="G3" s="155" t="s">
        <v>182</v>
      </c>
      <c r="H3" s="155" t="s">
        <v>334</v>
      </c>
      <c r="I3" s="155">
        <v>12</v>
      </c>
      <c r="J3" s="155">
        <v>42</v>
      </c>
      <c r="K3" s="155">
        <v>6</v>
      </c>
      <c r="L3" s="155">
        <v>7</v>
      </c>
      <c r="N3" s="155">
        <v>370</v>
      </c>
      <c r="O3" s="155">
        <v>330</v>
      </c>
      <c r="P3" s="155">
        <v>230</v>
      </c>
      <c r="Q3" s="155">
        <v>5.04</v>
      </c>
      <c r="R3" s="155">
        <v>5.79</v>
      </c>
      <c r="S3" s="155">
        <v>50</v>
      </c>
      <c r="T3" s="155">
        <v>175</v>
      </c>
      <c r="U3" s="155">
        <v>0</v>
      </c>
      <c r="V3" s="155">
        <v>0.55000000000000004</v>
      </c>
      <c r="W3" s="155">
        <v>0.45</v>
      </c>
      <c r="X3" s="155">
        <v>0</v>
      </c>
      <c r="Y3" s="155">
        <v>0</v>
      </c>
      <c r="Z3" s="156" t="s">
        <v>333</v>
      </c>
      <c r="AB3" s="167">
        <f>ROUNDUP(dgn_data[[#This Row],[order]]/bhpc_data[[#This Row],[units_per_carton]],0)</f>
        <v>0</v>
      </c>
      <c r="AC3" s="167" t="e">
        <f>dgn_data[[#This Row],[foc_order]]/bhpc_data[[#This Row],[units_per_carton]]</f>
        <v>#REF!</v>
      </c>
      <c r="AD3" s="165" t="e">
        <f>(bhpc_data[[#This Row],[net_weight]]/bhpc_data[[#This Row],[units_per_carton]])*dgn_data[[#This Row],[tot_order]]*bhpc_data[[#This Row],[product1_weight]]</f>
        <v>#REF!</v>
      </c>
      <c r="AE3" s="165" t="e">
        <f>(bhpc_data[[#This Row],[net_weight]]/bhpc_data[[#This Row],[units_per_carton]])*dgn_data[[#This Row],[tot_order]]*bhpc_data[[#This Row],[product2_weight]]</f>
        <v>#REF!</v>
      </c>
      <c r="AF3" s="165" t="e">
        <f>(bhpc_data[[#This Row],[gross_weight]]/bhpc_data[[#This Row],[units_per_carton]])*dgn_data[[#This Row],[tot_order]]*bhpc_data[[#This Row],[product1_weight]]</f>
        <v>#REF!</v>
      </c>
      <c r="AG3" s="165" t="e">
        <f>(bhpc_data[[#This Row],[gross_weight]]/bhpc_data[[#This Row],[units_per_carton]])*dgn_data[[#This Row],[tot_order]]*bhpc_data[[#This Row],[product2_weight]]</f>
        <v>#REF!</v>
      </c>
      <c r="AH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" s="158">
        <f>SUMIF('ORDER ENTRY FORM'!$C$4:$C$61,bhpc_data[[#This Row],[sku]],'ORDER ENTRY FORM'!$E$4:$E$61)</f>
        <v>0</v>
      </c>
      <c r="AK3" s="158" t="e">
        <f>SUMIF('ORDER ENTRY FORM'!$C$4:$C$61,bhpc_data[[#This Row],[sku]],'ORDER ENTRY FORM'!#REF!)</f>
        <v>#REF!</v>
      </c>
      <c r="AL3" s="158" t="e">
        <f>dgn_data[[#This Row],[order]]+dgn_data[[#This Row],[foc_order]]</f>
        <v>#REF!</v>
      </c>
    </row>
    <row r="4" spans="1:38">
      <c r="A4" s="155" t="s">
        <v>50</v>
      </c>
      <c r="B4" s="155" t="s">
        <v>176</v>
      </c>
      <c r="C4" s="155">
        <v>2</v>
      </c>
      <c r="D4" s="155" t="s">
        <v>330</v>
      </c>
      <c r="E4" s="157">
        <v>6291107161013</v>
      </c>
      <c r="G4" s="155" t="s">
        <v>183</v>
      </c>
      <c r="H4" s="155" t="s">
        <v>334</v>
      </c>
      <c r="I4" s="155">
        <v>12</v>
      </c>
      <c r="J4" s="155">
        <v>42</v>
      </c>
      <c r="K4" s="155">
        <v>6</v>
      </c>
      <c r="L4" s="155">
        <v>7</v>
      </c>
      <c r="N4" s="155">
        <v>370</v>
      </c>
      <c r="O4" s="155">
        <v>330</v>
      </c>
      <c r="P4" s="155">
        <v>230</v>
      </c>
      <c r="Q4" s="155">
        <v>5.04</v>
      </c>
      <c r="R4" s="155">
        <v>5.79</v>
      </c>
      <c r="S4" s="155">
        <v>50</v>
      </c>
      <c r="T4" s="155">
        <v>175</v>
      </c>
      <c r="U4" s="155">
        <v>0</v>
      </c>
      <c r="V4" s="155">
        <v>0.55000000000000004</v>
      </c>
      <c r="W4" s="155">
        <v>0.45</v>
      </c>
      <c r="X4" s="155">
        <v>0</v>
      </c>
      <c r="Y4" s="155">
        <v>0</v>
      </c>
      <c r="Z4" s="156" t="s">
        <v>333</v>
      </c>
      <c r="AB4" s="167">
        <f>ROUNDUP(dgn_data[[#This Row],[order]]/bhpc_data[[#This Row],[units_per_carton]],0)</f>
        <v>0</v>
      </c>
      <c r="AC4" s="167" t="e">
        <f>dgn_data[[#This Row],[foc_order]]/bhpc_data[[#This Row],[units_per_carton]]</f>
        <v>#REF!</v>
      </c>
      <c r="AD4" s="165" t="e">
        <f>(bhpc_data[[#This Row],[net_weight]]/bhpc_data[[#This Row],[units_per_carton]])*dgn_data[[#This Row],[tot_order]]*bhpc_data[[#This Row],[product1_weight]]</f>
        <v>#REF!</v>
      </c>
      <c r="AE4" s="165" t="e">
        <f>(bhpc_data[[#This Row],[net_weight]]/bhpc_data[[#This Row],[units_per_carton]])*dgn_data[[#This Row],[tot_order]]*bhpc_data[[#This Row],[product2_weight]]</f>
        <v>#REF!</v>
      </c>
      <c r="AF4" s="165" t="e">
        <f>(bhpc_data[[#This Row],[gross_weight]]/bhpc_data[[#This Row],[units_per_carton]])*dgn_data[[#This Row],[tot_order]]*bhpc_data[[#This Row],[product1_weight]]</f>
        <v>#REF!</v>
      </c>
      <c r="AG4" s="165" t="e">
        <f>(bhpc_data[[#This Row],[gross_weight]]/bhpc_data[[#This Row],[units_per_carton]])*dgn_data[[#This Row],[tot_order]]*bhpc_data[[#This Row],[product2_weight]]</f>
        <v>#REF!</v>
      </c>
      <c r="AH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" s="158">
        <f>SUMIF('ORDER ENTRY FORM'!$C$4:$C$61,bhpc_data[[#This Row],[sku]],'ORDER ENTRY FORM'!$E$4:$E$61)</f>
        <v>0</v>
      </c>
      <c r="AK4" s="158" t="e">
        <f>SUMIF('ORDER ENTRY FORM'!$C$4:$C$61,bhpc_data[[#This Row],[sku]],'ORDER ENTRY FORM'!#REF!)</f>
        <v>#REF!</v>
      </c>
      <c r="AL4" s="158" t="e">
        <f>dgn_data[[#This Row],[order]]+dgn_data[[#This Row],[foc_order]]</f>
        <v>#REF!</v>
      </c>
    </row>
    <row r="5" spans="1:38">
      <c r="A5" s="155" t="s">
        <v>51</v>
      </c>
      <c r="B5" s="155" t="s">
        <v>176</v>
      </c>
      <c r="C5" s="155">
        <v>2</v>
      </c>
      <c r="D5" s="155" t="s">
        <v>330</v>
      </c>
      <c r="E5" s="157">
        <v>6291107161020</v>
      </c>
      <c r="G5" s="155" t="s">
        <v>184</v>
      </c>
      <c r="H5" s="155" t="s">
        <v>334</v>
      </c>
      <c r="I5" s="155">
        <v>12</v>
      </c>
      <c r="J5" s="155">
        <v>42</v>
      </c>
      <c r="K5" s="155">
        <v>6</v>
      </c>
      <c r="L5" s="155">
        <v>7</v>
      </c>
      <c r="N5" s="155">
        <v>370</v>
      </c>
      <c r="O5" s="155">
        <v>330</v>
      </c>
      <c r="P5" s="155">
        <v>230</v>
      </c>
      <c r="Q5" s="155">
        <v>5.04</v>
      </c>
      <c r="R5" s="155">
        <v>5.79</v>
      </c>
      <c r="S5" s="155">
        <v>50</v>
      </c>
      <c r="T5" s="155">
        <v>175</v>
      </c>
      <c r="U5" s="155">
        <v>0</v>
      </c>
      <c r="V5" s="155">
        <v>0.55000000000000004</v>
      </c>
      <c r="W5" s="155">
        <v>0.45</v>
      </c>
      <c r="X5" s="155">
        <v>0</v>
      </c>
      <c r="Y5" s="155">
        <v>0</v>
      </c>
      <c r="Z5" s="156" t="s">
        <v>333</v>
      </c>
      <c r="AB5" s="167">
        <f>ROUNDUP(dgn_data[[#This Row],[order]]/bhpc_data[[#This Row],[units_per_carton]],0)</f>
        <v>0</v>
      </c>
      <c r="AC5" s="167" t="e">
        <f>dgn_data[[#This Row],[foc_order]]/bhpc_data[[#This Row],[units_per_carton]]</f>
        <v>#REF!</v>
      </c>
      <c r="AD5" s="165" t="e">
        <f>(bhpc_data[[#This Row],[net_weight]]/bhpc_data[[#This Row],[units_per_carton]])*dgn_data[[#This Row],[tot_order]]*bhpc_data[[#This Row],[product1_weight]]</f>
        <v>#REF!</v>
      </c>
      <c r="AE5" s="165" t="e">
        <f>(bhpc_data[[#This Row],[net_weight]]/bhpc_data[[#This Row],[units_per_carton]])*dgn_data[[#This Row],[tot_order]]*bhpc_data[[#This Row],[product2_weight]]</f>
        <v>#REF!</v>
      </c>
      <c r="AF5" s="165" t="e">
        <f>(bhpc_data[[#This Row],[gross_weight]]/bhpc_data[[#This Row],[units_per_carton]])*dgn_data[[#This Row],[tot_order]]*bhpc_data[[#This Row],[product1_weight]]</f>
        <v>#REF!</v>
      </c>
      <c r="AG5" s="165" t="e">
        <f>(bhpc_data[[#This Row],[gross_weight]]/bhpc_data[[#This Row],[units_per_carton]])*dgn_data[[#This Row],[tot_order]]*bhpc_data[[#This Row],[product2_weight]]</f>
        <v>#REF!</v>
      </c>
      <c r="AH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" s="158">
        <f>SUMIF('ORDER ENTRY FORM'!$C$4:$C$61,bhpc_data[[#This Row],[sku]],'ORDER ENTRY FORM'!$E$4:$E$61)</f>
        <v>0</v>
      </c>
      <c r="AK5" s="158" t="e">
        <f>SUMIF('ORDER ENTRY FORM'!$C$4:$C$61,bhpc_data[[#This Row],[sku]],'ORDER ENTRY FORM'!#REF!)</f>
        <v>#REF!</v>
      </c>
      <c r="AL5" s="158" t="e">
        <f>dgn_data[[#This Row],[order]]+dgn_data[[#This Row],[foc_order]]</f>
        <v>#REF!</v>
      </c>
    </row>
    <row r="6" spans="1:38">
      <c r="A6" s="155" t="s">
        <v>52</v>
      </c>
      <c r="B6" s="155" t="s">
        <v>176</v>
      </c>
      <c r="C6" s="155">
        <v>2</v>
      </c>
      <c r="D6" s="155" t="s">
        <v>326</v>
      </c>
      <c r="E6" s="157">
        <v>6291107161037</v>
      </c>
      <c r="G6" s="155" t="s">
        <v>185</v>
      </c>
      <c r="H6" s="155" t="s">
        <v>334</v>
      </c>
      <c r="I6" s="155">
        <v>12</v>
      </c>
      <c r="J6" s="155">
        <v>42</v>
      </c>
      <c r="K6" s="155">
        <v>6</v>
      </c>
      <c r="L6" s="155">
        <v>7</v>
      </c>
      <c r="N6" s="155">
        <v>370</v>
      </c>
      <c r="O6" s="155">
        <v>330</v>
      </c>
      <c r="P6" s="155">
        <v>230</v>
      </c>
      <c r="Q6" s="155">
        <v>4.78</v>
      </c>
      <c r="R6" s="155">
        <v>5.25</v>
      </c>
      <c r="S6" s="155">
        <v>50</v>
      </c>
      <c r="T6" s="155">
        <v>150</v>
      </c>
      <c r="U6" s="155">
        <v>0</v>
      </c>
      <c r="V6" s="155">
        <v>0.55000000000000004</v>
      </c>
      <c r="W6" s="155">
        <v>0.45</v>
      </c>
      <c r="X6" s="155">
        <v>0</v>
      </c>
      <c r="Y6" s="155">
        <v>0</v>
      </c>
      <c r="Z6" s="156" t="s">
        <v>333</v>
      </c>
      <c r="AB6" s="167">
        <f>ROUNDUP(dgn_data[[#This Row],[order]]/bhpc_data[[#This Row],[units_per_carton]],0)</f>
        <v>0</v>
      </c>
      <c r="AC6" s="167" t="e">
        <f>dgn_data[[#This Row],[foc_order]]/bhpc_data[[#This Row],[units_per_carton]]</f>
        <v>#REF!</v>
      </c>
      <c r="AD6" s="165" t="e">
        <f>(bhpc_data[[#This Row],[net_weight]]/bhpc_data[[#This Row],[units_per_carton]])*dgn_data[[#This Row],[tot_order]]*bhpc_data[[#This Row],[product1_weight]]</f>
        <v>#REF!</v>
      </c>
      <c r="AE6" s="165" t="e">
        <f>(bhpc_data[[#This Row],[net_weight]]/bhpc_data[[#This Row],[units_per_carton]])*dgn_data[[#This Row],[tot_order]]*bhpc_data[[#This Row],[product2_weight]]</f>
        <v>#REF!</v>
      </c>
      <c r="AF6" s="165" t="e">
        <f>(bhpc_data[[#This Row],[gross_weight]]/bhpc_data[[#This Row],[units_per_carton]])*dgn_data[[#This Row],[tot_order]]*bhpc_data[[#This Row],[product1_weight]]</f>
        <v>#REF!</v>
      </c>
      <c r="AG6" s="165" t="e">
        <f>(bhpc_data[[#This Row],[gross_weight]]/bhpc_data[[#This Row],[units_per_carton]])*dgn_data[[#This Row],[tot_order]]*bhpc_data[[#This Row],[product2_weight]]</f>
        <v>#REF!</v>
      </c>
      <c r="AH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" s="158">
        <f>SUMIF('ORDER ENTRY FORM'!$C$4:$C$61,bhpc_data[[#This Row],[sku]],'ORDER ENTRY FORM'!$E$4:$E$61)</f>
        <v>0</v>
      </c>
      <c r="AK6" s="158" t="e">
        <f>SUMIF('ORDER ENTRY FORM'!$C$4:$C$61,bhpc_data[[#This Row],[sku]],'ORDER ENTRY FORM'!#REF!)</f>
        <v>#REF!</v>
      </c>
      <c r="AL6" s="158" t="e">
        <f>dgn_data[[#This Row],[order]]+dgn_data[[#This Row],[foc_order]]</f>
        <v>#REF!</v>
      </c>
    </row>
    <row r="7" spans="1:38">
      <c r="A7" s="155" t="s">
        <v>53</v>
      </c>
      <c r="B7" s="155" t="s">
        <v>176</v>
      </c>
      <c r="C7" s="155">
        <v>2</v>
      </c>
      <c r="D7" s="155" t="s">
        <v>326</v>
      </c>
      <c r="E7" s="157">
        <v>6291107161044</v>
      </c>
      <c r="G7" s="155" t="s">
        <v>186</v>
      </c>
      <c r="H7" s="155" t="s">
        <v>334</v>
      </c>
      <c r="I7" s="155">
        <v>12</v>
      </c>
      <c r="J7" s="155">
        <v>42</v>
      </c>
      <c r="K7" s="155">
        <v>6</v>
      </c>
      <c r="L7" s="155">
        <v>7</v>
      </c>
      <c r="N7" s="155">
        <v>370</v>
      </c>
      <c r="O7" s="155">
        <v>330</v>
      </c>
      <c r="P7" s="155">
        <v>230</v>
      </c>
      <c r="Q7" s="155">
        <v>4.78</v>
      </c>
      <c r="R7" s="155">
        <v>5.25</v>
      </c>
      <c r="S7" s="155">
        <v>50</v>
      </c>
      <c r="T7" s="155">
        <v>150</v>
      </c>
      <c r="U7" s="155">
        <v>0</v>
      </c>
      <c r="V7" s="155">
        <v>0.55000000000000004</v>
      </c>
      <c r="W7" s="155">
        <v>0.45</v>
      </c>
      <c r="X7" s="155">
        <v>0</v>
      </c>
      <c r="Y7" s="155">
        <v>0</v>
      </c>
      <c r="Z7" s="156" t="s">
        <v>333</v>
      </c>
      <c r="AB7" s="167">
        <f>ROUNDUP(dgn_data[[#This Row],[order]]/bhpc_data[[#This Row],[units_per_carton]],0)</f>
        <v>0</v>
      </c>
      <c r="AC7" s="167" t="e">
        <f>dgn_data[[#This Row],[foc_order]]/bhpc_data[[#This Row],[units_per_carton]]</f>
        <v>#REF!</v>
      </c>
      <c r="AD7" s="165" t="e">
        <f>(bhpc_data[[#This Row],[net_weight]]/bhpc_data[[#This Row],[units_per_carton]])*dgn_data[[#This Row],[tot_order]]*bhpc_data[[#This Row],[product1_weight]]</f>
        <v>#REF!</v>
      </c>
      <c r="AE7" s="165" t="e">
        <f>(bhpc_data[[#This Row],[net_weight]]/bhpc_data[[#This Row],[units_per_carton]])*dgn_data[[#This Row],[tot_order]]*bhpc_data[[#This Row],[product2_weight]]</f>
        <v>#REF!</v>
      </c>
      <c r="AF7" s="165" t="e">
        <f>(bhpc_data[[#This Row],[gross_weight]]/bhpc_data[[#This Row],[units_per_carton]])*dgn_data[[#This Row],[tot_order]]*bhpc_data[[#This Row],[product1_weight]]</f>
        <v>#REF!</v>
      </c>
      <c r="AG7" s="165" t="e">
        <f>(bhpc_data[[#This Row],[gross_weight]]/bhpc_data[[#This Row],[units_per_carton]])*dgn_data[[#This Row],[tot_order]]*bhpc_data[[#This Row],[product2_weight]]</f>
        <v>#REF!</v>
      </c>
      <c r="AH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" s="158">
        <f>SUMIF('ORDER ENTRY FORM'!$C$4:$C$61,bhpc_data[[#This Row],[sku]],'ORDER ENTRY FORM'!$E$4:$E$61)</f>
        <v>0</v>
      </c>
      <c r="AK7" s="158" t="e">
        <f>SUMIF('ORDER ENTRY FORM'!$C$4:$C$61,bhpc_data[[#This Row],[sku]],'ORDER ENTRY FORM'!#REF!)</f>
        <v>#REF!</v>
      </c>
      <c r="AL7" s="158" t="e">
        <f>dgn_data[[#This Row],[order]]+dgn_data[[#This Row],[foc_order]]</f>
        <v>#REF!</v>
      </c>
    </row>
    <row r="8" spans="1:38">
      <c r="A8" s="155" t="s">
        <v>54</v>
      </c>
      <c r="B8" s="155" t="s">
        <v>176</v>
      </c>
      <c r="C8" s="155">
        <v>2</v>
      </c>
      <c r="D8" s="155" t="s">
        <v>326</v>
      </c>
      <c r="E8" s="157">
        <v>6291107161051</v>
      </c>
      <c r="G8" s="155" t="s">
        <v>187</v>
      </c>
      <c r="H8" s="155" t="s">
        <v>334</v>
      </c>
      <c r="I8" s="155">
        <v>12</v>
      </c>
      <c r="J8" s="155">
        <v>42</v>
      </c>
      <c r="K8" s="155">
        <v>6</v>
      </c>
      <c r="L8" s="155">
        <v>7</v>
      </c>
      <c r="N8" s="155">
        <v>370</v>
      </c>
      <c r="O8" s="155">
        <v>330</v>
      </c>
      <c r="P8" s="155">
        <v>230</v>
      </c>
      <c r="Q8" s="155">
        <v>4.78</v>
      </c>
      <c r="R8" s="155">
        <v>5.25</v>
      </c>
      <c r="S8" s="155">
        <v>50</v>
      </c>
      <c r="T8" s="155">
        <v>150</v>
      </c>
      <c r="U8" s="155">
        <v>0</v>
      </c>
      <c r="V8" s="155">
        <v>0.55000000000000004</v>
      </c>
      <c r="W8" s="155">
        <v>0.45</v>
      </c>
      <c r="X8" s="155">
        <v>0</v>
      </c>
      <c r="Y8" s="155">
        <v>0</v>
      </c>
      <c r="Z8" s="156" t="s">
        <v>333</v>
      </c>
      <c r="AB8" s="167">
        <f>ROUNDUP(dgn_data[[#This Row],[order]]/bhpc_data[[#This Row],[units_per_carton]],0)</f>
        <v>0</v>
      </c>
      <c r="AC8" s="167" t="e">
        <f>dgn_data[[#This Row],[foc_order]]/bhpc_data[[#This Row],[units_per_carton]]</f>
        <v>#REF!</v>
      </c>
      <c r="AD8" s="165" t="e">
        <f>(bhpc_data[[#This Row],[net_weight]]/bhpc_data[[#This Row],[units_per_carton]])*dgn_data[[#This Row],[tot_order]]*bhpc_data[[#This Row],[product1_weight]]</f>
        <v>#REF!</v>
      </c>
      <c r="AE8" s="165" t="e">
        <f>(bhpc_data[[#This Row],[net_weight]]/bhpc_data[[#This Row],[units_per_carton]])*dgn_data[[#This Row],[tot_order]]*bhpc_data[[#This Row],[product2_weight]]</f>
        <v>#REF!</v>
      </c>
      <c r="AF8" s="165" t="e">
        <f>(bhpc_data[[#This Row],[gross_weight]]/bhpc_data[[#This Row],[units_per_carton]])*dgn_data[[#This Row],[tot_order]]*bhpc_data[[#This Row],[product1_weight]]</f>
        <v>#REF!</v>
      </c>
      <c r="AG8" s="165" t="e">
        <f>(bhpc_data[[#This Row],[gross_weight]]/bhpc_data[[#This Row],[units_per_carton]])*dgn_data[[#This Row],[tot_order]]*bhpc_data[[#This Row],[product2_weight]]</f>
        <v>#REF!</v>
      </c>
      <c r="AH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8" s="158">
        <f>SUMIF('ORDER ENTRY FORM'!$C$4:$C$61,bhpc_data[[#This Row],[sku]],'ORDER ENTRY FORM'!$E$4:$E$61)</f>
        <v>0</v>
      </c>
      <c r="AK8" s="158" t="e">
        <f>SUMIF('ORDER ENTRY FORM'!$C$4:$C$61,bhpc_data[[#This Row],[sku]],'ORDER ENTRY FORM'!#REF!)</f>
        <v>#REF!</v>
      </c>
      <c r="AL8" s="158" t="e">
        <f>dgn_data[[#This Row],[order]]+dgn_data[[#This Row],[foc_order]]</f>
        <v>#REF!</v>
      </c>
    </row>
    <row r="9" spans="1:38">
      <c r="A9" s="155" t="s">
        <v>55</v>
      </c>
      <c r="B9" s="155" t="s">
        <v>176</v>
      </c>
      <c r="C9" s="155">
        <v>2</v>
      </c>
      <c r="D9" s="155" t="s">
        <v>326</v>
      </c>
      <c r="E9" s="157">
        <v>6291107161068</v>
      </c>
      <c r="G9" s="155" t="s">
        <v>188</v>
      </c>
      <c r="H9" s="155" t="s">
        <v>334</v>
      </c>
      <c r="I9" s="155">
        <v>12</v>
      </c>
      <c r="J9" s="155">
        <v>42</v>
      </c>
      <c r="K9" s="155">
        <v>6</v>
      </c>
      <c r="L9" s="155">
        <v>7</v>
      </c>
      <c r="N9" s="155">
        <v>370</v>
      </c>
      <c r="O9" s="155">
        <v>330</v>
      </c>
      <c r="P9" s="155">
        <v>230</v>
      </c>
      <c r="Q9" s="155">
        <v>4.78</v>
      </c>
      <c r="R9" s="155">
        <v>5.25</v>
      </c>
      <c r="S9" s="155">
        <v>50</v>
      </c>
      <c r="T9" s="155">
        <v>150</v>
      </c>
      <c r="U9" s="155">
        <v>0</v>
      </c>
      <c r="V9" s="155">
        <v>0.55000000000000004</v>
      </c>
      <c r="W9" s="155">
        <v>0.45</v>
      </c>
      <c r="X9" s="155">
        <v>0</v>
      </c>
      <c r="Y9" s="155">
        <v>0</v>
      </c>
      <c r="Z9" s="156" t="s">
        <v>333</v>
      </c>
      <c r="AB9" s="167">
        <f>ROUNDUP(dgn_data[[#This Row],[order]]/bhpc_data[[#This Row],[units_per_carton]],0)</f>
        <v>0</v>
      </c>
      <c r="AC9" s="167" t="e">
        <f>dgn_data[[#This Row],[foc_order]]/bhpc_data[[#This Row],[units_per_carton]]</f>
        <v>#REF!</v>
      </c>
      <c r="AD9" s="165" t="e">
        <f>(bhpc_data[[#This Row],[net_weight]]/bhpc_data[[#This Row],[units_per_carton]])*dgn_data[[#This Row],[tot_order]]*bhpc_data[[#This Row],[product1_weight]]</f>
        <v>#REF!</v>
      </c>
      <c r="AE9" s="165" t="e">
        <f>(bhpc_data[[#This Row],[net_weight]]/bhpc_data[[#This Row],[units_per_carton]])*dgn_data[[#This Row],[tot_order]]*bhpc_data[[#This Row],[product2_weight]]</f>
        <v>#REF!</v>
      </c>
      <c r="AF9" s="165" t="e">
        <f>(bhpc_data[[#This Row],[gross_weight]]/bhpc_data[[#This Row],[units_per_carton]])*dgn_data[[#This Row],[tot_order]]*bhpc_data[[#This Row],[product1_weight]]</f>
        <v>#REF!</v>
      </c>
      <c r="AG9" s="165" t="e">
        <f>(bhpc_data[[#This Row],[gross_weight]]/bhpc_data[[#This Row],[units_per_carton]])*dgn_data[[#This Row],[tot_order]]*bhpc_data[[#This Row],[product2_weight]]</f>
        <v>#REF!</v>
      </c>
      <c r="AH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9" s="158">
        <f>SUMIF('ORDER ENTRY FORM'!$C$4:$C$61,bhpc_data[[#This Row],[sku]],'ORDER ENTRY FORM'!$E$4:$E$61)</f>
        <v>0</v>
      </c>
      <c r="AK9" s="158" t="e">
        <f>SUMIF('ORDER ENTRY FORM'!$C$4:$C$61,bhpc_data[[#This Row],[sku]],'ORDER ENTRY FORM'!#REF!)</f>
        <v>#REF!</v>
      </c>
      <c r="AL9" s="158" t="e">
        <f>dgn_data[[#This Row],[order]]+dgn_data[[#This Row],[foc_order]]</f>
        <v>#REF!</v>
      </c>
    </row>
    <row r="10" spans="1:38">
      <c r="A10" s="155" t="s">
        <v>60</v>
      </c>
      <c r="B10" s="155" t="s">
        <v>176</v>
      </c>
      <c r="C10" s="155">
        <v>3</v>
      </c>
      <c r="D10" s="155" t="s">
        <v>330</v>
      </c>
      <c r="E10" s="157"/>
      <c r="G10" s="155" t="s">
        <v>193</v>
      </c>
      <c r="H10" s="155" t="s">
        <v>334</v>
      </c>
      <c r="I10" s="155">
        <v>12</v>
      </c>
      <c r="J10" s="155">
        <v>48</v>
      </c>
      <c r="K10" s="155">
        <v>8</v>
      </c>
      <c r="L10" s="155">
        <v>6</v>
      </c>
      <c r="N10" s="155">
        <v>445</v>
      </c>
      <c r="O10" s="155">
        <v>365</v>
      </c>
      <c r="P10" s="155">
        <v>240</v>
      </c>
      <c r="Q10" s="155">
        <v>6.17</v>
      </c>
      <c r="R10" s="155">
        <v>6.77</v>
      </c>
      <c r="S10" s="155">
        <v>50</v>
      </c>
      <c r="T10" s="155">
        <v>175</v>
      </c>
      <c r="U10" s="155">
        <v>50</v>
      </c>
      <c r="V10" s="155">
        <v>0.55000000000000004</v>
      </c>
      <c r="W10" s="155">
        <v>0.45</v>
      </c>
      <c r="X10" s="155">
        <v>0</v>
      </c>
      <c r="Y10" s="155">
        <v>0</v>
      </c>
      <c r="Z10" s="156" t="s">
        <v>333</v>
      </c>
      <c r="AB10" s="167">
        <f>ROUNDUP(dgn_data[[#This Row],[order]]/bhpc_data[[#This Row],[units_per_carton]],0)</f>
        <v>0</v>
      </c>
      <c r="AC10" s="167" t="e">
        <f>dgn_data[[#This Row],[foc_order]]/bhpc_data[[#This Row],[units_per_carton]]</f>
        <v>#REF!</v>
      </c>
      <c r="AD10" s="165" t="e">
        <f>(bhpc_data[[#This Row],[net_weight]]/bhpc_data[[#This Row],[units_per_carton]])*dgn_data[[#This Row],[tot_order]]*bhpc_data[[#This Row],[product1_weight]]</f>
        <v>#REF!</v>
      </c>
      <c r="AE10" s="165" t="e">
        <f>(bhpc_data[[#This Row],[net_weight]]/bhpc_data[[#This Row],[units_per_carton]])*dgn_data[[#This Row],[tot_order]]*bhpc_data[[#This Row],[product2_weight]]</f>
        <v>#REF!</v>
      </c>
      <c r="AF10" s="165" t="e">
        <f>(bhpc_data[[#This Row],[gross_weight]]/bhpc_data[[#This Row],[units_per_carton]])*dgn_data[[#This Row],[tot_order]]*bhpc_data[[#This Row],[product1_weight]]</f>
        <v>#REF!</v>
      </c>
      <c r="AG10" s="165" t="e">
        <f>(bhpc_data[[#This Row],[gross_weight]]/bhpc_data[[#This Row],[units_per_carton]])*dgn_data[[#This Row],[tot_order]]*bhpc_data[[#This Row],[product2_weight]]</f>
        <v>#REF!</v>
      </c>
      <c r="AH1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0" s="158">
        <f>SUMIF('ORDER ENTRY FORM'!$C$4:$C$61,bhpc_data[[#This Row],[sku]],'ORDER ENTRY FORM'!$E$4:$E$61)</f>
        <v>0</v>
      </c>
      <c r="AK10" s="158" t="e">
        <f>SUMIF('ORDER ENTRY FORM'!$C$4:$C$61,bhpc_data[[#This Row],[sku]],'ORDER ENTRY FORM'!#REF!)</f>
        <v>#REF!</v>
      </c>
      <c r="AL10" s="158" t="e">
        <f>dgn_data[[#This Row],[order]]+dgn_data[[#This Row],[foc_order]]</f>
        <v>#REF!</v>
      </c>
    </row>
    <row r="11" spans="1:38">
      <c r="A11" s="155" t="s">
        <v>61</v>
      </c>
      <c r="B11" s="155" t="s">
        <v>176</v>
      </c>
      <c r="C11" s="155">
        <v>3</v>
      </c>
      <c r="D11" s="155" t="s">
        <v>330</v>
      </c>
      <c r="E11" s="157"/>
      <c r="G11" s="155" t="s">
        <v>194</v>
      </c>
      <c r="H11" s="155" t="s">
        <v>334</v>
      </c>
      <c r="I11" s="155">
        <v>12</v>
      </c>
      <c r="J11" s="155">
        <v>48</v>
      </c>
      <c r="K11" s="155">
        <v>8</v>
      </c>
      <c r="L11" s="155">
        <v>6</v>
      </c>
      <c r="N11" s="155">
        <v>445</v>
      </c>
      <c r="O11" s="155">
        <v>365</v>
      </c>
      <c r="P11" s="155">
        <v>240</v>
      </c>
      <c r="Q11" s="155">
        <v>6.17</v>
      </c>
      <c r="R11" s="155">
        <v>6.77</v>
      </c>
      <c r="S11" s="155">
        <v>50</v>
      </c>
      <c r="T11" s="155">
        <v>175</v>
      </c>
      <c r="U11" s="155">
        <v>50</v>
      </c>
      <c r="V11" s="155">
        <v>0.55000000000000004</v>
      </c>
      <c r="W11" s="155">
        <v>0.45</v>
      </c>
      <c r="X11" s="155">
        <v>0</v>
      </c>
      <c r="Y11" s="155">
        <v>0</v>
      </c>
      <c r="Z11" s="156" t="s">
        <v>333</v>
      </c>
      <c r="AB11" s="167">
        <f>ROUNDUP(dgn_data[[#This Row],[order]]/bhpc_data[[#This Row],[units_per_carton]],0)</f>
        <v>0</v>
      </c>
      <c r="AC11" s="167" t="e">
        <f>dgn_data[[#This Row],[foc_order]]/bhpc_data[[#This Row],[units_per_carton]]</f>
        <v>#REF!</v>
      </c>
      <c r="AD11" s="165" t="e">
        <f>(bhpc_data[[#This Row],[net_weight]]/bhpc_data[[#This Row],[units_per_carton]])*dgn_data[[#This Row],[tot_order]]*bhpc_data[[#This Row],[product1_weight]]</f>
        <v>#REF!</v>
      </c>
      <c r="AE11" s="165" t="e">
        <f>(bhpc_data[[#This Row],[net_weight]]/bhpc_data[[#This Row],[units_per_carton]])*dgn_data[[#This Row],[tot_order]]*bhpc_data[[#This Row],[product2_weight]]</f>
        <v>#REF!</v>
      </c>
      <c r="AF11" s="165" t="e">
        <f>(bhpc_data[[#This Row],[gross_weight]]/bhpc_data[[#This Row],[units_per_carton]])*dgn_data[[#This Row],[tot_order]]*bhpc_data[[#This Row],[product1_weight]]</f>
        <v>#REF!</v>
      </c>
      <c r="AG11" s="165" t="e">
        <f>(bhpc_data[[#This Row],[gross_weight]]/bhpc_data[[#This Row],[units_per_carton]])*dgn_data[[#This Row],[tot_order]]*bhpc_data[[#This Row],[product2_weight]]</f>
        <v>#REF!</v>
      </c>
      <c r="AH1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1" s="158">
        <f>SUMIF('ORDER ENTRY FORM'!$C$4:$C$61,bhpc_data[[#This Row],[sku]],'ORDER ENTRY FORM'!$E$4:$E$61)</f>
        <v>0</v>
      </c>
      <c r="AK11" s="158" t="e">
        <f>SUMIF('ORDER ENTRY FORM'!$C$4:$C$61,bhpc_data[[#This Row],[sku]],'ORDER ENTRY FORM'!#REF!)</f>
        <v>#REF!</v>
      </c>
      <c r="AL11" s="158" t="e">
        <f>dgn_data[[#This Row],[order]]+dgn_data[[#This Row],[foc_order]]</f>
        <v>#REF!</v>
      </c>
    </row>
    <row r="12" spans="1:38">
      <c r="A12" s="155" t="s">
        <v>62</v>
      </c>
      <c r="B12" s="155" t="s">
        <v>176</v>
      </c>
      <c r="C12" s="155">
        <v>3</v>
      </c>
      <c r="D12" s="155" t="s">
        <v>330</v>
      </c>
      <c r="E12" s="157"/>
      <c r="G12" s="155" t="s">
        <v>195</v>
      </c>
      <c r="H12" s="155" t="s">
        <v>334</v>
      </c>
      <c r="I12" s="155">
        <v>12</v>
      </c>
      <c r="J12" s="155">
        <v>48</v>
      </c>
      <c r="K12" s="155">
        <v>8</v>
      </c>
      <c r="L12" s="155">
        <v>6</v>
      </c>
      <c r="N12" s="155">
        <v>445</v>
      </c>
      <c r="O12" s="155">
        <v>365</v>
      </c>
      <c r="P12" s="155">
        <v>240</v>
      </c>
      <c r="Q12" s="155">
        <v>6.17</v>
      </c>
      <c r="R12" s="155">
        <v>6.77</v>
      </c>
      <c r="S12" s="155">
        <v>50</v>
      </c>
      <c r="T12" s="155">
        <v>175</v>
      </c>
      <c r="U12" s="155">
        <v>50</v>
      </c>
      <c r="V12" s="155">
        <v>0.55000000000000004</v>
      </c>
      <c r="W12" s="155">
        <v>0.45</v>
      </c>
      <c r="X12" s="155">
        <v>0</v>
      </c>
      <c r="Y12" s="155">
        <v>0</v>
      </c>
      <c r="Z12" s="156" t="s">
        <v>333</v>
      </c>
      <c r="AB12" s="167">
        <f>ROUNDUP(dgn_data[[#This Row],[order]]/bhpc_data[[#This Row],[units_per_carton]],0)</f>
        <v>0</v>
      </c>
      <c r="AC12" s="167" t="e">
        <f>dgn_data[[#This Row],[foc_order]]/bhpc_data[[#This Row],[units_per_carton]]</f>
        <v>#REF!</v>
      </c>
      <c r="AD12" s="165" t="e">
        <f>(bhpc_data[[#This Row],[net_weight]]/bhpc_data[[#This Row],[units_per_carton]])*dgn_data[[#This Row],[tot_order]]*bhpc_data[[#This Row],[product1_weight]]</f>
        <v>#REF!</v>
      </c>
      <c r="AE12" s="165" t="e">
        <f>(bhpc_data[[#This Row],[net_weight]]/bhpc_data[[#This Row],[units_per_carton]])*dgn_data[[#This Row],[tot_order]]*bhpc_data[[#This Row],[product2_weight]]</f>
        <v>#REF!</v>
      </c>
      <c r="AF12" s="165" t="e">
        <f>(bhpc_data[[#This Row],[gross_weight]]/bhpc_data[[#This Row],[units_per_carton]])*dgn_data[[#This Row],[tot_order]]*bhpc_data[[#This Row],[product1_weight]]</f>
        <v>#REF!</v>
      </c>
      <c r="AG12" s="165" t="e">
        <f>(bhpc_data[[#This Row],[gross_weight]]/bhpc_data[[#This Row],[units_per_carton]])*dgn_data[[#This Row],[tot_order]]*bhpc_data[[#This Row],[product2_weight]]</f>
        <v>#REF!</v>
      </c>
      <c r="AH1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2" s="158">
        <f>SUMIF('ORDER ENTRY FORM'!$C$4:$C$61,bhpc_data[[#This Row],[sku]],'ORDER ENTRY FORM'!$E$4:$E$61)</f>
        <v>0</v>
      </c>
      <c r="AK12" s="158" t="e">
        <f>SUMIF('ORDER ENTRY FORM'!$C$4:$C$61,bhpc_data[[#This Row],[sku]],'ORDER ENTRY FORM'!#REF!)</f>
        <v>#REF!</v>
      </c>
      <c r="AL12" s="158" t="e">
        <f>dgn_data[[#This Row],[order]]+dgn_data[[#This Row],[foc_order]]</f>
        <v>#REF!</v>
      </c>
    </row>
    <row r="13" spans="1:38">
      <c r="A13" s="155" t="s">
        <v>63</v>
      </c>
      <c r="B13" s="155" t="s">
        <v>176</v>
      </c>
      <c r="C13" s="155">
        <v>3</v>
      </c>
      <c r="D13" s="155" t="s">
        <v>330</v>
      </c>
      <c r="E13" s="157"/>
      <c r="G13" s="155" t="s">
        <v>196</v>
      </c>
      <c r="H13" s="155" t="s">
        <v>334</v>
      </c>
      <c r="I13" s="155">
        <v>12</v>
      </c>
      <c r="J13" s="155">
        <v>48</v>
      </c>
      <c r="K13" s="155">
        <v>8</v>
      </c>
      <c r="L13" s="155">
        <v>6</v>
      </c>
      <c r="N13" s="155">
        <v>445</v>
      </c>
      <c r="O13" s="155">
        <v>365</v>
      </c>
      <c r="P13" s="155">
        <v>240</v>
      </c>
      <c r="Q13" s="155">
        <v>6.17</v>
      </c>
      <c r="R13" s="155">
        <v>6.77</v>
      </c>
      <c r="S13" s="155">
        <v>50</v>
      </c>
      <c r="T13" s="155">
        <v>175</v>
      </c>
      <c r="U13" s="155">
        <v>50</v>
      </c>
      <c r="V13" s="155">
        <v>0.55000000000000004</v>
      </c>
      <c r="W13" s="155">
        <v>0.45</v>
      </c>
      <c r="X13" s="155">
        <v>0</v>
      </c>
      <c r="Y13" s="155">
        <v>0</v>
      </c>
      <c r="Z13" s="156" t="s">
        <v>333</v>
      </c>
      <c r="AB13" s="167">
        <f>ROUNDUP(dgn_data[[#This Row],[order]]/bhpc_data[[#This Row],[units_per_carton]],0)</f>
        <v>0</v>
      </c>
      <c r="AC13" s="167" t="e">
        <f>dgn_data[[#This Row],[foc_order]]/bhpc_data[[#This Row],[units_per_carton]]</f>
        <v>#REF!</v>
      </c>
      <c r="AD13" s="165" t="e">
        <f>(bhpc_data[[#This Row],[net_weight]]/bhpc_data[[#This Row],[units_per_carton]])*dgn_data[[#This Row],[tot_order]]*bhpc_data[[#This Row],[product1_weight]]</f>
        <v>#REF!</v>
      </c>
      <c r="AE13" s="165" t="e">
        <f>(bhpc_data[[#This Row],[net_weight]]/bhpc_data[[#This Row],[units_per_carton]])*dgn_data[[#This Row],[tot_order]]*bhpc_data[[#This Row],[product2_weight]]</f>
        <v>#REF!</v>
      </c>
      <c r="AF13" s="165" t="e">
        <f>(bhpc_data[[#This Row],[gross_weight]]/bhpc_data[[#This Row],[units_per_carton]])*dgn_data[[#This Row],[tot_order]]*bhpc_data[[#This Row],[product1_weight]]</f>
        <v>#REF!</v>
      </c>
      <c r="AG13" s="165" t="e">
        <f>(bhpc_data[[#This Row],[gross_weight]]/bhpc_data[[#This Row],[units_per_carton]])*dgn_data[[#This Row],[tot_order]]*bhpc_data[[#This Row],[product2_weight]]</f>
        <v>#REF!</v>
      </c>
      <c r="AH1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3" s="158">
        <f>SUMIF('ORDER ENTRY FORM'!$C$4:$C$61,bhpc_data[[#This Row],[sku]],'ORDER ENTRY FORM'!$E$4:$E$61)</f>
        <v>0</v>
      </c>
      <c r="AK13" s="158" t="e">
        <f>SUMIF('ORDER ENTRY FORM'!$C$4:$C$61,bhpc_data[[#This Row],[sku]],'ORDER ENTRY FORM'!#REF!)</f>
        <v>#REF!</v>
      </c>
      <c r="AL13" s="158" t="e">
        <f>dgn_data[[#This Row],[order]]+dgn_data[[#This Row],[foc_order]]</f>
        <v>#REF!</v>
      </c>
    </row>
    <row r="14" spans="1:38">
      <c r="A14" s="155" t="s">
        <v>64</v>
      </c>
      <c r="B14" s="155" t="s">
        <v>176</v>
      </c>
      <c r="C14" s="155">
        <v>3</v>
      </c>
      <c r="D14" s="155" t="s">
        <v>326</v>
      </c>
      <c r="E14" s="157"/>
      <c r="G14" s="155" t="s">
        <v>197</v>
      </c>
      <c r="H14" s="155" t="s">
        <v>334</v>
      </c>
      <c r="I14" s="155">
        <v>12</v>
      </c>
      <c r="J14" s="155">
        <v>48</v>
      </c>
      <c r="K14" s="155">
        <v>8</v>
      </c>
      <c r="L14" s="155">
        <v>6</v>
      </c>
      <c r="N14" s="155">
        <v>445</v>
      </c>
      <c r="O14" s="155">
        <v>365</v>
      </c>
      <c r="P14" s="155">
        <v>240</v>
      </c>
      <c r="Q14" s="155">
        <v>5.7</v>
      </c>
      <c r="R14" s="155">
        <v>6.3</v>
      </c>
      <c r="S14" s="155">
        <v>50</v>
      </c>
      <c r="T14" s="155">
        <v>150</v>
      </c>
      <c r="U14" s="155">
        <v>50</v>
      </c>
      <c r="V14" s="155">
        <v>0.55000000000000004</v>
      </c>
      <c r="W14" s="155">
        <v>0.45</v>
      </c>
      <c r="X14" s="155">
        <v>0</v>
      </c>
      <c r="Y14" s="155">
        <v>0</v>
      </c>
      <c r="Z14" s="156" t="s">
        <v>333</v>
      </c>
      <c r="AB14" s="167">
        <f>ROUNDUP(dgn_data[[#This Row],[order]]/bhpc_data[[#This Row],[units_per_carton]],0)</f>
        <v>0</v>
      </c>
      <c r="AC14" s="167" t="e">
        <f>dgn_data[[#This Row],[foc_order]]/bhpc_data[[#This Row],[units_per_carton]]</f>
        <v>#REF!</v>
      </c>
      <c r="AD14" s="165" t="e">
        <f>(bhpc_data[[#This Row],[net_weight]]/bhpc_data[[#This Row],[units_per_carton]])*dgn_data[[#This Row],[tot_order]]*bhpc_data[[#This Row],[product1_weight]]</f>
        <v>#REF!</v>
      </c>
      <c r="AE14" s="165" t="e">
        <f>(bhpc_data[[#This Row],[net_weight]]/bhpc_data[[#This Row],[units_per_carton]])*dgn_data[[#This Row],[tot_order]]*bhpc_data[[#This Row],[product2_weight]]</f>
        <v>#REF!</v>
      </c>
      <c r="AF14" s="165" t="e">
        <f>(bhpc_data[[#This Row],[gross_weight]]/bhpc_data[[#This Row],[units_per_carton]])*dgn_data[[#This Row],[tot_order]]*bhpc_data[[#This Row],[product1_weight]]</f>
        <v>#REF!</v>
      </c>
      <c r="AG14" s="165" t="e">
        <f>(bhpc_data[[#This Row],[gross_weight]]/bhpc_data[[#This Row],[units_per_carton]])*dgn_data[[#This Row],[tot_order]]*bhpc_data[[#This Row],[product2_weight]]</f>
        <v>#REF!</v>
      </c>
      <c r="AH1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4" s="158">
        <f>SUMIF('ORDER ENTRY FORM'!$C$4:$C$61,bhpc_data[[#This Row],[sku]],'ORDER ENTRY FORM'!$E$4:$E$61)</f>
        <v>0</v>
      </c>
      <c r="AK14" s="158" t="e">
        <f>SUMIF('ORDER ENTRY FORM'!$C$4:$C$61,bhpc_data[[#This Row],[sku]],'ORDER ENTRY FORM'!#REF!)</f>
        <v>#REF!</v>
      </c>
      <c r="AL14" s="158" t="e">
        <f>dgn_data[[#This Row],[order]]+dgn_data[[#This Row],[foc_order]]</f>
        <v>#REF!</v>
      </c>
    </row>
    <row r="15" spans="1:38">
      <c r="A15" s="155" t="s">
        <v>65</v>
      </c>
      <c r="B15" s="155" t="s">
        <v>176</v>
      </c>
      <c r="C15" s="155">
        <v>3</v>
      </c>
      <c r="D15" s="155" t="s">
        <v>326</v>
      </c>
      <c r="E15" s="157"/>
      <c r="G15" s="155" t="s">
        <v>198</v>
      </c>
      <c r="H15" s="155" t="s">
        <v>334</v>
      </c>
      <c r="I15" s="155">
        <v>12</v>
      </c>
      <c r="J15" s="155">
        <v>48</v>
      </c>
      <c r="K15" s="155">
        <v>8</v>
      </c>
      <c r="L15" s="155">
        <v>6</v>
      </c>
      <c r="N15" s="155">
        <v>445</v>
      </c>
      <c r="O15" s="155">
        <v>365</v>
      </c>
      <c r="P15" s="155">
        <v>240</v>
      </c>
      <c r="Q15" s="155">
        <v>5.7</v>
      </c>
      <c r="R15" s="155">
        <v>6.3</v>
      </c>
      <c r="S15" s="155">
        <v>50</v>
      </c>
      <c r="T15" s="155">
        <v>150</v>
      </c>
      <c r="U15" s="155">
        <v>50</v>
      </c>
      <c r="V15" s="155">
        <v>0.55000000000000004</v>
      </c>
      <c r="W15" s="155">
        <v>0.45</v>
      </c>
      <c r="X15" s="155">
        <v>0</v>
      </c>
      <c r="Y15" s="155">
        <v>0</v>
      </c>
      <c r="Z15" s="156" t="s">
        <v>333</v>
      </c>
      <c r="AB15" s="167">
        <f>ROUNDUP(dgn_data[[#This Row],[order]]/bhpc_data[[#This Row],[units_per_carton]],0)</f>
        <v>0</v>
      </c>
      <c r="AC15" s="167" t="e">
        <f>dgn_data[[#This Row],[foc_order]]/bhpc_data[[#This Row],[units_per_carton]]</f>
        <v>#REF!</v>
      </c>
      <c r="AD15" s="165" t="e">
        <f>(bhpc_data[[#This Row],[net_weight]]/bhpc_data[[#This Row],[units_per_carton]])*dgn_data[[#This Row],[tot_order]]*bhpc_data[[#This Row],[product1_weight]]</f>
        <v>#REF!</v>
      </c>
      <c r="AE15" s="165" t="e">
        <f>(bhpc_data[[#This Row],[net_weight]]/bhpc_data[[#This Row],[units_per_carton]])*dgn_data[[#This Row],[tot_order]]*bhpc_data[[#This Row],[product2_weight]]</f>
        <v>#REF!</v>
      </c>
      <c r="AF15" s="165" t="e">
        <f>(bhpc_data[[#This Row],[gross_weight]]/bhpc_data[[#This Row],[units_per_carton]])*dgn_data[[#This Row],[tot_order]]*bhpc_data[[#This Row],[product1_weight]]</f>
        <v>#REF!</v>
      </c>
      <c r="AG15" s="165" t="e">
        <f>(bhpc_data[[#This Row],[gross_weight]]/bhpc_data[[#This Row],[units_per_carton]])*dgn_data[[#This Row],[tot_order]]*bhpc_data[[#This Row],[product2_weight]]</f>
        <v>#REF!</v>
      </c>
      <c r="AH1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5" s="158">
        <f>SUMIF('ORDER ENTRY FORM'!$C$4:$C$61,bhpc_data[[#This Row],[sku]],'ORDER ENTRY FORM'!$E$4:$E$61)</f>
        <v>0</v>
      </c>
      <c r="AK15" s="158" t="e">
        <f>SUMIF('ORDER ENTRY FORM'!$C$4:$C$61,bhpc_data[[#This Row],[sku]],'ORDER ENTRY FORM'!#REF!)</f>
        <v>#REF!</v>
      </c>
      <c r="AL15" s="158" t="e">
        <f>dgn_data[[#This Row],[order]]+dgn_data[[#This Row],[foc_order]]</f>
        <v>#REF!</v>
      </c>
    </row>
    <row r="16" spans="1:38">
      <c r="A16" s="155" t="s">
        <v>66</v>
      </c>
      <c r="B16" s="155" t="s">
        <v>176</v>
      </c>
      <c r="C16" s="155">
        <v>3</v>
      </c>
      <c r="D16" s="155" t="s">
        <v>326</v>
      </c>
      <c r="E16" s="157"/>
      <c r="G16" s="155" t="s">
        <v>199</v>
      </c>
      <c r="H16" s="155" t="s">
        <v>334</v>
      </c>
      <c r="I16" s="155">
        <v>12</v>
      </c>
      <c r="J16" s="155">
        <v>48</v>
      </c>
      <c r="K16" s="155">
        <v>8</v>
      </c>
      <c r="L16" s="155">
        <v>6</v>
      </c>
      <c r="N16" s="155">
        <v>445</v>
      </c>
      <c r="O16" s="155">
        <v>365</v>
      </c>
      <c r="P16" s="155">
        <v>240</v>
      </c>
      <c r="Q16" s="155">
        <v>5.7</v>
      </c>
      <c r="R16" s="155">
        <v>6.3</v>
      </c>
      <c r="S16" s="155">
        <v>50</v>
      </c>
      <c r="T16" s="155">
        <v>150</v>
      </c>
      <c r="U16" s="155">
        <v>50</v>
      </c>
      <c r="V16" s="155">
        <v>0.55000000000000004</v>
      </c>
      <c r="W16" s="155">
        <v>0.45</v>
      </c>
      <c r="X16" s="155">
        <v>0</v>
      </c>
      <c r="Y16" s="155">
        <v>0</v>
      </c>
      <c r="Z16" s="156" t="s">
        <v>333</v>
      </c>
      <c r="AB16" s="167">
        <f>ROUNDUP(dgn_data[[#This Row],[order]]/bhpc_data[[#This Row],[units_per_carton]],0)</f>
        <v>0</v>
      </c>
      <c r="AC16" s="167" t="e">
        <f>dgn_data[[#This Row],[foc_order]]/bhpc_data[[#This Row],[units_per_carton]]</f>
        <v>#REF!</v>
      </c>
      <c r="AD16" s="165" t="e">
        <f>(bhpc_data[[#This Row],[net_weight]]/bhpc_data[[#This Row],[units_per_carton]])*dgn_data[[#This Row],[tot_order]]*bhpc_data[[#This Row],[product1_weight]]</f>
        <v>#REF!</v>
      </c>
      <c r="AE16" s="165" t="e">
        <f>(bhpc_data[[#This Row],[net_weight]]/bhpc_data[[#This Row],[units_per_carton]])*dgn_data[[#This Row],[tot_order]]*bhpc_data[[#This Row],[product2_weight]]</f>
        <v>#REF!</v>
      </c>
      <c r="AF16" s="165" t="e">
        <f>(bhpc_data[[#This Row],[gross_weight]]/bhpc_data[[#This Row],[units_per_carton]])*dgn_data[[#This Row],[tot_order]]*bhpc_data[[#This Row],[product1_weight]]</f>
        <v>#REF!</v>
      </c>
      <c r="AG16" s="165" t="e">
        <f>(bhpc_data[[#This Row],[gross_weight]]/bhpc_data[[#This Row],[units_per_carton]])*dgn_data[[#This Row],[tot_order]]*bhpc_data[[#This Row],[product2_weight]]</f>
        <v>#REF!</v>
      </c>
      <c r="AH1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6" s="158">
        <f>SUMIF('ORDER ENTRY FORM'!$C$4:$C$61,bhpc_data[[#This Row],[sku]],'ORDER ENTRY FORM'!$E$4:$E$61)</f>
        <v>0</v>
      </c>
      <c r="AK16" s="158" t="e">
        <f>SUMIF('ORDER ENTRY FORM'!$C$4:$C$61,bhpc_data[[#This Row],[sku]],'ORDER ENTRY FORM'!#REF!)</f>
        <v>#REF!</v>
      </c>
      <c r="AL16" s="158" t="e">
        <f>dgn_data[[#This Row],[order]]+dgn_data[[#This Row],[foc_order]]</f>
        <v>#REF!</v>
      </c>
    </row>
    <row r="17" spans="1:38">
      <c r="A17" s="155" t="s">
        <v>67</v>
      </c>
      <c r="B17" s="155" t="s">
        <v>176</v>
      </c>
      <c r="C17" s="155">
        <v>3</v>
      </c>
      <c r="D17" s="155" t="s">
        <v>326</v>
      </c>
      <c r="E17" s="157"/>
      <c r="G17" s="155" t="s">
        <v>200</v>
      </c>
      <c r="H17" s="155" t="s">
        <v>334</v>
      </c>
      <c r="I17" s="155">
        <v>12</v>
      </c>
      <c r="J17" s="155">
        <v>48</v>
      </c>
      <c r="K17" s="155">
        <v>8</v>
      </c>
      <c r="L17" s="155">
        <v>6</v>
      </c>
      <c r="N17" s="155">
        <v>445</v>
      </c>
      <c r="O17" s="155">
        <v>365</v>
      </c>
      <c r="P17" s="155">
        <v>240</v>
      </c>
      <c r="Q17" s="155">
        <v>5.7</v>
      </c>
      <c r="R17" s="155">
        <v>6.3</v>
      </c>
      <c r="S17" s="155">
        <v>50</v>
      </c>
      <c r="T17" s="155">
        <v>150</v>
      </c>
      <c r="U17" s="155">
        <v>50</v>
      </c>
      <c r="V17" s="155">
        <v>0.55000000000000004</v>
      </c>
      <c r="W17" s="155">
        <v>0.45</v>
      </c>
      <c r="X17" s="155">
        <v>0</v>
      </c>
      <c r="Y17" s="155">
        <v>0</v>
      </c>
      <c r="Z17" s="156" t="s">
        <v>333</v>
      </c>
      <c r="AB17" s="167">
        <f>ROUNDUP(dgn_data[[#This Row],[order]]/bhpc_data[[#This Row],[units_per_carton]],0)</f>
        <v>0</v>
      </c>
      <c r="AC17" s="167" t="e">
        <f>dgn_data[[#This Row],[foc_order]]/bhpc_data[[#This Row],[units_per_carton]]</f>
        <v>#REF!</v>
      </c>
      <c r="AD17" s="165" t="e">
        <f>(bhpc_data[[#This Row],[net_weight]]/bhpc_data[[#This Row],[units_per_carton]])*dgn_data[[#This Row],[tot_order]]*bhpc_data[[#This Row],[product1_weight]]</f>
        <v>#REF!</v>
      </c>
      <c r="AE17" s="165" t="e">
        <f>(bhpc_data[[#This Row],[net_weight]]/bhpc_data[[#This Row],[units_per_carton]])*dgn_data[[#This Row],[tot_order]]*bhpc_data[[#This Row],[product2_weight]]</f>
        <v>#REF!</v>
      </c>
      <c r="AF17" s="165" t="e">
        <f>(bhpc_data[[#This Row],[gross_weight]]/bhpc_data[[#This Row],[units_per_carton]])*dgn_data[[#This Row],[tot_order]]*bhpc_data[[#This Row],[product1_weight]]</f>
        <v>#REF!</v>
      </c>
      <c r="AG17" s="165" t="e">
        <f>(bhpc_data[[#This Row],[gross_weight]]/bhpc_data[[#This Row],[units_per_carton]])*dgn_data[[#This Row],[tot_order]]*bhpc_data[[#This Row],[product2_weight]]</f>
        <v>#REF!</v>
      </c>
      <c r="AH1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7" s="158">
        <f>SUMIF('ORDER ENTRY FORM'!$C$4:$C$61,bhpc_data[[#This Row],[sku]],'ORDER ENTRY FORM'!$E$4:$E$61)</f>
        <v>0</v>
      </c>
      <c r="AK17" s="158" t="e">
        <f>SUMIF('ORDER ENTRY FORM'!$C$4:$C$61,bhpc_data[[#This Row],[sku]],'ORDER ENTRY FORM'!#REF!)</f>
        <v>#REF!</v>
      </c>
      <c r="AL17" s="158" t="e">
        <f>dgn_data[[#This Row],[order]]+dgn_data[[#This Row],[foc_order]]</f>
        <v>#REF!</v>
      </c>
    </row>
    <row r="18" spans="1:38">
      <c r="A18" s="155" t="s">
        <v>8</v>
      </c>
      <c r="B18" s="155" t="s">
        <v>135</v>
      </c>
      <c r="C18" s="155">
        <v>1</v>
      </c>
      <c r="D18" s="155" t="s">
        <v>330</v>
      </c>
      <c r="E18" s="157">
        <v>8718719850084</v>
      </c>
      <c r="F18" s="156" t="s">
        <v>336</v>
      </c>
      <c r="G18" s="155" t="s">
        <v>9</v>
      </c>
      <c r="H18" s="155" t="s">
        <v>328</v>
      </c>
      <c r="I18" s="155">
        <v>24</v>
      </c>
      <c r="J18" s="155">
        <v>72</v>
      </c>
      <c r="K18" s="155">
        <v>9</v>
      </c>
      <c r="L18" s="155">
        <v>8</v>
      </c>
      <c r="N18" s="155">
        <v>385</v>
      </c>
      <c r="O18" s="155">
        <v>250</v>
      </c>
      <c r="P18" s="155">
        <v>150</v>
      </c>
      <c r="Q18" s="155">
        <v>4.8</v>
      </c>
      <c r="R18" s="155">
        <v>5.2</v>
      </c>
      <c r="S18" s="155">
        <v>50</v>
      </c>
      <c r="T18" s="155">
        <v>0</v>
      </c>
      <c r="U18" s="155">
        <v>0</v>
      </c>
      <c r="V18" s="155">
        <v>1</v>
      </c>
      <c r="W18" s="155">
        <v>0</v>
      </c>
      <c r="X18" s="155">
        <v>0</v>
      </c>
      <c r="Y18" s="155">
        <v>0</v>
      </c>
      <c r="Z18" s="156" t="s">
        <v>333</v>
      </c>
      <c r="AB18" s="167">
        <f>ROUNDUP(dgn_data[[#This Row],[order]]/bhpc_data[[#This Row],[units_per_carton]],0)</f>
        <v>0</v>
      </c>
      <c r="AC18" s="167" t="e">
        <f>dgn_data[[#This Row],[foc_order]]/bhpc_data[[#This Row],[units_per_carton]]</f>
        <v>#REF!</v>
      </c>
      <c r="AD18" s="165" t="e">
        <f>(bhpc_data[[#This Row],[net_weight]]/bhpc_data[[#This Row],[units_per_carton]])*dgn_data[[#This Row],[tot_order]]*bhpc_data[[#This Row],[product1_weight]]</f>
        <v>#REF!</v>
      </c>
      <c r="AE18" s="165" t="e">
        <f>(bhpc_data[[#This Row],[net_weight]]/bhpc_data[[#This Row],[units_per_carton]])*dgn_data[[#This Row],[tot_order]]*bhpc_data[[#This Row],[product2_weight]]</f>
        <v>#REF!</v>
      </c>
      <c r="AF18" s="165" t="e">
        <f>(bhpc_data[[#This Row],[gross_weight]]/bhpc_data[[#This Row],[units_per_carton]])*dgn_data[[#This Row],[tot_order]]*bhpc_data[[#This Row],[product1_weight]]</f>
        <v>#REF!</v>
      </c>
      <c r="AG18" s="165" t="e">
        <f>(bhpc_data[[#This Row],[gross_weight]]/bhpc_data[[#This Row],[units_per_carton]])*dgn_data[[#This Row],[tot_order]]*bhpc_data[[#This Row],[product2_weight]]</f>
        <v>#REF!</v>
      </c>
      <c r="AH1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8" s="158">
        <f>SUMIF('ORDER ENTRY FORM'!$C$4:$C$61,bhpc_data[[#This Row],[sku]],'ORDER ENTRY FORM'!$E$4:$E$61)</f>
        <v>0</v>
      </c>
      <c r="AK18" s="158" t="e">
        <f>SUMIF('ORDER ENTRY FORM'!$C$4:$C$61,bhpc_data[[#This Row],[sku]],'ORDER ENTRY FORM'!#REF!)</f>
        <v>#REF!</v>
      </c>
      <c r="AL18" s="158" t="e">
        <f>dgn_data[[#This Row],[order]]+dgn_data[[#This Row],[foc_order]]</f>
        <v>#REF!</v>
      </c>
    </row>
    <row r="19" spans="1:38">
      <c r="A19" s="155" t="s">
        <v>10</v>
      </c>
      <c r="B19" s="155" t="s">
        <v>135</v>
      </c>
      <c r="C19" s="155">
        <v>1</v>
      </c>
      <c r="D19" s="155" t="s">
        <v>330</v>
      </c>
      <c r="E19" s="157">
        <v>8718719850091</v>
      </c>
      <c r="F19" s="156" t="s">
        <v>336</v>
      </c>
      <c r="G19" s="155" t="s">
        <v>11</v>
      </c>
      <c r="H19" s="155" t="s">
        <v>328</v>
      </c>
      <c r="I19" s="155">
        <v>24</v>
      </c>
      <c r="J19" s="155">
        <v>72</v>
      </c>
      <c r="K19" s="155">
        <v>9</v>
      </c>
      <c r="L19" s="155">
        <v>8</v>
      </c>
      <c r="N19" s="155">
        <v>385</v>
      </c>
      <c r="O19" s="155">
        <v>250</v>
      </c>
      <c r="P19" s="155">
        <v>150</v>
      </c>
      <c r="Q19" s="155">
        <v>4.8</v>
      </c>
      <c r="R19" s="155">
        <v>5.2</v>
      </c>
      <c r="S19" s="155">
        <v>50</v>
      </c>
      <c r="T19" s="155">
        <v>0</v>
      </c>
      <c r="U19" s="155">
        <v>0</v>
      </c>
      <c r="V19" s="155">
        <v>1</v>
      </c>
      <c r="W19" s="155">
        <v>0</v>
      </c>
      <c r="X19" s="155">
        <v>0</v>
      </c>
      <c r="Y19" s="155">
        <v>0</v>
      </c>
      <c r="Z19" s="156" t="s">
        <v>333</v>
      </c>
      <c r="AB19" s="167">
        <f>ROUNDUP(dgn_data[[#This Row],[order]]/bhpc_data[[#This Row],[units_per_carton]],0)</f>
        <v>0</v>
      </c>
      <c r="AC19" s="167" t="e">
        <f>dgn_data[[#This Row],[foc_order]]/bhpc_data[[#This Row],[units_per_carton]]</f>
        <v>#REF!</v>
      </c>
      <c r="AD19" s="165" t="e">
        <f>(bhpc_data[[#This Row],[net_weight]]/bhpc_data[[#This Row],[units_per_carton]])*dgn_data[[#This Row],[tot_order]]*bhpc_data[[#This Row],[product1_weight]]</f>
        <v>#REF!</v>
      </c>
      <c r="AE19" s="165" t="e">
        <f>(bhpc_data[[#This Row],[net_weight]]/bhpc_data[[#This Row],[units_per_carton]])*dgn_data[[#This Row],[tot_order]]*bhpc_data[[#This Row],[product2_weight]]</f>
        <v>#REF!</v>
      </c>
      <c r="AF19" s="165" t="e">
        <f>(bhpc_data[[#This Row],[gross_weight]]/bhpc_data[[#This Row],[units_per_carton]])*dgn_data[[#This Row],[tot_order]]*bhpc_data[[#This Row],[product1_weight]]</f>
        <v>#REF!</v>
      </c>
      <c r="AG19" s="165" t="e">
        <f>(bhpc_data[[#This Row],[gross_weight]]/bhpc_data[[#This Row],[units_per_carton]])*dgn_data[[#This Row],[tot_order]]*bhpc_data[[#This Row],[product2_weight]]</f>
        <v>#REF!</v>
      </c>
      <c r="AH1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9" s="158">
        <f>SUMIF('ORDER ENTRY FORM'!$C$4:$C$61,bhpc_data[[#This Row],[sku]],'ORDER ENTRY FORM'!$E$4:$E$61)</f>
        <v>0</v>
      </c>
      <c r="AK19" s="158" t="e">
        <f>SUMIF('ORDER ENTRY FORM'!$C$4:$C$61,bhpc_data[[#This Row],[sku]],'ORDER ENTRY FORM'!#REF!)</f>
        <v>#REF!</v>
      </c>
      <c r="AL19" s="158" t="e">
        <f>dgn_data[[#This Row],[order]]+dgn_data[[#This Row],[foc_order]]</f>
        <v>#REF!</v>
      </c>
    </row>
    <row r="20" spans="1:38">
      <c r="A20" s="155" t="s">
        <v>12</v>
      </c>
      <c r="B20" s="155" t="s">
        <v>135</v>
      </c>
      <c r="C20" s="155">
        <v>1</v>
      </c>
      <c r="D20" s="155" t="s">
        <v>330</v>
      </c>
      <c r="E20" s="157">
        <v>8718719850107</v>
      </c>
      <c r="F20" s="156" t="s">
        <v>336</v>
      </c>
      <c r="G20" s="155" t="s">
        <v>13</v>
      </c>
      <c r="H20" s="155" t="s">
        <v>328</v>
      </c>
      <c r="I20" s="155">
        <v>24</v>
      </c>
      <c r="J20" s="155">
        <v>72</v>
      </c>
      <c r="K20" s="155">
        <v>9</v>
      </c>
      <c r="L20" s="155">
        <v>8</v>
      </c>
      <c r="N20" s="155">
        <v>385</v>
      </c>
      <c r="O20" s="155">
        <v>250</v>
      </c>
      <c r="P20" s="155">
        <v>150</v>
      </c>
      <c r="Q20" s="155">
        <v>4.8</v>
      </c>
      <c r="R20" s="155">
        <v>5.2</v>
      </c>
      <c r="S20" s="155">
        <v>50</v>
      </c>
      <c r="T20" s="155">
        <v>0</v>
      </c>
      <c r="U20" s="155">
        <v>0</v>
      </c>
      <c r="V20" s="155">
        <v>1</v>
      </c>
      <c r="W20" s="155">
        <v>0</v>
      </c>
      <c r="X20" s="155">
        <v>0</v>
      </c>
      <c r="Y20" s="155">
        <v>0</v>
      </c>
      <c r="Z20" s="156" t="s">
        <v>333</v>
      </c>
      <c r="AB20" s="167">
        <f>ROUNDUP(dgn_data[[#This Row],[order]]/bhpc_data[[#This Row],[units_per_carton]],0)</f>
        <v>0</v>
      </c>
      <c r="AC20" s="167" t="e">
        <f>dgn_data[[#This Row],[foc_order]]/bhpc_data[[#This Row],[units_per_carton]]</f>
        <v>#REF!</v>
      </c>
      <c r="AD20" s="165" t="e">
        <f>(bhpc_data[[#This Row],[net_weight]]/bhpc_data[[#This Row],[units_per_carton]])*dgn_data[[#This Row],[tot_order]]*bhpc_data[[#This Row],[product1_weight]]</f>
        <v>#REF!</v>
      </c>
      <c r="AE20" s="165" t="e">
        <f>(bhpc_data[[#This Row],[net_weight]]/bhpc_data[[#This Row],[units_per_carton]])*dgn_data[[#This Row],[tot_order]]*bhpc_data[[#This Row],[product2_weight]]</f>
        <v>#REF!</v>
      </c>
      <c r="AF20" s="165" t="e">
        <f>(bhpc_data[[#This Row],[gross_weight]]/bhpc_data[[#This Row],[units_per_carton]])*dgn_data[[#This Row],[tot_order]]*bhpc_data[[#This Row],[product1_weight]]</f>
        <v>#REF!</v>
      </c>
      <c r="AG20" s="165" t="e">
        <f>(bhpc_data[[#This Row],[gross_weight]]/bhpc_data[[#This Row],[units_per_carton]])*dgn_data[[#This Row],[tot_order]]*bhpc_data[[#This Row],[product2_weight]]</f>
        <v>#REF!</v>
      </c>
      <c r="AH2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0" s="158">
        <f>SUMIF('ORDER ENTRY FORM'!$C$4:$C$61,bhpc_data[[#This Row],[sku]],'ORDER ENTRY FORM'!$E$4:$E$61)</f>
        <v>0</v>
      </c>
      <c r="AK20" s="158" t="e">
        <f>SUMIF('ORDER ENTRY FORM'!$C$4:$C$61,bhpc_data[[#This Row],[sku]],'ORDER ENTRY FORM'!#REF!)</f>
        <v>#REF!</v>
      </c>
      <c r="AL20" s="158" t="e">
        <f>dgn_data[[#This Row],[order]]+dgn_data[[#This Row],[foc_order]]</f>
        <v>#REF!</v>
      </c>
    </row>
    <row r="21" spans="1:38">
      <c r="A21" s="155" t="s">
        <v>14</v>
      </c>
      <c r="B21" s="155" t="s">
        <v>135</v>
      </c>
      <c r="C21" s="155">
        <v>1</v>
      </c>
      <c r="D21" s="155" t="s">
        <v>330</v>
      </c>
      <c r="E21" s="157">
        <v>8718719850114</v>
      </c>
      <c r="F21" s="156" t="s">
        <v>336</v>
      </c>
      <c r="G21" s="155" t="s">
        <v>15</v>
      </c>
      <c r="H21" s="155" t="s">
        <v>328</v>
      </c>
      <c r="I21" s="155">
        <v>24</v>
      </c>
      <c r="J21" s="155">
        <v>72</v>
      </c>
      <c r="K21" s="155">
        <v>9</v>
      </c>
      <c r="L21" s="155">
        <v>8</v>
      </c>
      <c r="N21" s="155">
        <v>385</v>
      </c>
      <c r="O21" s="155">
        <v>250</v>
      </c>
      <c r="P21" s="155">
        <v>150</v>
      </c>
      <c r="Q21" s="155">
        <v>4.8</v>
      </c>
      <c r="R21" s="155">
        <v>5.2</v>
      </c>
      <c r="S21" s="155">
        <v>50</v>
      </c>
      <c r="T21" s="155">
        <v>0</v>
      </c>
      <c r="U21" s="155">
        <v>0</v>
      </c>
      <c r="V21" s="155">
        <v>1</v>
      </c>
      <c r="W21" s="155">
        <v>0</v>
      </c>
      <c r="X21" s="155">
        <v>0</v>
      </c>
      <c r="Y21" s="155">
        <v>0</v>
      </c>
      <c r="Z21" s="156" t="s">
        <v>333</v>
      </c>
      <c r="AB21" s="167">
        <f>ROUNDUP(dgn_data[[#This Row],[order]]/bhpc_data[[#This Row],[units_per_carton]],0)</f>
        <v>0</v>
      </c>
      <c r="AC21" s="167" t="e">
        <f>dgn_data[[#This Row],[foc_order]]/bhpc_data[[#This Row],[units_per_carton]]</f>
        <v>#REF!</v>
      </c>
      <c r="AD21" s="165" t="e">
        <f>(bhpc_data[[#This Row],[net_weight]]/bhpc_data[[#This Row],[units_per_carton]])*dgn_data[[#This Row],[tot_order]]*bhpc_data[[#This Row],[product1_weight]]</f>
        <v>#REF!</v>
      </c>
      <c r="AE21" s="165" t="e">
        <f>(bhpc_data[[#This Row],[net_weight]]/bhpc_data[[#This Row],[units_per_carton]])*dgn_data[[#This Row],[tot_order]]*bhpc_data[[#This Row],[product2_weight]]</f>
        <v>#REF!</v>
      </c>
      <c r="AF21" s="165" t="e">
        <f>(bhpc_data[[#This Row],[gross_weight]]/bhpc_data[[#This Row],[units_per_carton]])*dgn_data[[#This Row],[tot_order]]*bhpc_data[[#This Row],[product1_weight]]</f>
        <v>#REF!</v>
      </c>
      <c r="AG21" s="165" t="e">
        <f>(bhpc_data[[#This Row],[gross_weight]]/bhpc_data[[#This Row],[units_per_carton]])*dgn_data[[#This Row],[tot_order]]*bhpc_data[[#This Row],[product2_weight]]</f>
        <v>#REF!</v>
      </c>
      <c r="AH2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1" s="158">
        <f>SUMIF('ORDER ENTRY FORM'!$C$4:$C$61,bhpc_data[[#This Row],[sku]],'ORDER ENTRY FORM'!$E$4:$E$61)</f>
        <v>0</v>
      </c>
      <c r="AK21" s="158" t="e">
        <f>SUMIF('ORDER ENTRY FORM'!$C$4:$C$61,bhpc_data[[#This Row],[sku]],'ORDER ENTRY FORM'!#REF!)</f>
        <v>#REF!</v>
      </c>
      <c r="AL21" s="158" t="e">
        <f>dgn_data[[#This Row],[order]]+dgn_data[[#This Row],[foc_order]]</f>
        <v>#REF!</v>
      </c>
    </row>
    <row r="22" spans="1:38">
      <c r="A22" s="155" t="s">
        <v>20</v>
      </c>
      <c r="B22" s="155" t="s">
        <v>135</v>
      </c>
      <c r="C22" s="155">
        <v>1</v>
      </c>
      <c r="D22" s="155" t="s">
        <v>326</v>
      </c>
      <c r="E22" s="157">
        <v>8718719850282</v>
      </c>
      <c r="F22" s="156" t="s">
        <v>336</v>
      </c>
      <c r="G22" s="155" t="s">
        <v>205</v>
      </c>
      <c r="H22" s="155" t="s">
        <v>328</v>
      </c>
      <c r="I22" s="155">
        <v>24</v>
      </c>
      <c r="J22" s="155">
        <v>72</v>
      </c>
      <c r="K22" s="155">
        <v>9</v>
      </c>
      <c r="L22" s="155">
        <v>8</v>
      </c>
      <c r="N22" s="155">
        <v>377</v>
      </c>
      <c r="O22" s="155">
        <v>300</v>
      </c>
      <c r="P22" s="155">
        <v>163</v>
      </c>
      <c r="Q22" s="155">
        <v>4.68</v>
      </c>
      <c r="R22" s="155">
        <v>5.08</v>
      </c>
      <c r="S22" s="155">
        <v>50</v>
      </c>
      <c r="T22" s="155">
        <v>0</v>
      </c>
      <c r="U22" s="155">
        <v>0</v>
      </c>
      <c r="V22" s="155">
        <v>1</v>
      </c>
      <c r="W22" s="155">
        <v>0</v>
      </c>
      <c r="X22" s="155">
        <v>0</v>
      </c>
      <c r="Y22" s="155">
        <v>0</v>
      </c>
      <c r="Z22" s="156" t="s">
        <v>333</v>
      </c>
      <c r="AB22" s="167">
        <f>ROUNDUP(dgn_data[[#This Row],[order]]/bhpc_data[[#This Row],[units_per_carton]],0)</f>
        <v>0</v>
      </c>
      <c r="AC22" s="167" t="e">
        <f>dgn_data[[#This Row],[foc_order]]/bhpc_data[[#This Row],[units_per_carton]]</f>
        <v>#REF!</v>
      </c>
      <c r="AD22" s="165" t="e">
        <f>(bhpc_data[[#This Row],[net_weight]]/bhpc_data[[#This Row],[units_per_carton]])*dgn_data[[#This Row],[tot_order]]*bhpc_data[[#This Row],[product1_weight]]</f>
        <v>#REF!</v>
      </c>
      <c r="AE22" s="165" t="e">
        <f>(bhpc_data[[#This Row],[net_weight]]/bhpc_data[[#This Row],[units_per_carton]])*dgn_data[[#This Row],[tot_order]]*bhpc_data[[#This Row],[product2_weight]]</f>
        <v>#REF!</v>
      </c>
      <c r="AF22" s="165" t="e">
        <f>(bhpc_data[[#This Row],[gross_weight]]/bhpc_data[[#This Row],[units_per_carton]])*dgn_data[[#This Row],[tot_order]]*bhpc_data[[#This Row],[product1_weight]]</f>
        <v>#REF!</v>
      </c>
      <c r="AG22" s="165" t="e">
        <f>(bhpc_data[[#This Row],[gross_weight]]/bhpc_data[[#This Row],[units_per_carton]])*dgn_data[[#This Row],[tot_order]]*bhpc_data[[#This Row],[product2_weight]]</f>
        <v>#REF!</v>
      </c>
      <c r="AH2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2" s="158">
        <f>SUMIF('ORDER ENTRY FORM'!$C$4:$C$61,bhpc_data[[#This Row],[sku]],'ORDER ENTRY FORM'!$E$4:$E$61)</f>
        <v>0</v>
      </c>
      <c r="AK22" s="158" t="e">
        <f>SUMIF('ORDER ENTRY FORM'!$C$4:$C$61,bhpc_data[[#This Row],[sku]],'ORDER ENTRY FORM'!#REF!)</f>
        <v>#REF!</v>
      </c>
      <c r="AL22" s="158" t="e">
        <f>dgn_data[[#This Row],[order]]+dgn_data[[#This Row],[foc_order]]</f>
        <v>#REF!</v>
      </c>
    </row>
    <row r="23" spans="1:38">
      <c r="A23" s="155" t="s">
        <v>21</v>
      </c>
      <c r="B23" s="155" t="s">
        <v>135</v>
      </c>
      <c r="C23" s="155">
        <v>1</v>
      </c>
      <c r="D23" s="155" t="s">
        <v>326</v>
      </c>
      <c r="E23" s="157">
        <v>8718719850299</v>
      </c>
      <c r="F23" s="156" t="s">
        <v>336</v>
      </c>
      <c r="G23" s="155" t="s">
        <v>206</v>
      </c>
      <c r="H23" s="155" t="s">
        <v>328</v>
      </c>
      <c r="I23" s="155">
        <v>24</v>
      </c>
      <c r="J23" s="155">
        <v>72</v>
      </c>
      <c r="K23" s="155">
        <v>9</v>
      </c>
      <c r="L23" s="155">
        <v>8</v>
      </c>
      <c r="N23" s="155">
        <v>377</v>
      </c>
      <c r="O23" s="155">
        <v>300</v>
      </c>
      <c r="P23" s="155">
        <v>163</v>
      </c>
      <c r="Q23" s="155">
        <v>4.68</v>
      </c>
      <c r="R23" s="155">
        <v>5.08</v>
      </c>
      <c r="S23" s="155">
        <v>50</v>
      </c>
      <c r="T23" s="155">
        <v>0</v>
      </c>
      <c r="U23" s="155">
        <v>0</v>
      </c>
      <c r="V23" s="155">
        <v>1</v>
      </c>
      <c r="W23" s="155">
        <v>0</v>
      </c>
      <c r="X23" s="155">
        <v>0</v>
      </c>
      <c r="Y23" s="155">
        <v>0</v>
      </c>
      <c r="Z23" s="156" t="s">
        <v>333</v>
      </c>
      <c r="AB23" s="167">
        <f>ROUNDUP(dgn_data[[#This Row],[order]]/bhpc_data[[#This Row],[units_per_carton]],0)</f>
        <v>0</v>
      </c>
      <c r="AC23" s="167" t="e">
        <f>dgn_data[[#This Row],[foc_order]]/bhpc_data[[#This Row],[units_per_carton]]</f>
        <v>#REF!</v>
      </c>
      <c r="AD23" s="165" t="e">
        <f>(bhpc_data[[#This Row],[net_weight]]/bhpc_data[[#This Row],[units_per_carton]])*dgn_data[[#This Row],[tot_order]]*bhpc_data[[#This Row],[product1_weight]]</f>
        <v>#REF!</v>
      </c>
      <c r="AE23" s="165" t="e">
        <f>(bhpc_data[[#This Row],[net_weight]]/bhpc_data[[#This Row],[units_per_carton]])*dgn_data[[#This Row],[tot_order]]*bhpc_data[[#This Row],[product2_weight]]</f>
        <v>#REF!</v>
      </c>
      <c r="AF23" s="165" t="e">
        <f>(bhpc_data[[#This Row],[gross_weight]]/bhpc_data[[#This Row],[units_per_carton]])*dgn_data[[#This Row],[tot_order]]*bhpc_data[[#This Row],[product1_weight]]</f>
        <v>#REF!</v>
      </c>
      <c r="AG23" s="165" t="e">
        <f>(bhpc_data[[#This Row],[gross_weight]]/bhpc_data[[#This Row],[units_per_carton]])*dgn_data[[#This Row],[tot_order]]*bhpc_data[[#This Row],[product2_weight]]</f>
        <v>#REF!</v>
      </c>
      <c r="AH2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3" s="158">
        <f>SUMIF('ORDER ENTRY FORM'!$C$4:$C$61,bhpc_data[[#This Row],[sku]],'ORDER ENTRY FORM'!$E$4:$E$61)</f>
        <v>0</v>
      </c>
      <c r="AK23" s="158" t="e">
        <f>SUMIF('ORDER ENTRY FORM'!$C$4:$C$61,bhpc_data[[#This Row],[sku]],'ORDER ENTRY FORM'!#REF!)</f>
        <v>#REF!</v>
      </c>
      <c r="AL23" s="158" t="e">
        <f>dgn_data[[#This Row],[order]]+dgn_data[[#This Row],[foc_order]]</f>
        <v>#REF!</v>
      </c>
    </row>
    <row r="24" spans="1:38">
      <c r="A24" s="155" t="s">
        <v>22</v>
      </c>
      <c r="B24" s="155" t="s">
        <v>135</v>
      </c>
      <c r="C24" s="155">
        <v>1</v>
      </c>
      <c r="D24" s="155" t="s">
        <v>326</v>
      </c>
      <c r="E24" s="157">
        <v>8718719850305</v>
      </c>
      <c r="F24" s="156" t="s">
        <v>336</v>
      </c>
      <c r="G24" s="155" t="s">
        <v>207</v>
      </c>
      <c r="H24" s="155" t="s">
        <v>328</v>
      </c>
      <c r="I24" s="155">
        <v>24</v>
      </c>
      <c r="J24" s="155">
        <v>72</v>
      </c>
      <c r="K24" s="155">
        <v>9</v>
      </c>
      <c r="L24" s="155">
        <v>8</v>
      </c>
      <c r="N24" s="155">
        <v>377</v>
      </c>
      <c r="O24" s="155">
        <v>300</v>
      </c>
      <c r="P24" s="155">
        <v>163</v>
      </c>
      <c r="Q24" s="155">
        <v>4.68</v>
      </c>
      <c r="R24" s="155">
        <v>5.08</v>
      </c>
      <c r="S24" s="155">
        <v>50</v>
      </c>
      <c r="T24" s="155">
        <v>0</v>
      </c>
      <c r="U24" s="155">
        <v>0</v>
      </c>
      <c r="V24" s="155">
        <v>1</v>
      </c>
      <c r="W24" s="155">
        <v>0</v>
      </c>
      <c r="X24" s="155">
        <v>0</v>
      </c>
      <c r="Y24" s="155">
        <v>0</v>
      </c>
      <c r="Z24" s="156" t="s">
        <v>333</v>
      </c>
      <c r="AB24" s="167">
        <f>ROUNDUP(dgn_data[[#This Row],[order]]/bhpc_data[[#This Row],[units_per_carton]],0)</f>
        <v>0</v>
      </c>
      <c r="AC24" s="167" t="e">
        <f>dgn_data[[#This Row],[foc_order]]/bhpc_data[[#This Row],[units_per_carton]]</f>
        <v>#REF!</v>
      </c>
      <c r="AD24" s="165" t="e">
        <f>(bhpc_data[[#This Row],[net_weight]]/bhpc_data[[#This Row],[units_per_carton]])*dgn_data[[#This Row],[tot_order]]*bhpc_data[[#This Row],[product1_weight]]</f>
        <v>#REF!</v>
      </c>
      <c r="AE24" s="165" t="e">
        <f>(bhpc_data[[#This Row],[net_weight]]/bhpc_data[[#This Row],[units_per_carton]])*dgn_data[[#This Row],[tot_order]]*bhpc_data[[#This Row],[product2_weight]]</f>
        <v>#REF!</v>
      </c>
      <c r="AF24" s="165" t="e">
        <f>(bhpc_data[[#This Row],[gross_weight]]/bhpc_data[[#This Row],[units_per_carton]])*dgn_data[[#This Row],[tot_order]]*bhpc_data[[#This Row],[product1_weight]]</f>
        <v>#REF!</v>
      </c>
      <c r="AG24" s="165" t="e">
        <f>(bhpc_data[[#This Row],[gross_weight]]/bhpc_data[[#This Row],[units_per_carton]])*dgn_data[[#This Row],[tot_order]]*bhpc_data[[#This Row],[product2_weight]]</f>
        <v>#REF!</v>
      </c>
      <c r="AH2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4" s="158">
        <f>SUMIF('ORDER ENTRY FORM'!$C$4:$C$61,bhpc_data[[#This Row],[sku]],'ORDER ENTRY FORM'!$E$4:$E$61)</f>
        <v>0</v>
      </c>
      <c r="AK24" s="158" t="e">
        <f>SUMIF('ORDER ENTRY FORM'!$C$4:$C$61,bhpc_data[[#This Row],[sku]],'ORDER ENTRY FORM'!#REF!)</f>
        <v>#REF!</v>
      </c>
      <c r="AL24" s="158" t="e">
        <f>dgn_data[[#This Row],[order]]+dgn_data[[#This Row],[foc_order]]</f>
        <v>#REF!</v>
      </c>
    </row>
    <row r="25" spans="1:38">
      <c r="A25" s="155" t="s">
        <v>23</v>
      </c>
      <c r="B25" s="155" t="s">
        <v>135</v>
      </c>
      <c r="C25" s="155">
        <v>1</v>
      </c>
      <c r="D25" s="155" t="s">
        <v>326</v>
      </c>
      <c r="E25" s="157">
        <v>8718719850312</v>
      </c>
      <c r="F25" s="156" t="s">
        <v>336</v>
      </c>
      <c r="G25" s="155" t="s">
        <v>208</v>
      </c>
      <c r="H25" s="155" t="s">
        <v>328</v>
      </c>
      <c r="I25" s="155">
        <v>24</v>
      </c>
      <c r="J25" s="155">
        <v>72</v>
      </c>
      <c r="K25" s="155">
        <v>9</v>
      </c>
      <c r="L25" s="155">
        <v>8</v>
      </c>
      <c r="N25" s="155">
        <v>377</v>
      </c>
      <c r="O25" s="155">
        <v>300</v>
      </c>
      <c r="P25" s="155">
        <v>163</v>
      </c>
      <c r="Q25" s="155">
        <v>4.68</v>
      </c>
      <c r="R25" s="155">
        <v>5.08</v>
      </c>
      <c r="S25" s="155">
        <v>50</v>
      </c>
      <c r="T25" s="155">
        <v>0</v>
      </c>
      <c r="U25" s="155">
        <v>0</v>
      </c>
      <c r="V25" s="155">
        <v>1</v>
      </c>
      <c r="W25" s="155">
        <v>0</v>
      </c>
      <c r="X25" s="155">
        <v>0</v>
      </c>
      <c r="Y25" s="155">
        <v>0</v>
      </c>
      <c r="Z25" s="156" t="s">
        <v>333</v>
      </c>
      <c r="AB25" s="167">
        <f>ROUNDUP(dgn_data[[#This Row],[order]]/bhpc_data[[#This Row],[units_per_carton]],0)</f>
        <v>0</v>
      </c>
      <c r="AC25" s="167" t="e">
        <f>dgn_data[[#This Row],[foc_order]]/bhpc_data[[#This Row],[units_per_carton]]</f>
        <v>#REF!</v>
      </c>
      <c r="AD25" s="165" t="e">
        <f>(bhpc_data[[#This Row],[net_weight]]/bhpc_data[[#This Row],[units_per_carton]])*dgn_data[[#This Row],[tot_order]]*bhpc_data[[#This Row],[product1_weight]]</f>
        <v>#REF!</v>
      </c>
      <c r="AE25" s="165" t="e">
        <f>(bhpc_data[[#This Row],[net_weight]]/bhpc_data[[#This Row],[units_per_carton]])*dgn_data[[#This Row],[tot_order]]*bhpc_data[[#This Row],[product2_weight]]</f>
        <v>#REF!</v>
      </c>
      <c r="AF25" s="165" t="e">
        <f>(bhpc_data[[#This Row],[gross_weight]]/bhpc_data[[#This Row],[units_per_carton]])*dgn_data[[#This Row],[tot_order]]*bhpc_data[[#This Row],[product1_weight]]</f>
        <v>#REF!</v>
      </c>
      <c r="AG25" s="165" t="e">
        <f>(bhpc_data[[#This Row],[gross_weight]]/bhpc_data[[#This Row],[units_per_carton]])*dgn_data[[#This Row],[tot_order]]*bhpc_data[[#This Row],[product2_weight]]</f>
        <v>#REF!</v>
      </c>
      <c r="AH2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5" s="158">
        <f>SUMIF('ORDER ENTRY FORM'!$C$4:$C$61,bhpc_data[[#This Row],[sku]],'ORDER ENTRY FORM'!$E$4:$E$61)</f>
        <v>0</v>
      </c>
      <c r="AK25" s="158" t="e">
        <f>SUMIF('ORDER ENTRY FORM'!$C$4:$C$61,bhpc_data[[#This Row],[sku]],'ORDER ENTRY FORM'!#REF!)</f>
        <v>#REF!</v>
      </c>
      <c r="AL25" s="158" t="e">
        <f>dgn_data[[#This Row],[order]]+dgn_data[[#This Row],[foc_order]]</f>
        <v>#REF!</v>
      </c>
    </row>
    <row r="26" spans="1:38">
      <c r="A26" s="155" t="s">
        <v>44</v>
      </c>
      <c r="B26" s="155" t="s">
        <v>176</v>
      </c>
      <c r="C26" s="155">
        <v>2</v>
      </c>
      <c r="D26" s="155" t="s">
        <v>330</v>
      </c>
      <c r="E26" s="157">
        <v>6291107160993</v>
      </c>
      <c r="G26" s="155" t="s">
        <v>177</v>
      </c>
      <c r="H26" s="155" t="s">
        <v>334</v>
      </c>
      <c r="I26" s="155">
        <v>12</v>
      </c>
      <c r="J26" s="155">
        <v>48</v>
      </c>
      <c r="K26" s="155">
        <v>8</v>
      </c>
      <c r="L26" s="155">
        <v>6</v>
      </c>
      <c r="N26" s="155">
        <v>472</v>
      </c>
      <c r="O26" s="155">
        <v>344</v>
      </c>
      <c r="P26" s="155">
        <v>201</v>
      </c>
      <c r="Q26" s="155">
        <v>5.85</v>
      </c>
      <c r="R26" s="155">
        <v>6.6</v>
      </c>
      <c r="S26" s="155">
        <v>100</v>
      </c>
      <c r="T26" s="155">
        <v>175</v>
      </c>
      <c r="U26" s="155">
        <v>0</v>
      </c>
      <c r="V26" s="155">
        <v>0.55000000000000004</v>
      </c>
      <c r="W26" s="155">
        <v>0.45</v>
      </c>
      <c r="X26" s="155">
        <v>0</v>
      </c>
      <c r="Y26" s="155">
        <v>0</v>
      </c>
      <c r="Z26" s="156" t="s">
        <v>333</v>
      </c>
      <c r="AB26" s="167">
        <f>ROUNDUP(dgn_data[[#This Row],[order]]/bhpc_data[[#This Row],[units_per_carton]],0)</f>
        <v>9</v>
      </c>
      <c r="AC26" s="167" t="e">
        <f>dgn_data[[#This Row],[foc_order]]/bhpc_data[[#This Row],[units_per_carton]]</f>
        <v>#REF!</v>
      </c>
      <c r="AD26" s="165" t="e">
        <f>(bhpc_data[[#This Row],[net_weight]]/bhpc_data[[#This Row],[units_per_carton]])*dgn_data[[#This Row],[tot_order]]*bhpc_data[[#This Row],[product1_weight]]</f>
        <v>#REF!</v>
      </c>
      <c r="AE26" s="165" t="e">
        <f>(bhpc_data[[#This Row],[net_weight]]/bhpc_data[[#This Row],[units_per_carton]])*dgn_data[[#This Row],[tot_order]]*bhpc_data[[#This Row],[product2_weight]]</f>
        <v>#REF!</v>
      </c>
      <c r="AF26" s="165" t="e">
        <f>(bhpc_data[[#This Row],[gross_weight]]/bhpc_data[[#This Row],[units_per_carton]])*dgn_data[[#This Row],[tot_order]]*bhpc_data[[#This Row],[product1_weight]]</f>
        <v>#REF!</v>
      </c>
      <c r="AG26" s="165" t="e">
        <f>(bhpc_data[[#This Row],[gross_weight]]/bhpc_data[[#This Row],[units_per_carton]])*dgn_data[[#This Row],[tot_order]]*bhpc_data[[#This Row],[product2_weight]]</f>
        <v>#REF!</v>
      </c>
      <c r="AH2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6" s="158">
        <f>SUMIF('ORDER ENTRY FORM'!$C$4:$C$61,bhpc_data[[#This Row],[sku]],'ORDER ENTRY FORM'!$E$4:$E$61)</f>
        <v>100</v>
      </c>
      <c r="AK26" s="158" t="e">
        <f>SUMIF('ORDER ENTRY FORM'!$C$4:$C$61,bhpc_data[[#This Row],[sku]],'ORDER ENTRY FORM'!#REF!)</f>
        <v>#REF!</v>
      </c>
      <c r="AL26" s="158" t="e">
        <f>dgn_data[[#This Row],[order]]+dgn_data[[#This Row],[foc_order]]</f>
        <v>#REF!</v>
      </c>
    </row>
    <row r="27" spans="1:38">
      <c r="A27" s="155" t="s">
        <v>45</v>
      </c>
      <c r="B27" s="155" t="s">
        <v>176</v>
      </c>
      <c r="C27" s="155">
        <v>2</v>
      </c>
      <c r="D27" s="155" t="s">
        <v>330</v>
      </c>
      <c r="E27" s="157">
        <v>6291107161006</v>
      </c>
      <c r="G27" s="155" t="s">
        <v>178</v>
      </c>
      <c r="H27" s="155" t="s">
        <v>334</v>
      </c>
      <c r="I27" s="155">
        <v>12</v>
      </c>
      <c r="J27" s="155">
        <v>48</v>
      </c>
      <c r="K27" s="155">
        <v>8</v>
      </c>
      <c r="L27" s="155">
        <v>6</v>
      </c>
      <c r="N27" s="155">
        <v>472</v>
      </c>
      <c r="O27" s="155">
        <v>344</v>
      </c>
      <c r="P27" s="155">
        <v>201</v>
      </c>
      <c r="Q27" s="155">
        <v>5.85</v>
      </c>
      <c r="R27" s="155">
        <v>6.6</v>
      </c>
      <c r="S27" s="155">
        <v>100</v>
      </c>
      <c r="T27" s="155">
        <v>175</v>
      </c>
      <c r="U27" s="155">
        <v>0</v>
      </c>
      <c r="V27" s="155">
        <v>0.55000000000000004</v>
      </c>
      <c r="W27" s="155">
        <v>0.45</v>
      </c>
      <c r="X27" s="155">
        <v>0</v>
      </c>
      <c r="Y27" s="155">
        <v>0</v>
      </c>
      <c r="Z27" s="156" t="s">
        <v>333</v>
      </c>
      <c r="AB27" s="167">
        <f>ROUNDUP(dgn_data[[#This Row],[order]]/bhpc_data[[#This Row],[units_per_carton]],0)</f>
        <v>9</v>
      </c>
      <c r="AC27" s="167" t="e">
        <f>dgn_data[[#This Row],[foc_order]]/bhpc_data[[#This Row],[units_per_carton]]</f>
        <v>#REF!</v>
      </c>
      <c r="AD27" s="165" t="e">
        <f>(bhpc_data[[#This Row],[net_weight]]/bhpc_data[[#This Row],[units_per_carton]])*dgn_data[[#This Row],[tot_order]]*bhpc_data[[#This Row],[product1_weight]]</f>
        <v>#REF!</v>
      </c>
      <c r="AE27" s="165" t="e">
        <f>(bhpc_data[[#This Row],[net_weight]]/bhpc_data[[#This Row],[units_per_carton]])*dgn_data[[#This Row],[tot_order]]*bhpc_data[[#This Row],[product2_weight]]</f>
        <v>#REF!</v>
      </c>
      <c r="AF27" s="165" t="e">
        <f>(bhpc_data[[#This Row],[gross_weight]]/bhpc_data[[#This Row],[units_per_carton]])*dgn_data[[#This Row],[tot_order]]*bhpc_data[[#This Row],[product1_weight]]</f>
        <v>#REF!</v>
      </c>
      <c r="AG27" s="165" t="e">
        <f>(bhpc_data[[#This Row],[gross_weight]]/bhpc_data[[#This Row],[units_per_carton]])*dgn_data[[#This Row],[tot_order]]*bhpc_data[[#This Row],[product2_weight]]</f>
        <v>#REF!</v>
      </c>
      <c r="AH2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7" s="158">
        <f>SUMIF('ORDER ENTRY FORM'!$C$4:$C$61,bhpc_data[[#This Row],[sku]],'ORDER ENTRY FORM'!$E$4:$E$61)</f>
        <v>100</v>
      </c>
      <c r="AK27" s="158" t="e">
        <f>SUMIF('ORDER ENTRY FORM'!$C$4:$C$61,bhpc_data[[#This Row],[sku]],'ORDER ENTRY FORM'!#REF!)</f>
        <v>#REF!</v>
      </c>
      <c r="AL27" s="158" t="e">
        <f>dgn_data[[#This Row],[order]]+dgn_data[[#This Row],[foc_order]]</f>
        <v>#REF!</v>
      </c>
    </row>
    <row r="28" spans="1:38">
      <c r="A28" s="155" t="s">
        <v>46</v>
      </c>
      <c r="B28" s="155" t="s">
        <v>176</v>
      </c>
      <c r="C28" s="155">
        <v>2</v>
      </c>
      <c r="D28" s="155" t="s">
        <v>330</v>
      </c>
      <c r="E28" s="157">
        <v>6291107161013</v>
      </c>
      <c r="G28" s="155" t="s">
        <v>179</v>
      </c>
      <c r="H28" s="155" t="s">
        <v>334</v>
      </c>
      <c r="I28" s="155">
        <v>12</v>
      </c>
      <c r="J28" s="155">
        <v>48</v>
      </c>
      <c r="K28" s="155">
        <v>8</v>
      </c>
      <c r="L28" s="155">
        <v>6</v>
      </c>
      <c r="N28" s="155">
        <v>472</v>
      </c>
      <c r="O28" s="155">
        <v>344</v>
      </c>
      <c r="P28" s="155">
        <v>201</v>
      </c>
      <c r="Q28" s="155">
        <v>5.85</v>
      </c>
      <c r="R28" s="155">
        <v>6.6</v>
      </c>
      <c r="S28" s="155">
        <v>100</v>
      </c>
      <c r="T28" s="155">
        <v>175</v>
      </c>
      <c r="U28" s="155">
        <v>0</v>
      </c>
      <c r="V28" s="155">
        <v>0.55000000000000004</v>
      </c>
      <c r="W28" s="155">
        <v>0.45</v>
      </c>
      <c r="X28" s="155">
        <v>0</v>
      </c>
      <c r="Y28" s="155">
        <v>0</v>
      </c>
      <c r="Z28" s="156" t="s">
        <v>333</v>
      </c>
      <c r="AB28" s="167">
        <f>ROUNDUP(dgn_data[[#This Row],[order]]/bhpc_data[[#This Row],[units_per_carton]],0)</f>
        <v>9</v>
      </c>
      <c r="AC28" s="167" t="e">
        <f>dgn_data[[#This Row],[foc_order]]/bhpc_data[[#This Row],[units_per_carton]]</f>
        <v>#REF!</v>
      </c>
      <c r="AD28" s="165" t="e">
        <f>(bhpc_data[[#This Row],[net_weight]]/bhpc_data[[#This Row],[units_per_carton]])*dgn_data[[#This Row],[tot_order]]*bhpc_data[[#This Row],[product1_weight]]</f>
        <v>#REF!</v>
      </c>
      <c r="AE28" s="165" t="e">
        <f>(bhpc_data[[#This Row],[net_weight]]/bhpc_data[[#This Row],[units_per_carton]])*dgn_data[[#This Row],[tot_order]]*bhpc_data[[#This Row],[product2_weight]]</f>
        <v>#REF!</v>
      </c>
      <c r="AF28" s="165" t="e">
        <f>(bhpc_data[[#This Row],[gross_weight]]/bhpc_data[[#This Row],[units_per_carton]])*dgn_data[[#This Row],[tot_order]]*bhpc_data[[#This Row],[product1_weight]]</f>
        <v>#REF!</v>
      </c>
      <c r="AG28" s="165" t="e">
        <f>(bhpc_data[[#This Row],[gross_weight]]/bhpc_data[[#This Row],[units_per_carton]])*dgn_data[[#This Row],[tot_order]]*bhpc_data[[#This Row],[product2_weight]]</f>
        <v>#REF!</v>
      </c>
      <c r="AH2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8" s="158">
        <f>SUMIF('ORDER ENTRY FORM'!$C$4:$C$61,bhpc_data[[#This Row],[sku]],'ORDER ENTRY FORM'!$E$4:$E$61)</f>
        <v>100</v>
      </c>
      <c r="AK28" s="158" t="e">
        <f>SUMIF('ORDER ENTRY FORM'!$C$4:$C$61,bhpc_data[[#This Row],[sku]],'ORDER ENTRY FORM'!#REF!)</f>
        <v>#REF!</v>
      </c>
      <c r="AL28" s="158" t="e">
        <f>dgn_data[[#This Row],[order]]+dgn_data[[#This Row],[foc_order]]</f>
        <v>#REF!</v>
      </c>
    </row>
    <row r="29" spans="1:38">
      <c r="A29" s="155" t="s">
        <v>47</v>
      </c>
      <c r="B29" s="155" t="s">
        <v>176</v>
      </c>
      <c r="C29" s="155">
        <v>2</v>
      </c>
      <c r="D29" s="155" t="s">
        <v>330</v>
      </c>
      <c r="E29" s="157">
        <v>6291107161020</v>
      </c>
      <c r="G29" s="155" t="s">
        <v>180</v>
      </c>
      <c r="H29" s="155" t="s">
        <v>334</v>
      </c>
      <c r="I29" s="155">
        <v>12</v>
      </c>
      <c r="J29" s="155">
        <v>48</v>
      </c>
      <c r="K29" s="155">
        <v>8</v>
      </c>
      <c r="L29" s="155">
        <v>6</v>
      </c>
      <c r="N29" s="155">
        <v>472</v>
      </c>
      <c r="O29" s="155">
        <v>344</v>
      </c>
      <c r="P29" s="155">
        <v>201</v>
      </c>
      <c r="Q29" s="155">
        <v>5.85</v>
      </c>
      <c r="R29" s="155">
        <v>6.6</v>
      </c>
      <c r="S29" s="155">
        <v>100</v>
      </c>
      <c r="T29" s="155">
        <v>175</v>
      </c>
      <c r="U29" s="155">
        <v>0</v>
      </c>
      <c r="V29" s="155">
        <v>0.55000000000000004</v>
      </c>
      <c r="W29" s="155">
        <v>0.45</v>
      </c>
      <c r="X29" s="155">
        <v>0</v>
      </c>
      <c r="Y29" s="155">
        <v>0</v>
      </c>
      <c r="Z29" s="156" t="s">
        <v>333</v>
      </c>
      <c r="AB29" s="167">
        <f>ROUNDUP(dgn_data[[#This Row],[order]]/bhpc_data[[#This Row],[units_per_carton]],0)</f>
        <v>9</v>
      </c>
      <c r="AC29" s="167" t="e">
        <f>dgn_data[[#This Row],[foc_order]]/bhpc_data[[#This Row],[units_per_carton]]</f>
        <v>#REF!</v>
      </c>
      <c r="AD29" s="165" t="e">
        <f>(bhpc_data[[#This Row],[net_weight]]/bhpc_data[[#This Row],[units_per_carton]])*dgn_data[[#This Row],[tot_order]]*bhpc_data[[#This Row],[product1_weight]]</f>
        <v>#REF!</v>
      </c>
      <c r="AE29" s="165" t="e">
        <f>(bhpc_data[[#This Row],[net_weight]]/bhpc_data[[#This Row],[units_per_carton]])*dgn_data[[#This Row],[tot_order]]*bhpc_data[[#This Row],[product2_weight]]</f>
        <v>#REF!</v>
      </c>
      <c r="AF29" s="165" t="e">
        <f>(bhpc_data[[#This Row],[gross_weight]]/bhpc_data[[#This Row],[units_per_carton]])*dgn_data[[#This Row],[tot_order]]*bhpc_data[[#This Row],[product1_weight]]</f>
        <v>#REF!</v>
      </c>
      <c r="AG29" s="165" t="e">
        <f>(bhpc_data[[#This Row],[gross_weight]]/bhpc_data[[#This Row],[units_per_carton]])*dgn_data[[#This Row],[tot_order]]*bhpc_data[[#This Row],[product2_weight]]</f>
        <v>#REF!</v>
      </c>
      <c r="AH2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9" s="158">
        <f>SUMIF('ORDER ENTRY FORM'!$C$4:$C$61,bhpc_data[[#This Row],[sku]],'ORDER ENTRY FORM'!$E$4:$E$61)</f>
        <v>100</v>
      </c>
      <c r="AK29" s="158" t="e">
        <f>SUMIF('ORDER ENTRY FORM'!$C$4:$C$61,bhpc_data[[#This Row],[sku]],'ORDER ENTRY FORM'!#REF!)</f>
        <v>#REF!</v>
      </c>
      <c r="AL29" s="158" t="e">
        <f>dgn_data[[#This Row],[order]]+dgn_data[[#This Row],[foc_order]]</f>
        <v>#REF!</v>
      </c>
    </row>
    <row r="30" spans="1:38">
      <c r="A30" s="155" t="s">
        <v>56</v>
      </c>
      <c r="B30" s="155" t="s">
        <v>176</v>
      </c>
      <c r="C30" s="155">
        <v>2</v>
      </c>
      <c r="D30" s="155" t="s">
        <v>326</v>
      </c>
      <c r="E30" s="157">
        <v>6291107161037</v>
      </c>
      <c r="G30" s="155" t="s">
        <v>189</v>
      </c>
      <c r="H30" s="155" t="s">
        <v>334</v>
      </c>
      <c r="I30" s="155">
        <v>12</v>
      </c>
      <c r="J30" s="155">
        <v>48</v>
      </c>
      <c r="K30" s="155">
        <v>8</v>
      </c>
      <c r="L30" s="155">
        <v>6</v>
      </c>
      <c r="N30" s="155">
        <v>460</v>
      </c>
      <c r="O30" s="155">
        <v>340</v>
      </c>
      <c r="P30" s="155">
        <v>205</v>
      </c>
      <c r="Q30" s="155">
        <v>5.25</v>
      </c>
      <c r="R30" s="155">
        <v>6</v>
      </c>
      <c r="S30" s="155">
        <v>100</v>
      </c>
      <c r="T30" s="155">
        <v>150</v>
      </c>
      <c r="U30" s="155">
        <v>0</v>
      </c>
      <c r="V30" s="155">
        <v>0.55000000000000004</v>
      </c>
      <c r="W30" s="155">
        <v>0.45</v>
      </c>
      <c r="X30" s="155">
        <v>0</v>
      </c>
      <c r="Y30" s="155">
        <v>0</v>
      </c>
      <c r="Z30" s="156" t="s">
        <v>333</v>
      </c>
      <c r="AB30" s="167">
        <f>ROUNDUP(dgn_data[[#This Row],[order]]/bhpc_data[[#This Row],[units_per_carton]],0)</f>
        <v>0</v>
      </c>
      <c r="AC30" s="167" t="e">
        <f>dgn_data[[#This Row],[foc_order]]/bhpc_data[[#This Row],[units_per_carton]]</f>
        <v>#REF!</v>
      </c>
      <c r="AD30" s="165" t="e">
        <f>(bhpc_data[[#This Row],[net_weight]]/bhpc_data[[#This Row],[units_per_carton]])*dgn_data[[#This Row],[tot_order]]*bhpc_data[[#This Row],[product1_weight]]</f>
        <v>#REF!</v>
      </c>
      <c r="AE30" s="165" t="e">
        <f>(bhpc_data[[#This Row],[net_weight]]/bhpc_data[[#This Row],[units_per_carton]])*dgn_data[[#This Row],[tot_order]]*bhpc_data[[#This Row],[product2_weight]]</f>
        <v>#REF!</v>
      </c>
      <c r="AF30" s="165" t="e">
        <f>(bhpc_data[[#This Row],[gross_weight]]/bhpc_data[[#This Row],[units_per_carton]])*dgn_data[[#This Row],[tot_order]]*bhpc_data[[#This Row],[product1_weight]]</f>
        <v>#REF!</v>
      </c>
      <c r="AG30" s="165" t="e">
        <f>(bhpc_data[[#This Row],[gross_weight]]/bhpc_data[[#This Row],[units_per_carton]])*dgn_data[[#This Row],[tot_order]]*bhpc_data[[#This Row],[product2_weight]]</f>
        <v>#REF!</v>
      </c>
      <c r="AH3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0" s="158">
        <f>SUMIF('ORDER ENTRY FORM'!$C$4:$C$61,bhpc_data[[#This Row],[sku]],'ORDER ENTRY FORM'!$E$4:$E$61)</f>
        <v>0</v>
      </c>
      <c r="AK30" s="158" t="e">
        <f>SUMIF('ORDER ENTRY FORM'!$C$4:$C$61,bhpc_data[[#This Row],[sku]],'ORDER ENTRY FORM'!#REF!)</f>
        <v>#REF!</v>
      </c>
      <c r="AL30" s="158" t="e">
        <f>dgn_data[[#This Row],[order]]+dgn_data[[#This Row],[foc_order]]</f>
        <v>#REF!</v>
      </c>
    </row>
    <row r="31" spans="1:38">
      <c r="A31" s="155" t="s">
        <v>57</v>
      </c>
      <c r="B31" s="155" t="s">
        <v>176</v>
      </c>
      <c r="C31" s="155">
        <v>2</v>
      </c>
      <c r="D31" s="155" t="s">
        <v>326</v>
      </c>
      <c r="E31" s="157">
        <v>6291107161044</v>
      </c>
      <c r="G31" s="155" t="s">
        <v>190</v>
      </c>
      <c r="H31" s="155" t="s">
        <v>334</v>
      </c>
      <c r="I31" s="155">
        <v>12</v>
      </c>
      <c r="J31" s="155">
        <v>48</v>
      </c>
      <c r="K31" s="155">
        <v>8</v>
      </c>
      <c r="L31" s="155">
        <v>6</v>
      </c>
      <c r="N31" s="155">
        <v>460</v>
      </c>
      <c r="O31" s="155">
        <v>340</v>
      </c>
      <c r="P31" s="155">
        <v>205</v>
      </c>
      <c r="Q31" s="155">
        <v>5.25</v>
      </c>
      <c r="R31" s="155">
        <v>6</v>
      </c>
      <c r="S31" s="155">
        <v>100</v>
      </c>
      <c r="T31" s="155">
        <v>150</v>
      </c>
      <c r="U31" s="155">
        <v>0</v>
      </c>
      <c r="V31" s="155">
        <v>0.55000000000000004</v>
      </c>
      <c r="W31" s="155">
        <v>0.45</v>
      </c>
      <c r="X31" s="155">
        <v>0</v>
      </c>
      <c r="Y31" s="155">
        <v>0</v>
      </c>
      <c r="Z31" s="156" t="s">
        <v>333</v>
      </c>
      <c r="AB31" s="167">
        <f>ROUNDUP(dgn_data[[#This Row],[order]]/bhpc_data[[#This Row],[units_per_carton]],0)</f>
        <v>0</v>
      </c>
      <c r="AC31" s="167" t="e">
        <f>dgn_data[[#This Row],[foc_order]]/bhpc_data[[#This Row],[units_per_carton]]</f>
        <v>#REF!</v>
      </c>
      <c r="AD31" s="165" t="e">
        <f>(bhpc_data[[#This Row],[net_weight]]/bhpc_data[[#This Row],[units_per_carton]])*dgn_data[[#This Row],[tot_order]]*bhpc_data[[#This Row],[product1_weight]]</f>
        <v>#REF!</v>
      </c>
      <c r="AE31" s="165" t="e">
        <f>(bhpc_data[[#This Row],[net_weight]]/bhpc_data[[#This Row],[units_per_carton]])*dgn_data[[#This Row],[tot_order]]*bhpc_data[[#This Row],[product2_weight]]</f>
        <v>#REF!</v>
      </c>
      <c r="AF31" s="165" t="e">
        <f>(bhpc_data[[#This Row],[gross_weight]]/bhpc_data[[#This Row],[units_per_carton]])*dgn_data[[#This Row],[tot_order]]*bhpc_data[[#This Row],[product1_weight]]</f>
        <v>#REF!</v>
      </c>
      <c r="AG31" s="165" t="e">
        <f>(bhpc_data[[#This Row],[gross_weight]]/bhpc_data[[#This Row],[units_per_carton]])*dgn_data[[#This Row],[tot_order]]*bhpc_data[[#This Row],[product2_weight]]</f>
        <v>#REF!</v>
      </c>
      <c r="AH3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1" s="158">
        <f>SUMIF('ORDER ENTRY FORM'!$C$4:$C$61,bhpc_data[[#This Row],[sku]],'ORDER ENTRY FORM'!$E$4:$E$61)</f>
        <v>0</v>
      </c>
      <c r="AK31" s="158" t="e">
        <f>SUMIF('ORDER ENTRY FORM'!$C$4:$C$61,bhpc_data[[#This Row],[sku]],'ORDER ENTRY FORM'!#REF!)</f>
        <v>#REF!</v>
      </c>
      <c r="AL31" s="158" t="e">
        <f>dgn_data[[#This Row],[order]]+dgn_data[[#This Row],[foc_order]]</f>
        <v>#REF!</v>
      </c>
    </row>
    <row r="32" spans="1:38">
      <c r="A32" s="155" t="s">
        <v>58</v>
      </c>
      <c r="B32" s="155" t="s">
        <v>176</v>
      </c>
      <c r="C32" s="155">
        <v>2</v>
      </c>
      <c r="D32" s="155" t="s">
        <v>326</v>
      </c>
      <c r="E32" s="157">
        <v>6291107161051</v>
      </c>
      <c r="G32" s="155" t="s">
        <v>191</v>
      </c>
      <c r="H32" s="155" t="s">
        <v>334</v>
      </c>
      <c r="I32" s="155">
        <v>12</v>
      </c>
      <c r="J32" s="155">
        <v>48</v>
      </c>
      <c r="K32" s="155">
        <v>8</v>
      </c>
      <c r="L32" s="155">
        <v>6</v>
      </c>
      <c r="N32" s="155">
        <v>460</v>
      </c>
      <c r="O32" s="155">
        <v>340</v>
      </c>
      <c r="P32" s="155">
        <v>205</v>
      </c>
      <c r="Q32" s="155">
        <v>5.25</v>
      </c>
      <c r="R32" s="155">
        <v>6</v>
      </c>
      <c r="S32" s="155">
        <v>100</v>
      </c>
      <c r="T32" s="155">
        <v>150</v>
      </c>
      <c r="U32" s="155">
        <v>0</v>
      </c>
      <c r="V32" s="155">
        <v>0.55000000000000004</v>
      </c>
      <c r="W32" s="155">
        <v>0.45</v>
      </c>
      <c r="X32" s="155">
        <v>0</v>
      </c>
      <c r="Y32" s="155">
        <v>0</v>
      </c>
      <c r="Z32" s="156" t="s">
        <v>333</v>
      </c>
      <c r="AB32" s="167">
        <f>ROUNDUP(dgn_data[[#This Row],[order]]/bhpc_data[[#This Row],[units_per_carton]],0)</f>
        <v>0</v>
      </c>
      <c r="AC32" s="167" t="e">
        <f>dgn_data[[#This Row],[foc_order]]/bhpc_data[[#This Row],[units_per_carton]]</f>
        <v>#REF!</v>
      </c>
      <c r="AD32" s="165" t="e">
        <f>(bhpc_data[[#This Row],[net_weight]]/bhpc_data[[#This Row],[units_per_carton]])*dgn_data[[#This Row],[tot_order]]*bhpc_data[[#This Row],[product1_weight]]</f>
        <v>#REF!</v>
      </c>
      <c r="AE32" s="165" t="e">
        <f>(bhpc_data[[#This Row],[net_weight]]/bhpc_data[[#This Row],[units_per_carton]])*dgn_data[[#This Row],[tot_order]]*bhpc_data[[#This Row],[product2_weight]]</f>
        <v>#REF!</v>
      </c>
      <c r="AF32" s="165" t="e">
        <f>(bhpc_data[[#This Row],[gross_weight]]/bhpc_data[[#This Row],[units_per_carton]])*dgn_data[[#This Row],[tot_order]]*bhpc_data[[#This Row],[product1_weight]]</f>
        <v>#REF!</v>
      </c>
      <c r="AG32" s="165" t="e">
        <f>(bhpc_data[[#This Row],[gross_weight]]/bhpc_data[[#This Row],[units_per_carton]])*dgn_data[[#This Row],[tot_order]]*bhpc_data[[#This Row],[product2_weight]]</f>
        <v>#REF!</v>
      </c>
      <c r="AH3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2" s="158">
        <f>SUMIF('ORDER ENTRY FORM'!$C$4:$C$61,bhpc_data[[#This Row],[sku]],'ORDER ENTRY FORM'!$E$4:$E$61)</f>
        <v>0</v>
      </c>
      <c r="AK32" s="158" t="e">
        <f>SUMIF('ORDER ENTRY FORM'!$C$4:$C$61,bhpc_data[[#This Row],[sku]],'ORDER ENTRY FORM'!#REF!)</f>
        <v>#REF!</v>
      </c>
      <c r="AL32" s="158" t="e">
        <f>dgn_data[[#This Row],[order]]+dgn_data[[#This Row],[foc_order]]</f>
        <v>#REF!</v>
      </c>
    </row>
    <row r="33" spans="1:38">
      <c r="A33" s="155" t="s">
        <v>59</v>
      </c>
      <c r="B33" s="155" t="s">
        <v>176</v>
      </c>
      <c r="C33" s="155">
        <v>2</v>
      </c>
      <c r="D33" s="155" t="s">
        <v>326</v>
      </c>
      <c r="E33" s="157">
        <v>6291107161068</v>
      </c>
      <c r="G33" s="155" t="s">
        <v>192</v>
      </c>
      <c r="H33" s="155" t="s">
        <v>334</v>
      </c>
      <c r="I33" s="155">
        <v>12</v>
      </c>
      <c r="J33" s="155">
        <v>48</v>
      </c>
      <c r="K33" s="155">
        <v>8</v>
      </c>
      <c r="L33" s="155">
        <v>6</v>
      </c>
      <c r="N33" s="155">
        <v>460</v>
      </c>
      <c r="O33" s="155">
        <v>340</v>
      </c>
      <c r="P33" s="155">
        <v>205</v>
      </c>
      <c r="Q33" s="155">
        <v>5.25</v>
      </c>
      <c r="R33" s="155">
        <v>6</v>
      </c>
      <c r="S33" s="155">
        <v>100</v>
      </c>
      <c r="T33" s="155">
        <v>150</v>
      </c>
      <c r="U33" s="155">
        <v>0</v>
      </c>
      <c r="V33" s="155">
        <v>0.55000000000000004</v>
      </c>
      <c r="W33" s="155">
        <v>0.45</v>
      </c>
      <c r="X33" s="155">
        <v>0</v>
      </c>
      <c r="Y33" s="155">
        <v>0</v>
      </c>
      <c r="Z33" s="156" t="s">
        <v>333</v>
      </c>
      <c r="AB33" s="167">
        <f>ROUNDUP(dgn_data[[#This Row],[order]]/bhpc_data[[#This Row],[units_per_carton]],0)</f>
        <v>0</v>
      </c>
      <c r="AC33" s="167" t="e">
        <f>dgn_data[[#This Row],[foc_order]]/bhpc_data[[#This Row],[units_per_carton]]</f>
        <v>#REF!</v>
      </c>
      <c r="AD33" s="165" t="e">
        <f>(bhpc_data[[#This Row],[net_weight]]/bhpc_data[[#This Row],[units_per_carton]])*dgn_data[[#This Row],[tot_order]]*bhpc_data[[#This Row],[product1_weight]]</f>
        <v>#REF!</v>
      </c>
      <c r="AE33" s="165" t="e">
        <f>(bhpc_data[[#This Row],[net_weight]]/bhpc_data[[#This Row],[units_per_carton]])*dgn_data[[#This Row],[tot_order]]*bhpc_data[[#This Row],[product2_weight]]</f>
        <v>#REF!</v>
      </c>
      <c r="AF33" s="165" t="e">
        <f>(bhpc_data[[#This Row],[gross_weight]]/bhpc_data[[#This Row],[units_per_carton]])*dgn_data[[#This Row],[tot_order]]*bhpc_data[[#This Row],[product1_weight]]</f>
        <v>#REF!</v>
      </c>
      <c r="AG33" s="165" t="e">
        <f>(bhpc_data[[#This Row],[gross_weight]]/bhpc_data[[#This Row],[units_per_carton]])*dgn_data[[#This Row],[tot_order]]*bhpc_data[[#This Row],[product2_weight]]</f>
        <v>#REF!</v>
      </c>
      <c r="AH3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3" s="158">
        <f>SUMIF('ORDER ENTRY FORM'!$C$4:$C$61,bhpc_data[[#This Row],[sku]],'ORDER ENTRY FORM'!$E$4:$E$61)</f>
        <v>0</v>
      </c>
      <c r="AK33" s="158" t="e">
        <f>SUMIF('ORDER ENTRY FORM'!$C$4:$C$61,bhpc_data[[#This Row],[sku]],'ORDER ENTRY FORM'!#REF!)</f>
        <v>#REF!</v>
      </c>
      <c r="AL33" s="158" t="e">
        <f>dgn_data[[#This Row],[order]]+dgn_data[[#This Row],[foc_order]]</f>
        <v>#REF!</v>
      </c>
    </row>
    <row r="34" spans="1:38">
      <c r="A34" s="155" t="s">
        <v>146</v>
      </c>
      <c r="B34" s="155" t="s">
        <v>176</v>
      </c>
      <c r="C34" s="155">
        <v>2</v>
      </c>
      <c r="D34" s="155" t="s">
        <v>330</v>
      </c>
      <c r="E34" s="157"/>
      <c r="G34" s="155" t="s">
        <v>147</v>
      </c>
      <c r="H34" s="155" t="s">
        <v>334</v>
      </c>
      <c r="I34" s="155">
        <v>24</v>
      </c>
      <c r="J34" s="155">
        <v>18</v>
      </c>
      <c r="K34" s="155">
        <v>6</v>
      </c>
      <c r="L34" s="155">
        <v>3</v>
      </c>
      <c r="N34" s="155">
        <v>400</v>
      </c>
      <c r="O34" s="155">
        <v>400</v>
      </c>
      <c r="P34" s="155">
        <v>460</v>
      </c>
      <c r="Q34" s="155">
        <f>0.73*I34</f>
        <v>17.52</v>
      </c>
      <c r="R34" s="155">
        <v>20.5</v>
      </c>
      <c r="S34" s="155">
        <v>100</v>
      </c>
      <c r="T34" s="155">
        <v>300</v>
      </c>
      <c r="U34" s="155">
        <v>0</v>
      </c>
      <c r="V34" s="155">
        <v>0.6</v>
      </c>
      <c r="W34" s="155">
        <v>0.4</v>
      </c>
      <c r="X34" s="155">
        <v>0</v>
      </c>
      <c r="Y34" s="155">
        <v>0</v>
      </c>
      <c r="Z34" s="156" t="s">
        <v>333</v>
      </c>
      <c r="AB34" s="167">
        <f>ROUNDUP(dgn_data[[#This Row],[order]]/bhpc_data[[#This Row],[units_per_carton]],0)</f>
        <v>5</v>
      </c>
      <c r="AC34" s="167" t="e">
        <f>dgn_data[[#This Row],[foc_order]]/bhpc_data[[#This Row],[units_per_carton]]</f>
        <v>#REF!</v>
      </c>
      <c r="AD34" s="165" t="e">
        <f>(bhpc_data[[#This Row],[net_weight]]/bhpc_data[[#This Row],[units_per_carton]])*dgn_data[[#This Row],[tot_order]]*bhpc_data[[#This Row],[product1_weight]]</f>
        <v>#REF!</v>
      </c>
      <c r="AE34" s="165" t="e">
        <f>(bhpc_data[[#This Row],[net_weight]]/bhpc_data[[#This Row],[units_per_carton]])*dgn_data[[#This Row],[tot_order]]*bhpc_data[[#This Row],[product2_weight]]</f>
        <v>#REF!</v>
      </c>
      <c r="AF34" s="165" t="e">
        <f>(bhpc_data[[#This Row],[gross_weight]]/bhpc_data[[#This Row],[units_per_carton]])*dgn_data[[#This Row],[tot_order]]*bhpc_data[[#This Row],[product1_weight]]</f>
        <v>#REF!</v>
      </c>
      <c r="AG34" s="165" t="e">
        <f>(bhpc_data[[#This Row],[gross_weight]]/bhpc_data[[#This Row],[units_per_carton]])*dgn_data[[#This Row],[tot_order]]*bhpc_data[[#This Row],[product2_weight]]</f>
        <v>#REF!</v>
      </c>
      <c r="AH3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4" s="158">
        <f>SUMIF('ORDER ENTRY FORM'!$C$4:$C$61,bhpc_data[[#This Row],[sku]],'ORDER ENTRY FORM'!$E$4:$E$61)</f>
        <v>100</v>
      </c>
      <c r="AK34" s="158" t="e">
        <f>SUMIF('ORDER ENTRY FORM'!$C$4:$C$61,bhpc_data[[#This Row],[sku]],'ORDER ENTRY FORM'!#REF!)</f>
        <v>#REF!</v>
      </c>
      <c r="AL34" s="158" t="e">
        <f>dgn_data[[#This Row],[order]]+dgn_data[[#This Row],[foc_order]]</f>
        <v>#REF!</v>
      </c>
    </row>
    <row r="35" spans="1:38">
      <c r="B35" s="155" t="s">
        <v>176</v>
      </c>
      <c r="C35" s="155">
        <v>2</v>
      </c>
      <c r="D35" s="155" t="s">
        <v>326</v>
      </c>
      <c r="E35" s="157"/>
      <c r="G35" s="155" t="s">
        <v>335</v>
      </c>
      <c r="H35" s="155" t="s">
        <v>334</v>
      </c>
      <c r="I35" s="155">
        <v>24</v>
      </c>
      <c r="J35" s="155">
        <v>18</v>
      </c>
      <c r="K35" s="155">
        <v>6</v>
      </c>
      <c r="L35" s="155">
        <v>3</v>
      </c>
      <c r="N35" s="155">
        <v>400</v>
      </c>
      <c r="O35" s="155">
        <v>400</v>
      </c>
      <c r="P35" s="155">
        <v>460</v>
      </c>
      <c r="Q35" s="155">
        <f>0.73*I35</f>
        <v>17.52</v>
      </c>
      <c r="R35" s="155">
        <v>20.5</v>
      </c>
      <c r="S35" s="155">
        <v>100</v>
      </c>
      <c r="T35" s="155">
        <v>250</v>
      </c>
      <c r="U35" s="155">
        <v>0</v>
      </c>
      <c r="V35" s="155">
        <v>0.6</v>
      </c>
      <c r="W35" s="155">
        <v>0.4</v>
      </c>
      <c r="X35" s="155">
        <v>0</v>
      </c>
      <c r="Y35" s="155">
        <v>0</v>
      </c>
      <c r="Z35" s="156" t="s">
        <v>333</v>
      </c>
      <c r="AB35" s="167">
        <f>ROUNDUP(dgn_data[[#This Row],[order]]/bhpc_data[[#This Row],[units_per_carton]],0)</f>
        <v>0</v>
      </c>
      <c r="AC35" s="167" t="e">
        <f>dgn_data[[#This Row],[foc_order]]/bhpc_data[[#This Row],[units_per_carton]]</f>
        <v>#REF!</v>
      </c>
      <c r="AD35" s="165" t="e">
        <f>(bhpc_data[[#This Row],[net_weight]]/bhpc_data[[#This Row],[units_per_carton]])*dgn_data[[#This Row],[tot_order]]*bhpc_data[[#This Row],[product1_weight]]</f>
        <v>#REF!</v>
      </c>
      <c r="AE35" s="165" t="e">
        <f>(bhpc_data[[#This Row],[net_weight]]/bhpc_data[[#This Row],[units_per_carton]])*dgn_data[[#This Row],[tot_order]]*bhpc_data[[#This Row],[product2_weight]]</f>
        <v>#REF!</v>
      </c>
      <c r="AF35" s="165" t="e">
        <f>(bhpc_data[[#This Row],[gross_weight]]/bhpc_data[[#This Row],[units_per_carton]])*dgn_data[[#This Row],[tot_order]]*bhpc_data[[#This Row],[product1_weight]]</f>
        <v>#REF!</v>
      </c>
      <c r="AG35" s="165" t="e">
        <f>(bhpc_data[[#This Row],[gross_weight]]/bhpc_data[[#This Row],[units_per_carton]])*dgn_data[[#This Row],[tot_order]]*bhpc_data[[#This Row],[product2_weight]]</f>
        <v>#REF!</v>
      </c>
      <c r="AH3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5" s="158">
        <f>SUMIF('ORDER ENTRY FORM'!$C$4:$C$61,bhpc_data[[#This Row],[sku]],'ORDER ENTRY FORM'!$E$4:$E$61)</f>
        <v>0</v>
      </c>
      <c r="AK35" s="158" t="e">
        <f>SUMIF('ORDER ENTRY FORM'!$C$4:$C$61,bhpc_data[[#This Row],[sku]],'ORDER ENTRY FORM'!#REF!)</f>
        <v>#REF!</v>
      </c>
      <c r="AL35" s="158" t="e">
        <f>dgn_data[[#This Row],[order]]+dgn_data[[#This Row],[foc_order]]</f>
        <v>#REF!</v>
      </c>
    </row>
    <row r="36" spans="1:38">
      <c r="A36" s="155" t="s">
        <v>4</v>
      </c>
      <c r="B36" s="155" t="s">
        <v>135</v>
      </c>
      <c r="C36" s="155">
        <v>1</v>
      </c>
      <c r="D36" s="155" t="s">
        <v>330</v>
      </c>
      <c r="E36" s="157">
        <v>8718719850046</v>
      </c>
      <c r="F36" s="156" t="s">
        <v>336</v>
      </c>
      <c r="G36" s="155" t="s">
        <v>201</v>
      </c>
      <c r="H36" s="155" t="s">
        <v>328</v>
      </c>
      <c r="I36" s="155">
        <v>24</v>
      </c>
      <c r="J36" s="155">
        <v>64</v>
      </c>
      <c r="K36" s="155">
        <v>8</v>
      </c>
      <c r="L36" s="155">
        <v>8</v>
      </c>
      <c r="N36" s="155">
        <v>430</v>
      </c>
      <c r="O36" s="155">
        <v>300</v>
      </c>
      <c r="P36" s="155">
        <v>174</v>
      </c>
      <c r="Q36" s="155">
        <v>7.52</v>
      </c>
      <c r="R36" s="155">
        <v>8.23</v>
      </c>
      <c r="S36" s="155">
        <v>100</v>
      </c>
      <c r="T36" s="155">
        <v>0</v>
      </c>
      <c r="U36" s="155">
        <v>0</v>
      </c>
      <c r="V36" s="155">
        <v>1</v>
      </c>
      <c r="W36" s="155">
        <v>0</v>
      </c>
      <c r="X36" s="155">
        <v>0</v>
      </c>
      <c r="Y36" s="155">
        <v>0</v>
      </c>
      <c r="Z36" s="156" t="s">
        <v>333</v>
      </c>
      <c r="AB36" s="167">
        <f>ROUNDUP(dgn_data[[#This Row],[order]]/bhpc_data[[#This Row],[units_per_carton]],0)</f>
        <v>0</v>
      </c>
      <c r="AC36" s="167" t="e">
        <f>dgn_data[[#This Row],[foc_order]]/bhpc_data[[#This Row],[units_per_carton]]</f>
        <v>#REF!</v>
      </c>
      <c r="AD36" s="165" t="e">
        <f>(bhpc_data[[#This Row],[net_weight]]/bhpc_data[[#This Row],[units_per_carton]])*dgn_data[[#This Row],[tot_order]]*bhpc_data[[#This Row],[product1_weight]]</f>
        <v>#REF!</v>
      </c>
      <c r="AE36" s="165" t="e">
        <f>(bhpc_data[[#This Row],[net_weight]]/bhpc_data[[#This Row],[units_per_carton]])*dgn_data[[#This Row],[tot_order]]*bhpc_data[[#This Row],[product2_weight]]</f>
        <v>#REF!</v>
      </c>
      <c r="AF36" s="165" t="e">
        <f>(bhpc_data[[#This Row],[gross_weight]]/bhpc_data[[#This Row],[units_per_carton]])*dgn_data[[#This Row],[tot_order]]*bhpc_data[[#This Row],[product1_weight]]</f>
        <v>#REF!</v>
      </c>
      <c r="AG36" s="165" t="e">
        <f>(bhpc_data[[#This Row],[gross_weight]]/bhpc_data[[#This Row],[units_per_carton]])*dgn_data[[#This Row],[tot_order]]*bhpc_data[[#This Row],[product2_weight]]</f>
        <v>#REF!</v>
      </c>
      <c r="AH3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6" s="158">
        <f>SUMIF('ORDER ENTRY FORM'!$C$4:$C$61,bhpc_data[[#This Row],[sku]],'ORDER ENTRY FORM'!$E$4:$E$61)</f>
        <v>0</v>
      </c>
      <c r="AK36" s="158" t="e">
        <f>SUMIF('ORDER ENTRY FORM'!$C$4:$C$61,bhpc_data[[#This Row],[sku]],'ORDER ENTRY FORM'!#REF!)</f>
        <v>#REF!</v>
      </c>
      <c r="AL36" s="158" t="e">
        <f>dgn_data[[#This Row],[order]]+dgn_data[[#This Row],[foc_order]]</f>
        <v>#REF!</v>
      </c>
    </row>
    <row r="37" spans="1:38">
      <c r="A37" s="155" t="s">
        <v>5</v>
      </c>
      <c r="B37" s="155" t="s">
        <v>135</v>
      </c>
      <c r="C37" s="155">
        <v>1</v>
      </c>
      <c r="D37" s="155" t="s">
        <v>330</v>
      </c>
      <c r="E37" s="157">
        <v>8718719850053</v>
      </c>
      <c r="F37" s="156" t="s">
        <v>336</v>
      </c>
      <c r="G37" s="155" t="s">
        <v>202</v>
      </c>
      <c r="H37" s="155" t="s">
        <v>328</v>
      </c>
      <c r="I37" s="155">
        <v>24</v>
      </c>
      <c r="J37" s="155">
        <v>64</v>
      </c>
      <c r="K37" s="155">
        <v>8</v>
      </c>
      <c r="L37" s="155">
        <v>8</v>
      </c>
      <c r="N37" s="155">
        <v>430</v>
      </c>
      <c r="O37" s="155">
        <v>300</v>
      </c>
      <c r="P37" s="155">
        <v>174</v>
      </c>
      <c r="Q37" s="155">
        <v>7.52</v>
      </c>
      <c r="R37" s="155">
        <v>8.23</v>
      </c>
      <c r="S37" s="155">
        <v>100</v>
      </c>
      <c r="T37" s="155">
        <v>0</v>
      </c>
      <c r="U37" s="155">
        <v>0</v>
      </c>
      <c r="V37" s="155">
        <v>1</v>
      </c>
      <c r="W37" s="155">
        <v>0</v>
      </c>
      <c r="X37" s="155">
        <v>0</v>
      </c>
      <c r="Y37" s="155">
        <v>0</v>
      </c>
      <c r="Z37" s="156" t="s">
        <v>333</v>
      </c>
      <c r="AB37" s="167">
        <f>ROUNDUP(dgn_data[[#This Row],[order]]/bhpc_data[[#This Row],[units_per_carton]],0)</f>
        <v>0</v>
      </c>
      <c r="AC37" s="167" t="e">
        <f>dgn_data[[#This Row],[foc_order]]/bhpc_data[[#This Row],[units_per_carton]]</f>
        <v>#REF!</v>
      </c>
      <c r="AD37" s="165" t="e">
        <f>(bhpc_data[[#This Row],[net_weight]]/bhpc_data[[#This Row],[units_per_carton]])*dgn_data[[#This Row],[tot_order]]*bhpc_data[[#This Row],[product1_weight]]</f>
        <v>#REF!</v>
      </c>
      <c r="AE37" s="165" t="e">
        <f>(bhpc_data[[#This Row],[net_weight]]/bhpc_data[[#This Row],[units_per_carton]])*dgn_data[[#This Row],[tot_order]]*bhpc_data[[#This Row],[product2_weight]]</f>
        <v>#REF!</v>
      </c>
      <c r="AF37" s="165" t="e">
        <f>(bhpc_data[[#This Row],[gross_weight]]/bhpc_data[[#This Row],[units_per_carton]])*dgn_data[[#This Row],[tot_order]]*bhpc_data[[#This Row],[product1_weight]]</f>
        <v>#REF!</v>
      </c>
      <c r="AG37" s="165" t="e">
        <f>(bhpc_data[[#This Row],[gross_weight]]/bhpc_data[[#This Row],[units_per_carton]])*dgn_data[[#This Row],[tot_order]]*bhpc_data[[#This Row],[product2_weight]]</f>
        <v>#REF!</v>
      </c>
      <c r="AH3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7" s="158">
        <f>SUMIF('ORDER ENTRY FORM'!$C$4:$C$61,bhpc_data[[#This Row],[sku]],'ORDER ENTRY FORM'!$E$4:$E$61)</f>
        <v>0</v>
      </c>
      <c r="AK37" s="158" t="e">
        <f>SUMIF('ORDER ENTRY FORM'!$C$4:$C$61,bhpc_data[[#This Row],[sku]],'ORDER ENTRY FORM'!#REF!)</f>
        <v>#REF!</v>
      </c>
      <c r="AL37" s="158" t="e">
        <f>dgn_data[[#This Row],[order]]+dgn_data[[#This Row],[foc_order]]</f>
        <v>#REF!</v>
      </c>
    </row>
    <row r="38" spans="1:38">
      <c r="A38" s="155" t="s">
        <v>6</v>
      </c>
      <c r="B38" s="155" t="s">
        <v>135</v>
      </c>
      <c r="C38" s="155">
        <v>1</v>
      </c>
      <c r="D38" s="155" t="s">
        <v>330</v>
      </c>
      <c r="E38" s="157">
        <v>8718719850060</v>
      </c>
      <c r="F38" s="156" t="s">
        <v>336</v>
      </c>
      <c r="G38" s="155" t="s">
        <v>203</v>
      </c>
      <c r="H38" s="155" t="s">
        <v>328</v>
      </c>
      <c r="I38" s="155">
        <v>24</v>
      </c>
      <c r="J38" s="155">
        <v>64</v>
      </c>
      <c r="K38" s="155">
        <v>8</v>
      </c>
      <c r="L38" s="155">
        <v>8</v>
      </c>
      <c r="N38" s="155">
        <v>430</v>
      </c>
      <c r="O38" s="155">
        <v>300</v>
      </c>
      <c r="P38" s="155">
        <v>174</v>
      </c>
      <c r="Q38" s="155">
        <v>7.52</v>
      </c>
      <c r="R38" s="155">
        <v>8.23</v>
      </c>
      <c r="S38" s="155">
        <v>100</v>
      </c>
      <c r="T38" s="155">
        <v>0</v>
      </c>
      <c r="U38" s="155">
        <v>0</v>
      </c>
      <c r="V38" s="155">
        <v>1</v>
      </c>
      <c r="W38" s="155">
        <v>0</v>
      </c>
      <c r="X38" s="155">
        <v>0</v>
      </c>
      <c r="Y38" s="155">
        <v>0</v>
      </c>
      <c r="Z38" s="156" t="s">
        <v>333</v>
      </c>
      <c r="AB38" s="167">
        <f>ROUNDUP(dgn_data[[#This Row],[order]]/bhpc_data[[#This Row],[units_per_carton]],0)</f>
        <v>0</v>
      </c>
      <c r="AC38" s="167" t="e">
        <f>dgn_data[[#This Row],[foc_order]]/bhpc_data[[#This Row],[units_per_carton]]</f>
        <v>#REF!</v>
      </c>
      <c r="AD38" s="165" t="e">
        <f>(bhpc_data[[#This Row],[net_weight]]/bhpc_data[[#This Row],[units_per_carton]])*dgn_data[[#This Row],[tot_order]]*bhpc_data[[#This Row],[product1_weight]]</f>
        <v>#REF!</v>
      </c>
      <c r="AE38" s="165" t="e">
        <f>(bhpc_data[[#This Row],[net_weight]]/bhpc_data[[#This Row],[units_per_carton]])*dgn_data[[#This Row],[tot_order]]*bhpc_data[[#This Row],[product2_weight]]</f>
        <v>#REF!</v>
      </c>
      <c r="AF38" s="165" t="e">
        <f>(bhpc_data[[#This Row],[gross_weight]]/bhpc_data[[#This Row],[units_per_carton]])*dgn_data[[#This Row],[tot_order]]*bhpc_data[[#This Row],[product1_weight]]</f>
        <v>#REF!</v>
      </c>
      <c r="AG38" s="165" t="e">
        <f>(bhpc_data[[#This Row],[gross_weight]]/bhpc_data[[#This Row],[units_per_carton]])*dgn_data[[#This Row],[tot_order]]*bhpc_data[[#This Row],[product2_weight]]</f>
        <v>#REF!</v>
      </c>
      <c r="AH3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8" s="158">
        <f>SUMIF('ORDER ENTRY FORM'!$C$4:$C$61,bhpc_data[[#This Row],[sku]],'ORDER ENTRY FORM'!$E$4:$E$61)</f>
        <v>0</v>
      </c>
      <c r="AK38" s="158" t="e">
        <f>SUMIF('ORDER ENTRY FORM'!$C$4:$C$61,bhpc_data[[#This Row],[sku]],'ORDER ENTRY FORM'!#REF!)</f>
        <v>#REF!</v>
      </c>
      <c r="AL38" s="158" t="e">
        <f>dgn_data[[#This Row],[order]]+dgn_data[[#This Row],[foc_order]]</f>
        <v>#REF!</v>
      </c>
    </row>
    <row r="39" spans="1:38">
      <c r="A39" s="155" t="s">
        <v>7</v>
      </c>
      <c r="B39" s="155" t="s">
        <v>135</v>
      </c>
      <c r="C39" s="155">
        <v>1</v>
      </c>
      <c r="D39" s="155" t="s">
        <v>330</v>
      </c>
      <c r="E39" s="157">
        <v>8718719850077</v>
      </c>
      <c r="F39" s="156" t="s">
        <v>336</v>
      </c>
      <c r="G39" s="155" t="s">
        <v>204</v>
      </c>
      <c r="H39" s="155" t="s">
        <v>328</v>
      </c>
      <c r="I39" s="155">
        <v>24</v>
      </c>
      <c r="J39" s="155">
        <v>64</v>
      </c>
      <c r="K39" s="155">
        <v>8</v>
      </c>
      <c r="L39" s="155">
        <v>8</v>
      </c>
      <c r="N39" s="155">
        <v>430</v>
      </c>
      <c r="O39" s="155">
        <v>300</v>
      </c>
      <c r="P39" s="155">
        <v>174</v>
      </c>
      <c r="Q39" s="155">
        <v>7.52</v>
      </c>
      <c r="R39" s="155">
        <v>8.23</v>
      </c>
      <c r="S39" s="155">
        <v>100</v>
      </c>
      <c r="T39" s="155">
        <v>0</v>
      </c>
      <c r="U39" s="155">
        <v>0</v>
      </c>
      <c r="V39" s="155">
        <v>1</v>
      </c>
      <c r="W39" s="155">
        <v>0</v>
      </c>
      <c r="X39" s="155">
        <v>0</v>
      </c>
      <c r="Y39" s="155">
        <v>0</v>
      </c>
      <c r="Z39" s="156" t="s">
        <v>333</v>
      </c>
      <c r="AB39" s="167">
        <f>ROUNDUP(dgn_data[[#This Row],[order]]/bhpc_data[[#This Row],[units_per_carton]],0)</f>
        <v>0</v>
      </c>
      <c r="AC39" s="167" t="e">
        <f>dgn_data[[#This Row],[foc_order]]/bhpc_data[[#This Row],[units_per_carton]]</f>
        <v>#REF!</v>
      </c>
      <c r="AD39" s="165" t="e">
        <f>(bhpc_data[[#This Row],[net_weight]]/bhpc_data[[#This Row],[units_per_carton]])*dgn_data[[#This Row],[tot_order]]*bhpc_data[[#This Row],[product1_weight]]</f>
        <v>#REF!</v>
      </c>
      <c r="AE39" s="165" t="e">
        <f>(bhpc_data[[#This Row],[net_weight]]/bhpc_data[[#This Row],[units_per_carton]])*dgn_data[[#This Row],[tot_order]]*bhpc_data[[#This Row],[product2_weight]]</f>
        <v>#REF!</v>
      </c>
      <c r="AF39" s="165" t="e">
        <f>(bhpc_data[[#This Row],[gross_weight]]/bhpc_data[[#This Row],[units_per_carton]])*dgn_data[[#This Row],[tot_order]]*bhpc_data[[#This Row],[product1_weight]]</f>
        <v>#REF!</v>
      </c>
      <c r="AG39" s="165" t="e">
        <f>(bhpc_data[[#This Row],[gross_weight]]/bhpc_data[[#This Row],[units_per_carton]])*dgn_data[[#This Row],[tot_order]]*bhpc_data[[#This Row],[product2_weight]]</f>
        <v>#REF!</v>
      </c>
      <c r="AH3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9" s="158">
        <f>SUMIF('ORDER ENTRY FORM'!$C$4:$C$61,bhpc_data[[#This Row],[sku]],'ORDER ENTRY FORM'!$E$4:$E$61)</f>
        <v>0</v>
      </c>
      <c r="AK39" s="158" t="e">
        <f>SUMIF('ORDER ENTRY FORM'!$C$4:$C$61,bhpc_data[[#This Row],[sku]],'ORDER ENTRY FORM'!#REF!)</f>
        <v>#REF!</v>
      </c>
      <c r="AL39" s="158" t="e">
        <f>dgn_data[[#This Row],[order]]+dgn_data[[#This Row],[foc_order]]</f>
        <v>#REF!</v>
      </c>
    </row>
    <row r="40" spans="1:38">
      <c r="A40" s="155" t="s">
        <v>24</v>
      </c>
      <c r="B40" s="155" t="s">
        <v>135</v>
      </c>
      <c r="C40" s="155">
        <v>1</v>
      </c>
      <c r="D40" s="155" t="s">
        <v>326</v>
      </c>
      <c r="E40" s="157">
        <v>6291107162713</v>
      </c>
      <c r="F40" s="156" t="s">
        <v>336</v>
      </c>
      <c r="G40" s="155" t="s">
        <v>209</v>
      </c>
      <c r="H40" s="155" t="s">
        <v>328</v>
      </c>
      <c r="I40" s="155">
        <v>24</v>
      </c>
      <c r="J40" s="155">
        <v>64</v>
      </c>
      <c r="K40" s="155">
        <v>8</v>
      </c>
      <c r="L40" s="155">
        <v>8</v>
      </c>
      <c r="N40" s="155">
        <v>430</v>
      </c>
      <c r="O40" s="155">
        <v>300</v>
      </c>
      <c r="P40" s="155">
        <v>195</v>
      </c>
      <c r="Q40" s="155">
        <v>6.87</v>
      </c>
      <c r="R40" s="155">
        <v>7.56</v>
      </c>
      <c r="S40" s="155">
        <v>100</v>
      </c>
      <c r="T40" s="155">
        <v>0</v>
      </c>
      <c r="U40" s="155">
        <v>0</v>
      </c>
      <c r="V40" s="155">
        <v>1</v>
      </c>
      <c r="W40" s="155">
        <v>0</v>
      </c>
      <c r="X40" s="155">
        <v>0</v>
      </c>
      <c r="Y40" s="155">
        <v>0</v>
      </c>
      <c r="Z40" s="156" t="s">
        <v>333</v>
      </c>
      <c r="AB40" s="167">
        <f>ROUNDUP(dgn_data[[#This Row],[order]]/bhpc_data[[#This Row],[units_per_carton]],0)</f>
        <v>0</v>
      </c>
      <c r="AC40" s="167" t="e">
        <f>dgn_data[[#This Row],[foc_order]]/bhpc_data[[#This Row],[units_per_carton]]</f>
        <v>#REF!</v>
      </c>
      <c r="AD40" s="165" t="e">
        <f>(bhpc_data[[#This Row],[net_weight]]/bhpc_data[[#This Row],[units_per_carton]])*dgn_data[[#This Row],[tot_order]]*bhpc_data[[#This Row],[product1_weight]]</f>
        <v>#REF!</v>
      </c>
      <c r="AE40" s="165" t="e">
        <f>(bhpc_data[[#This Row],[net_weight]]/bhpc_data[[#This Row],[units_per_carton]])*dgn_data[[#This Row],[tot_order]]*bhpc_data[[#This Row],[product2_weight]]</f>
        <v>#REF!</v>
      </c>
      <c r="AF40" s="165" t="e">
        <f>(bhpc_data[[#This Row],[gross_weight]]/bhpc_data[[#This Row],[units_per_carton]])*dgn_data[[#This Row],[tot_order]]*bhpc_data[[#This Row],[product1_weight]]</f>
        <v>#REF!</v>
      </c>
      <c r="AG40" s="165" t="e">
        <f>(bhpc_data[[#This Row],[gross_weight]]/bhpc_data[[#This Row],[units_per_carton]])*dgn_data[[#This Row],[tot_order]]*bhpc_data[[#This Row],[product2_weight]]</f>
        <v>#REF!</v>
      </c>
      <c r="AH4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0" s="158">
        <f>SUMIF('ORDER ENTRY FORM'!$C$4:$C$61,bhpc_data[[#This Row],[sku]],'ORDER ENTRY FORM'!$E$4:$E$61)</f>
        <v>0</v>
      </c>
      <c r="AK40" s="158" t="e">
        <f>SUMIF('ORDER ENTRY FORM'!$C$4:$C$61,bhpc_data[[#This Row],[sku]],'ORDER ENTRY FORM'!#REF!)</f>
        <v>#REF!</v>
      </c>
      <c r="AL40" s="158" t="e">
        <f>dgn_data[[#This Row],[order]]+dgn_data[[#This Row],[foc_order]]</f>
        <v>#REF!</v>
      </c>
    </row>
    <row r="41" spans="1:38">
      <c r="A41" s="155" t="s">
        <v>25</v>
      </c>
      <c r="B41" s="155" t="s">
        <v>135</v>
      </c>
      <c r="C41" s="155">
        <v>1</v>
      </c>
      <c r="D41" s="155" t="s">
        <v>326</v>
      </c>
      <c r="E41" s="157">
        <v>6291107162720</v>
      </c>
      <c r="F41" s="156" t="s">
        <v>336</v>
      </c>
      <c r="G41" s="155" t="s">
        <v>210</v>
      </c>
      <c r="H41" s="155" t="s">
        <v>328</v>
      </c>
      <c r="I41" s="155">
        <v>24</v>
      </c>
      <c r="J41" s="155">
        <v>64</v>
      </c>
      <c r="K41" s="155">
        <v>8</v>
      </c>
      <c r="L41" s="155">
        <v>8</v>
      </c>
      <c r="N41" s="155">
        <v>430</v>
      </c>
      <c r="O41" s="155">
        <v>300</v>
      </c>
      <c r="P41" s="155">
        <v>195</v>
      </c>
      <c r="Q41" s="155">
        <v>6.87</v>
      </c>
      <c r="R41" s="155">
        <v>7.56</v>
      </c>
      <c r="S41" s="155">
        <v>100</v>
      </c>
      <c r="T41" s="155">
        <v>0</v>
      </c>
      <c r="U41" s="155">
        <v>0</v>
      </c>
      <c r="V41" s="155">
        <v>1</v>
      </c>
      <c r="W41" s="155">
        <v>0</v>
      </c>
      <c r="X41" s="155">
        <v>0</v>
      </c>
      <c r="Y41" s="155">
        <v>0</v>
      </c>
      <c r="Z41" s="156" t="s">
        <v>333</v>
      </c>
      <c r="AB41" s="167">
        <f>ROUNDUP(dgn_data[[#This Row],[order]]/bhpc_data[[#This Row],[units_per_carton]],0)</f>
        <v>0</v>
      </c>
      <c r="AC41" s="167" t="e">
        <f>dgn_data[[#This Row],[foc_order]]/bhpc_data[[#This Row],[units_per_carton]]</f>
        <v>#REF!</v>
      </c>
      <c r="AD41" s="165" t="e">
        <f>(bhpc_data[[#This Row],[net_weight]]/bhpc_data[[#This Row],[units_per_carton]])*dgn_data[[#This Row],[tot_order]]*bhpc_data[[#This Row],[product1_weight]]</f>
        <v>#REF!</v>
      </c>
      <c r="AE41" s="165" t="e">
        <f>(bhpc_data[[#This Row],[net_weight]]/bhpc_data[[#This Row],[units_per_carton]])*dgn_data[[#This Row],[tot_order]]*bhpc_data[[#This Row],[product2_weight]]</f>
        <v>#REF!</v>
      </c>
      <c r="AF41" s="165" t="e">
        <f>(bhpc_data[[#This Row],[gross_weight]]/bhpc_data[[#This Row],[units_per_carton]])*dgn_data[[#This Row],[tot_order]]*bhpc_data[[#This Row],[product1_weight]]</f>
        <v>#REF!</v>
      </c>
      <c r="AG41" s="165" t="e">
        <f>(bhpc_data[[#This Row],[gross_weight]]/bhpc_data[[#This Row],[units_per_carton]])*dgn_data[[#This Row],[tot_order]]*bhpc_data[[#This Row],[product2_weight]]</f>
        <v>#REF!</v>
      </c>
      <c r="AH4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1" s="158">
        <f>SUMIF('ORDER ENTRY FORM'!$C$4:$C$61,bhpc_data[[#This Row],[sku]],'ORDER ENTRY FORM'!$E$4:$E$61)</f>
        <v>0</v>
      </c>
      <c r="AK41" s="158" t="e">
        <f>SUMIF('ORDER ENTRY FORM'!$C$4:$C$61,bhpc_data[[#This Row],[sku]],'ORDER ENTRY FORM'!#REF!)</f>
        <v>#REF!</v>
      </c>
      <c r="AL41" s="158" t="e">
        <f>dgn_data[[#This Row],[order]]+dgn_data[[#This Row],[foc_order]]</f>
        <v>#REF!</v>
      </c>
    </row>
    <row r="42" spans="1:38">
      <c r="A42" s="155" t="s">
        <v>26</v>
      </c>
      <c r="B42" s="155" t="s">
        <v>135</v>
      </c>
      <c r="C42" s="155">
        <v>1</v>
      </c>
      <c r="D42" s="155" t="s">
        <v>326</v>
      </c>
      <c r="E42" s="157">
        <v>6291107162737</v>
      </c>
      <c r="F42" s="156" t="s">
        <v>336</v>
      </c>
      <c r="G42" s="155" t="s">
        <v>211</v>
      </c>
      <c r="H42" s="155" t="s">
        <v>328</v>
      </c>
      <c r="I42" s="155">
        <v>24</v>
      </c>
      <c r="J42" s="155">
        <v>64</v>
      </c>
      <c r="K42" s="155">
        <v>8</v>
      </c>
      <c r="L42" s="155">
        <v>8</v>
      </c>
      <c r="N42" s="155">
        <v>430</v>
      </c>
      <c r="O42" s="155">
        <v>300</v>
      </c>
      <c r="P42" s="155">
        <v>195</v>
      </c>
      <c r="Q42" s="155">
        <v>6.87</v>
      </c>
      <c r="R42" s="155">
        <v>7.56</v>
      </c>
      <c r="S42" s="155">
        <v>100</v>
      </c>
      <c r="T42" s="155">
        <v>0</v>
      </c>
      <c r="U42" s="155">
        <v>0</v>
      </c>
      <c r="V42" s="155">
        <v>1</v>
      </c>
      <c r="W42" s="155">
        <v>0</v>
      </c>
      <c r="X42" s="155">
        <v>0</v>
      </c>
      <c r="Y42" s="155">
        <v>0</v>
      </c>
      <c r="Z42" s="156" t="s">
        <v>333</v>
      </c>
      <c r="AB42" s="167">
        <f>ROUNDUP(dgn_data[[#This Row],[order]]/bhpc_data[[#This Row],[units_per_carton]],0)</f>
        <v>0</v>
      </c>
      <c r="AC42" s="167" t="e">
        <f>dgn_data[[#This Row],[foc_order]]/bhpc_data[[#This Row],[units_per_carton]]</f>
        <v>#REF!</v>
      </c>
      <c r="AD42" s="165" t="e">
        <f>(bhpc_data[[#This Row],[net_weight]]/bhpc_data[[#This Row],[units_per_carton]])*dgn_data[[#This Row],[tot_order]]*bhpc_data[[#This Row],[product1_weight]]</f>
        <v>#REF!</v>
      </c>
      <c r="AE42" s="165" t="e">
        <f>(bhpc_data[[#This Row],[net_weight]]/bhpc_data[[#This Row],[units_per_carton]])*dgn_data[[#This Row],[tot_order]]*bhpc_data[[#This Row],[product2_weight]]</f>
        <v>#REF!</v>
      </c>
      <c r="AF42" s="165" t="e">
        <f>(bhpc_data[[#This Row],[gross_weight]]/bhpc_data[[#This Row],[units_per_carton]])*dgn_data[[#This Row],[tot_order]]*bhpc_data[[#This Row],[product1_weight]]</f>
        <v>#REF!</v>
      </c>
      <c r="AG42" s="165" t="e">
        <f>(bhpc_data[[#This Row],[gross_weight]]/bhpc_data[[#This Row],[units_per_carton]])*dgn_data[[#This Row],[tot_order]]*bhpc_data[[#This Row],[product2_weight]]</f>
        <v>#REF!</v>
      </c>
      <c r="AH4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2" s="158">
        <f>SUMIF('ORDER ENTRY FORM'!$C$4:$C$61,bhpc_data[[#This Row],[sku]],'ORDER ENTRY FORM'!$E$4:$E$61)</f>
        <v>0</v>
      </c>
      <c r="AK42" s="158" t="e">
        <f>SUMIF('ORDER ENTRY FORM'!$C$4:$C$61,bhpc_data[[#This Row],[sku]],'ORDER ENTRY FORM'!#REF!)</f>
        <v>#REF!</v>
      </c>
      <c r="AL42" s="158" t="e">
        <f>dgn_data[[#This Row],[order]]+dgn_data[[#This Row],[foc_order]]</f>
        <v>#REF!</v>
      </c>
    </row>
    <row r="43" spans="1:38">
      <c r="A43" s="155" t="s">
        <v>27</v>
      </c>
      <c r="B43" s="155" t="s">
        <v>135</v>
      </c>
      <c r="C43" s="155">
        <v>1</v>
      </c>
      <c r="D43" s="155" t="s">
        <v>326</v>
      </c>
      <c r="E43" s="157">
        <v>6291107162744</v>
      </c>
      <c r="F43" s="156" t="s">
        <v>336</v>
      </c>
      <c r="G43" s="155" t="s">
        <v>212</v>
      </c>
      <c r="H43" s="155" t="s">
        <v>328</v>
      </c>
      <c r="I43" s="155">
        <v>24</v>
      </c>
      <c r="J43" s="155">
        <v>64</v>
      </c>
      <c r="K43" s="155">
        <v>8</v>
      </c>
      <c r="L43" s="155">
        <v>8</v>
      </c>
      <c r="N43" s="155">
        <v>430</v>
      </c>
      <c r="O43" s="155">
        <v>300</v>
      </c>
      <c r="P43" s="155">
        <v>195</v>
      </c>
      <c r="Q43" s="155">
        <v>6.87</v>
      </c>
      <c r="R43" s="155">
        <v>7.56</v>
      </c>
      <c r="S43" s="155">
        <v>100</v>
      </c>
      <c r="T43" s="155">
        <v>0</v>
      </c>
      <c r="U43" s="155">
        <v>0</v>
      </c>
      <c r="V43" s="155">
        <v>1</v>
      </c>
      <c r="W43" s="155">
        <v>0</v>
      </c>
      <c r="X43" s="155">
        <v>0</v>
      </c>
      <c r="Y43" s="155">
        <v>0</v>
      </c>
      <c r="Z43" s="156" t="s">
        <v>333</v>
      </c>
      <c r="AB43" s="167">
        <f>ROUNDUP(dgn_data[[#This Row],[order]]/bhpc_data[[#This Row],[units_per_carton]],0)</f>
        <v>0</v>
      </c>
      <c r="AC43" s="167" t="e">
        <f>dgn_data[[#This Row],[foc_order]]/bhpc_data[[#This Row],[units_per_carton]]</f>
        <v>#REF!</v>
      </c>
      <c r="AD43" s="165" t="e">
        <f>(bhpc_data[[#This Row],[net_weight]]/bhpc_data[[#This Row],[units_per_carton]])*dgn_data[[#This Row],[tot_order]]*bhpc_data[[#This Row],[product1_weight]]</f>
        <v>#REF!</v>
      </c>
      <c r="AE43" s="165" t="e">
        <f>(bhpc_data[[#This Row],[net_weight]]/bhpc_data[[#This Row],[units_per_carton]])*dgn_data[[#This Row],[tot_order]]*bhpc_data[[#This Row],[product2_weight]]</f>
        <v>#REF!</v>
      </c>
      <c r="AF43" s="165" t="e">
        <f>(bhpc_data[[#This Row],[gross_weight]]/bhpc_data[[#This Row],[units_per_carton]])*dgn_data[[#This Row],[tot_order]]*bhpc_data[[#This Row],[product1_weight]]</f>
        <v>#REF!</v>
      </c>
      <c r="AG43" s="165" t="e">
        <f>(bhpc_data[[#This Row],[gross_weight]]/bhpc_data[[#This Row],[units_per_carton]])*dgn_data[[#This Row],[tot_order]]*bhpc_data[[#This Row],[product2_weight]]</f>
        <v>#REF!</v>
      </c>
      <c r="AH4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3" s="158">
        <f>SUMIF('ORDER ENTRY FORM'!$C$4:$C$61,bhpc_data[[#This Row],[sku]],'ORDER ENTRY FORM'!$E$4:$E$61)</f>
        <v>0</v>
      </c>
      <c r="AK43" s="158" t="e">
        <f>SUMIF('ORDER ENTRY FORM'!$C$4:$C$61,bhpc_data[[#This Row],[sku]],'ORDER ENTRY FORM'!#REF!)</f>
        <v>#REF!</v>
      </c>
      <c r="AL43" s="158" t="e">
        <f>dgn_data[[#This Row],[order]]+dgn_data[[#This Row],[foc_order]]</f>
        <v>#REF!</v>
      </c>
    </row>
    <row r="44" spans="1:38">
      <c r="A44" s="155" t="s">
        <v>28</v>
      </c>
      <c r="B44" s="155" t="s">
        <v>134</v>
      </c>
      <c r="C44" s="155">
        <v>1</v>
      </c>
      <c r="D44" s="155" t="s">
        <v>330</v>
      </c>
      <c r="E44" s="157">
        <v>6291107160771</v>
      </c>
      <c r="F44" s="156" t="s">
        <v>336</v>
      </c>
      <c r="G44" s="155" t="s">
        <v>213</v>
      </c>
      <c r="H44" s="155" t="s">
        <v>328</v>
      </c>
      <c r="I44" s="155">
        <v>24</v>
      </c>
      <c r="J44" s="155">
        <v>48</v>
      </c>
      <c r="K44" s="155">
        <v>8</v>
      </c>
      <c r="L44" s="155">
        <v>6</v>
      </c>
      <c r="N44" s="155">
        <v>370</v>
      </c>
      <c r="O44" s="155">
        <v>275</v>
      </c>
      <c r="P44" s="155">
        <v>170</v>
      </c>
      <c r="Q44" s="155">
        <v>9.48</v>
      </c>
      <c r="R44" s="155">
        <v>9.9</v>
      </c>
      <c r="S44" s="155">
        <v>100</v>
      </c>
      <c r="T44" s="155">
        <v>0</v>
      </c>
      <c r="U44" s="155">
        <v>0</v>
      </c>
      <c r="V44" s="155">
        <v>1</v>
      </c>
      <c r="W44" s="155">
        <v>0</v>
      </c>
      <c r="X44" s="155">
        <v>0</v>
      </c>
      <c r="Y44" s="155">
        <v>0</v>
      </c>
      <c r="Z44" s="156" t="s">
        <v>333</v>
      </c>
      <c r="AB44" s="167">
        <f>ROUNDUP(dgn_data[[#This Row],[order]]/bhpc_data[[#This Row],[units_per_carton]],0)</f>
        <v>5</v>
      </c>
      <c r="AC44" s="167" t="e">
        <f>dgn_data[[#This Row],[foc_order]]/bhpc_data[[#This Row],[units_per_carton]]</f>
        <v>#REF!</v>
      </c>
      <c r="AD44" s="165" t="e">
        <f>(bhpc_data[[#This Row],[net_weight]]/bhpc_data[[#This Row],[units_per_carton]])*dgn_data[[#This Row],[tot_order]]*bhpc_data[[#This Row],[product1_weight]]</f>
        <v>#REF!</v>
      </c>
      <c r="AE44" s="165" t="e">
        <f>(bhpc_data[[#This Row],[net_weight]]/bhpc_data[[#This Row],[units_per_carton]])*dgn_data[[#This Row],[tot_order]]*bhpc_data[[#This Row],[product2_weight]]</f>
        <v>#REF!</v>
      </c>
      <c r="AF44" s="165" t="e">
        <f>(bhpc_data[[#This Row],[gross_weight]]/bhpc_data[[#This Row],[units_per_carton]])*dgn_data[[#This Row],[tot_order]]*bhpc_data[[#This Row],[product1_weight]]</f>
        <v>#REF!</v>
      </c>
      <c r="AG44" s="165" t="e">
        <f>(bhpc_data[[#This Row],[gross_weight]]/bhpc_data[[#This Row],[units_per_carton]])*dgn_data[[#This Row],[tot_order]]*bhpc_data[[#This Row],[product2_weight]]</f>
        <v>#REF!</v>
      </c>
      <c r="AH4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4" s="158">
        <f>SUMIF('ORDER ENTRY FORM'!$C$4:$C$61,bhpc_data[[#This Row],[sku]],'ORDER ENTRY FORM'!$E$4:$E$61)</f>
        <v>100</v>
      </c>
      <c r="AK44" s="158" t="e">
        <f>SUMIF('ORDER ENTRY FORM'!$C$4:$C$61,bhpc_data[[#This Row],[sku]],'ORDER ENTRY FORM'!#REF!)</f>
        <v>#REF!</v>
      </c>
      <c r="AL44" s="158" t="e">
        <f>dgn_data[[#This Row],[order]]+dgn_data[[#This Row],[foc_order]]</f>
        <v>#REF!</v>
      </c>
    </row>
    <row r="45" spans="1:38">
      <c r="A45" s="155" t="s">
        <v>29</v>
      </c>
      <c r="B45" s="155" t="s">
        <v>134</v>
      </c>
      <c r="C45" s="155">
        <v>1</v>
      </c>
      <c r="D45" s="155" t="s">
        <v>330</v>
      </c>
      <c r="E45" s="157">
        <v>6291107160788</v>
      </c>
      <c r="F45" s="156" t="s">
        <v>336</v>
      </c>
      <c r="G45" s="155" t="s">
        <v>214</v>
      </c>
      <c r="H45" s="155" t="s">
        <v>328</v>
      </c>
      <c r="I45" s="155">
        <v>24</v>
      </c>
      <c r="J45" s="155">
        <v>48</v>
      </c>
      <c r="K45" s="155">
        <v>8</v>
      </c>
      <c r="L45" s="155">
        <v>6</v>
      </c>
      <c r="N45" s="155">
        <v>370</v>
      </c>
      <c r="O45" s="155">
        <v>275</v>
      </c>
      <c r="P45" s="155">
        <v>170</v>
      </c>
      <c r="Q45" s="155">
        <v>9.48</v>
      </c>
      <c r="R45" s="155">
        <v>9.9</v>
      </c>
      <c r="S45" s="155">
        <v>100</v>
      </c>
      <c r="T45" s="155">
        <v>0</v>
      </c>
      <c r="U45" s="155">
        <v>0</v>
      </c>
      <c r="V45" s="155">
        <v>1</v>
      </c>
      <c r="W45" s="155">
        <v>0</v>
      </c>
      <c r="X45" s="155">
        <v>0</v>
      </c>
      <c r="Y45" s="155">
        <v>0</v>
      </c>
      <c r="Z45" s="156" t="s">
        <v>333</v>
      </c>
      <c r="AB45" s="167">
        <f>ROUNDUP(dgn_data[[#This Row],[order]]/bhpc_data[[#This Row],[units_per_carton]],0)</f>
        <v>5</v>
      </c>
      <c r="AC45" s="167" t="e">
        <f>dgn_data[[#This Row],[foc_order]]/bhpc_data[[#This Row],[units_per_carton]]</f>
        <v>#REF!</v>
      </c>
      <c r="AD45" s="165" t="e">
        <f>(bhpc_data[[#This Row],[net_weight]]/bhpc_data[[#This Row],[units_per_carton]])*dgn_data[[#This Row],[tot_order]]*bhpc_data[[#This Row],[product1_weight]]</f>
        <v>#REF!</v>
      </c>
      <c r="AE45" s="165" t="e">
        <f>(bhpc_data[[#This Row],[net_weight]]/bhpc_data[[#This Row],[units_per_carton]])*dgn_data[[#This Row],[tot_order]]*bhpc_data[[#This Row],[product2_weight]]</f>
        <v>#REF!</v>
      </c>
      <c r="AF45" s="165" t="e">
        <f>(bhpc_data[[#This Row],[gross_weight]]/bhpc_data[[#This Row],[units_per_carton]])*dgn_data[[#This Row],[tot_order]]*bhpc_data[[#This Row],[product1_weight]]</f>
        <v>#REF!</v>
      </c>
      <c r="AG45" s="165" t="e">
        <f>(bhpc_data[[#This Row],[gross_weight]]/bhpc_data[[#This Row],[units_per_carton]])*dgn_data[[#This Row],[tot_order]]*bhpc_data[[#This Row],[product2_weight]]</f>
        <v>#REF!</v>
      </c>
      <c r="AH4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5" s="158">
        <f>SUMIF('ORDER ENTRY FORM'!$C$4:$C$61,bhpc_data[[#This Row],[sku]],'ORDER ENTRY FORM'!$E$4:$E$61)</f>
        <v>100</v>
      </c>
      <c r="AK45" s="158" t="e">
        <f>SUMIF('ORDER ENTRY FORM'!$C$4:$C$61,bhpc_data[[#This Row],[sku]],'ORDER ENTRY FORM'!#REF!)</f>
        <v>#REF!</v>
      </c>
      <c r="AL45" s="158" t="e">
        <f>dgn_data[[#This Row],[order]]+dgn_data[[#This Row],[foc_order]]</f>
        <v>#REF!</v>
      </c>
    </row>
    <row r="46" spans="1:38">
      <c r="A46" s="155" t="s">
        <v>30</v>
      </c>
      <c r="B46" s="155" t="s">
        <v>134</v>
      </c>
      <c r="C46" s="155">
        <v>1</v>
      </c>
      <c r="D46" s="155" t="s">
        <v>330</v>
      </c>
      <c r="E46" s="157">
        <v>6291107160795</v>
      </c>
      <c r="F46" s="156" t="s">
        <v>336</v>
      </c>
      <c r="G46" s="155" t="s">
        <v>215</v>
      </c>
      <c r="H46" s="155" t="s">
        <v>328</v>
      </c>
      <c r="I46" s="155">
        <v>24</v>
      </c>
      <c r="J46" s="155">
        <v>48</v>
      </c>
      <c r="K46" s="155">
        <v>8</v>
      </c>
      <c r="L46" s="155">
        <v>6</v>
      </c>
      <c r="N46" s="155">
        <v>370</v>
      </c>
      <c r="O46" s="155">
        <v>275</v>
      </c>
      <c r="P46" s="155">
        <v>170</v>
      </c>
      <c r="Q46" s="155">
        <v>9.48</v>
      </c>
      <c r="R46" s="155">
        <v>9.9</v>
      </c>
      <c r="S46" s="155">
        <v>100</v>
      </c>
      <c r="T46" s="155">
        <v>0</v>
      </c>
      <c r="U46" s="155">
        <v>0</v>
      </c>
      <c r="V46" s="155">
        <v>1</v>
      </c>
      <c r="W46" s="155">
        <v>0</v>
      </c>
      <c r="X46" s="155">
        <v>0</v>
      </c>
      <c r="Y46" s="155">
        <v>0</v>
      </c>
      <c r="Z46" s="156" t="s">
        <v>333</v>
      </c>
      <c r="AB46" s="167">
        <f>ROUNDUP(dgn_data[[#This Row],[order]]/bhpc_data[[#This Row],[units_per_carton]],0)</f>
        <v>5</v>
      </c>
      <c r="AC46" s="167" t="e">
        <f>dgn_data[[#This Row],[foc_order]]/bhpc_data[[#This Row],[units_per_carton]]</f>
        <v>#REF!</v>
      </c>
      <c r="AD46" s="165" t="e">
        <f>(bhpc_data[[#This Row],[net_weight]]/bhpc_data[[#This Row],[units_per_carton]])*dgn_data[[#This Row],[tot_order]]*bhpc_data[[#This Row],[product1_weight]]</f>
        <v>#REF!</v>
      </c>
      <c r="AE46" s="165" t="e">
        <f>(bhpc_data[[#This Row],[net_weight]]/bhpc_data[[#This Row],[units_per_carton]])*dgn_data[[#This Row],[tot_order]]*bhpc_data[[#This Row],[product2_weight]]</f>
        <v>#REF!</v>
      </c>
      <c r="AF46" s="165" t="e">
        <f>(bhpc_data[[#This Row],[gross_weight]]/bhpc_data[[#This Row],[units_per_carton]])*dgn_data[[#This Row],[tot_order]]*bhpc_data[[#This Row],[product1_weight]]</f>
        <v>#REF!</v>
      </c>
      <c r="AG46" s="165" t="e">
        <f>(bhpc_data[[#This Row],[gross_weight]]/bhpc_data[[#This Row],[units_per_carton]])*dgn_data[[#This Row],[tot_order]]*bhpc_data[[#This Row],[product2_weight]]</f>
        <v>#REF!</v>
      </c>
      <c r="AH4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6" s="158">
        <f>SUMIF('ORDER ENTRY FORM'!$C$4:$C$61,bhpc_data[[#This Row],[sku]],'ORDER ENTRY FORM'!$E$4:$E$61)</f>
        <v>100</v>
      </c>
      <c r="AK46" s="158" t="e">
        <f>SUMIF('ORDER ENTRY FORM'!$C$4:$C$61,bhpc_data[[#This Row],[sku]],'ORDER ENTRY FORM'!#REF!)</f>
        <v>#REF!</v>
      </c>
      <c r="AL46" s="158" t="e">
        <f>dgn_data[[#This Row],[order]]+dgn_data[[#This Row],[foc_order]]</f>
        <v>#REF!</v>
      </c>
    </row>
    <row r="47" spans="1:38">
      <c r="A47" s="155" t="s">
        <v>31</v>
      </c>
      <c r="B47" s="155" t="s">
        <v>134</v>
      </c>
      <c r="C47" s="155">
        <v>1</v>
      </c>
      <c r="D47" s="155" t="s">
        <v>330</v>
      </c>
      <c r="E47" s="157">
        <v>6291107160801</v>
      </c>
      <c r="F47" s="156" t="s">
        <v>336</v>
      </c>
      <c r="G47" s="155" t="s">
        <v>216</v>
      </c>
      <c r="H47" s="155" t="s">
        <v>328</v>
      </c>
      <c r="I47" s="155">
        <v>24</v>
      </c>
      <c r="J47" s="155">
        <v>48</v>
      </c>
      <c r="K47" s="155">
        <v>8</v>
      </c>
      <c r="L47" s="155">
        <v>6</v>
      </c>
      <c r="N47" s="155">
        <v>370</v>
      </c>
      <c r="O47" s="155">
        <v>275</v>
      </c>
      <c r="P47" s="155">
        <v>170</v>
      </c>
      <c r="Q47" s="155">
        <v>9.48</v>
      </c>
      <c r="R47" s="155">
        <v>9.9</v>
      </c>
      <c r="S47" s="155">
        <v>100</v>
      </c>
      <c r="T47" s="155">
        <v>0</v>
      </c>
      <c r="U47" s="155">
        <v>0</v>
      </c>
      <c r="V47" s="155">
        <v>1</v>
      </c>
      <c r="W47" s="155">
        <v>0</v>
      </c>
      <c r="X47" s="155">
        <v>0</v>
      </c>
      <c r="Y47" s="155">
        <v>0</v>
      </c>
      <c r="Z47" s="156" t="s">
        <v>333</v>
      </c>
      <c r="AB47" s="167">
        <f>ROUNDUP(dgn_data[[#This Row],[order]]/bhpc_data[[#This Row],[units_per_carton]],0)</f>
        <v>5</v>
      </c>
      <c r="AC47" s="167" t="e">
        <f>dgn_data[[#This Row],[foc_order]]/bhpc_data[[#This Row],[units_per_carton]]</f>
        <v>#REF!</v>
      </c>
      <c r="AD47" s="165" t="e">
        <f>(bhpc_data[[#This Row],[net_weight]]/bhpc_data[[#This Row],[units_per_carton]])*dgn_data[[#This Row],[tot_order]]*bhpc_data[[#This Row],[product1_weight]]</f>
        <v>#REF!</v>
      </c>
      <c r="AE47" s="165" t="e">
        <f>(bhpc_data[[#This Row],[net_weight]]/bhpc_data[[#This Row],[units_per_carton]])*dgn_data[[#This Row],[tot_order]]*bhpc_data[[#This Row],[product2_weight]]</f>
        <v>#REF!</v>
      </c>
      <c r="AF47" s="165" t="e">
        <f>(bhpc_data[[#This Row],[gross_weight]]/bhpc_data[[#This Row],[units_per_carton]])*dgn_data[[#This Row],[tot_order]]*bhpc_data[[#This Row],[product1_weight]]</f>
        <v>#REF!</v>
      </c>
      <c r="AG47" s="165" t="e">
        <f>(bhpc_data[[#This Row],[gross_weight]]/bhpc_data[[#This Row],[units_per_carton]])*dgn_data[[#This Row],[tot_order]]*bhpc_data[[#This Row],[product2_weight]]</f>
        <v>#REF!</v>
      </c>
      <c r="AH4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7" s="158">
        <f>SUMIF('ORDER ENTRY FORM'!$C$4:$C$61,bhpc_data[[#This Row],[sku]],'ORDER ENTRY FORM'!$E$4:$E$61)</f>
        <v>100</v>
      </c>
      <c r="AK47" s="158" t="e">
        <f>SUMIF('ORDER ENTRY FORM'!$C$4:$C$61,bhpc_data[[#This Row],[sku]],'ORDER ENTRY FORM'!#REF!)</f>
        <v>#REF!</v>
      </c>
      <c r="AL47" s="158" t="e">
        <f>dgn_data[[#This Row],[order]]+dgn_data[[#This Row],[foc_order]]</f>
        <v>#REF!</v>
      </c>
    </row>
    <row r="48" spans="1:38">
      <c r="A48" s="155" t="s">
        <v>32</v>
      </c>
      <c r="B48" s="155" t="s">
        <v>134</v>
      </c>
      <c r="C48" s="155">
        <v>1</v>
      </c>
      <c r="D48" s="155" t="s">
        <v>326</v>
      </c>
      <c r="E48" s="157">
        <v>6291107160825</v>
      </c>
      <c r="F48" s="156" t="s">
        <v>336</v>
      </c>
      <c r="G48" s="155" t="s">
        <v>217</v>
      </c>
      <c r="H48" s="155" t="s">
        <v>328</v>
      </c>
      <c r="I48" s="155">
        <v>24</v>
      </c>
      <c r="J48" s="155">
        <v>48</v>
      </c>
      <c r="K48" s="155">
        <v>8</v>
      </c>
      <c r="L48" s="155">
        <v>6</v>
      </c>
      <c r="N48" s="155">
        <v>375</v>
      </c>
      <c r="O48" s="155">
        <v>275</v>
      </c>
      <c r="P48" s="155">
        <v>170</v>
      </c>
      <c r="Q48" s="155">
        <v>9.1199999999999992</v>
      </c>
      <c r="R48" s="155">
        <v>9.5</v>
      </c>
      <c r="S48" s="155">
        <v>100</v>
      </c>
      <c r="T48" s="155">
        <v>0</v>
      </c>
      <c r="U48" s="155">
        <v>0</v>
      </c>
      <c r="V48" s="155">
        <v>1</v>
      </c>
      <c r="W48" s="155">
        <v>0</v>
      </c>
      <c r="X48" s="155">
        <v>0</v>
      </c>
      <c r="Y48" s="155">
        <v>0</v>
      </c>
      <c r="Z48" s="156" t="s">
        <v>333</v>
      </c>
      <c r="AB48" s="167">
        <f>ROUNDUP(dgn_data[[#This Row],[order]]/bhpc_data[[#This Row],[units_per_carton]],0)</f>
        <v>0</v>
      </c>
      <c r="AC48" s="167" t="e">
        <f>dgn_data[[#This Row],[foc_order]]/bhpc_data[[#This Row],[units_per_carton]]</f>
        <v>#REF!</v>
      </c>
      <c r="AD48" s="165" t="e">
        <f>(bhpc_data[[#This Row],[net_weight]]/bhpc_data[[#This Row],[units_per_carton]])*dgn_data[[#This Row],[tot_order]]*bhpc_data[[#This Row],[product1_weight]]</f>
        <v>#REF!</v>
      </c>
      <c r="AE48" s="165" t="e">
        <f>(bhpc_data[[#This Row],[net_weight]]/bhpc_data[[#This Row],[units_per_carton]])*dgn_data[[#This Row],[tot_order]]*bhpc_data[[#This Row],[product2_weight]]</f>
        <v>#REF!</v>
      </c>
      <c r="AF48" s="165" t="e">
        <f>(bhpc_data[[#This Row],[gross_weight]]/bhpc_data[[#This Row],[units_per_carton]])*dgn_data[[#This Row],[tot_order]]*bhpc_data[[#This Row],[product1_weight]]</f>
        <v>#REF!</v>
      </c>
      <c r="AG48" s="165" t="e">
        <f>(bhpc_data[[#This Row],[gross_weight]]/bhpc_data[[#This Row],[units_per_carton]])*dgn_data[[#This Row],[tot_order]]*bhpc_data[[#This Row],[product2_weight]]</f>
        <v>#REF!</v>
      </c>
      <c r="AH4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8" s="158">
        <f>SUMIF('ORDER ENTRY FORM'!$C$4:$C$61,bhpc_data[[#This Row],[sku]],'ORDER ENTRY FORM'!$E$4:$E$61)</f>
        <v>0</v>
      </c>
      <c r="AK48" s="158" t="e">
        <f>SUMIF('ORDER ENTRY FORM'!$C$4:$C$61,bhpc_data[[#This Row],[sku]],'ORDER ENTRY FORM'!#REF!)</f>
        <v>#REF!</v>
      </c>
      <c r="AL48" s="158" t="e">
        <f>dgn_data[[#This Row],[order]]+dgn_data[[#This Row],[foc_order]]</f>
        <v>#REF!</v>
      </c>
    </row>
    <row r="49" spans="1:38">
      <c r="A49" s="155" t="s">
        <v>33</v>
      </c>
      <c r="B49" s="155" t="s">
        <v>134</v>
      </c>
      <c r="C49" s="155">
        <v>1</v>
      </c>
      <c r="D49" s="155" t="s">
        <v>326</v>
      </c>
      <c r="E49" s="157">
        <v>6291107160818</v>
      </c>
      <c r="F49" s="156" t="s">
        <v>336</v>
      </c>
      <c r="G49" s="155" t="s">
        <v>218</v>
      </c>
      <c r="H49" s="155" t="s">
        <v>328</v>
      </c>
      <c r="I49" s="155">
        <v>24</v>
      </c>
      <c r="J49" s="155">
        <v>48</v>
      </c>
      <c r="K49" s="155">
        <v>8</v>
      </c>
      <c r="L49" s="155">
        <v>6</v>
      </c>
      <c r="N49" s="155">
        <v>375</v>
      </c>
      <c r="O49" s="155">
        <v>275</v>
      </c>
      <c r="P49" s="155">
        <v>170</v>
      </c>
      <c r="Q49" s="155">
        <v>9.1199999999999992</v>
      </c>
      <c r="R49" s="155">
        <v>9.5</v>
      </c>
      <c r="S49" s="155">
        <v>100</v>
      </c>
      <c r="T49" s="155">
        <v>0</v>
      </c>
      <c r="U49" s="155">
        <v>0</v>
      </c>
      <c r="V49" s="155">
        <v>1</v>
      </c>
      <c r="W49" s="155">
        <v>0</v>
      </c>
      <c r="X49" s="155">
        <v>0</v>
      </c>
      <c r="Y49" s="155">
        <v>0</v>
      </c>
      <c r="Z49" s="156" t="s">
        <v>333</v>
      </c>
      <c r="AB49" s="167">
        <f>ROUNDUP(dgn_data[[#This Row],[order]]/bhpc_data[[#This Row],[units_per_carton]],0)</f>
        <v>0</v>
      </c>
      <c r="AC49" s="167" t="e">
        <f>dgn_data[[#This Row],[foc_order]]/bhpc_data[[#This Row],[units_per_carton]]</f>
        <v>#REF!</v>
      </c>
      <c r="AD49" s="165" t="e">
        <f>(bhpc_data[[#This Row],[net_weight]]/bhpc_data[[#This Row],[units_per_carton]])*dgn_data[[#This Row],[tot_order]]*bhpc_data[[#This Row],[product1_weight]]</f>
        <v>#REF!</v>
      </c>
      <c r="AE49" s="165" t="e">
        <f>(bhpc_data[[#This Row],[net_weight]]/bhpc_data[[#This Row],[units_per_carton]])*dgn_data[[#This Row],[tot_order]]*bhpc_data[[#This Row],[product2_weight]]</f>
        <v>#REF!</v>
      </c>
      <c r="AF49" s="165" t="e">
        <f>(bhpc_data[[#This Row],[gross_weight]]/bhpc_data[[#This Row],[units_per_carton]])*dgn_data[[#This Row],[tot_order]]*bhpc_data[[#This Row],[product1_weight]]</f>
        <v>#REF!</v>
      </c>
      <c r="AG49" s="165" t="e">
        <f>(bhpc_data[[#This Row],[gross_weight]]/bhpc_data[[#This Row],[units_per_carton]])*dgn_data[[#This Row],[tot_order]]*bhpc_data[[#This Row],[product2_weight]]</f>
        <v>#REF!</v>
      </c>
      <c r="AH4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9" s="158">
        <f>SUMIF('ORDER ENTRY FORM'!$C$4:$C$61,bhpc_data[[#This Row],[sku]],'ORDER ENTRY FORM'!$E$4:$E$61)</f>
        <v>0</v>
      </c>
      <c r="AK49" s="158" t="e">
        <f>SUMIF('ORDER ENTRY FORM'!$C$4:$C$61,bhpc_data[[#This Row],[sku]],'ORDER ENTRY FORM'!#REF!)</f>
        <v>#REF!</v>
      </c>
      <c r="AL49" s="158" t="e">
        <f>dgn_data[[#This Row],[order]]+dgn_data[[#This Row],[foc_order]]</f>
        <v>#REF!</v>
      </c>
    </row>
    <row r="50" spans="1:38">
      <c r="A50" s="155" t="s">
        <v>34</v>
      </c>
      <c r="B50" s="155" t="s">
        <v>134</v>
      </c>
      <c r="C50" s="155">
        <v>1</v>
      </c>
      <c r="D50" s="155" t="s">
        <v>326</v>
      </c>
      <c r="E50" s="157">
        <v>6291107162171</v>
      </c>
      <c r="F50" s="156" t="s">
        <v>336</v>
      </c>
      <c r="G50" s="155" t="s">
        <v>219</v>
      </c>
      <c r="H50" s="155" t="s">
        <v>328</v>
      </c>
      <c r="I50" s="155">
        <v>24</v>
      </c>
      <c r="J50" s="155">
        <v>48</v>
      </c>
      <c r="K50" s="155">
        <v>8</v>
      </c>
      <c r="L50" s="155">
        <v>6</v>
      </c>
      <c r="N50" s="155">
        <v>375</v>
      </c>
      <c r="O50" s="155">
        <v>275</v>
      </c>
      <c r="P50" s="155">
        <v>170</v>
      </c>
      <c r="Q50" s="155">
        <v>9.1199999999999992</v>
      </c>
      <c r="R50" s="155">
        <v>9.5</v>
      </c>
      <c r="S50" s="155">
        <v>100</v>
      </c>
      <c r="T50" s="155">
        <v>0</v>
      </c>
      <c r="U50" s="155">
        <v>0</v>
      </c>
      <c r="V50" s="155">
        <v>1</v>
      </c>
      <c r="W50" s="155">
        <v>0</v>
      </c>
      <c r="X50" s="155">
        <v>0</v>
      </c>
      <c r="Y50" s="155">
        <v>0</v>
      </c>
      <c r="Z50" s="156" t="s">
        <v>333</v>
      </c>
      <c r="AB50" s="167">
        <f>ROUNDUP(dgn_data[[#This Row],[order]]/bhpc_data[[#This Row],[units_per_carton]],0)</f>
        <v>0</v>
      </c>
      <c r="AC50" s="167" t="e">
        <f>dgn_data[[#This Row],[foc_order]]/bhpc_data[[#This Row],[units_per_carton]]</f>
        <v>#REF!</v>
      </c>
      <c r="AD50" s="165" t="e">
        <f>(bhpc_data[[#This Row],[net_weight]]/bhpc_data[[#This Row],[units_per_carton]])*dgn_data[[#This Row],[tot_order]]*bhpc_data[[#This Row],[product1_weight]]</f>
        <v>#REF!</v>
      </c>
      <c r="AE50" s="165" t="e">
        <f>(bhpc_data[[#This Row],[net_weight]]/bhpc_data[[#This Row],[units_per_carton]])*dgn_data[[#This Row],[tot_order]]*bhpc_data[[#This Row],[product2_weight]]</f>
        <v>#REF!</v>
      </c>
      <c r="AF50" s="165" t="e">
        <f>(bhpc_data[[#This Row],[gross_weight]]/bhpc_data[[#This Row],[units_per_carton]])*dgn_data[[#This Row],[tot_order]]*bhpc_data[[#This Row],[product1_weight]]</f>
        <v>#REF!</v>
      </c>
      <c r="AG50" s="165" t="e">
        <f>(bhpc_data[[#This Row],[gross_weight]]/bhpc_data[[#This Row],[units_per_carton]])*dgn_data[[#This Row],[tot_order]]*bhpc_data[[#This Row],[product2_weight]]</f>
        <v>#REF!</v>
      </c>
      <c r="AH5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0" s="158">
        <f>SUMIF('ORDER ENTRY FORM'!$C$4:$C$61,bhpc_data[[#This Row],[sku]],'ORDER ENTRY FORM'!$E$4:$E$61)</f>
        <v>0</v>
      </c>
      <c r="AK50" s="158" t="e">
        <f>SUMIF('ORDER ENTRY FORM'!$C$4:$C$61,bhpc_data[[#This Row],[sku]],'ORDER ENTRY FORM'!#REF!)</f>
        <v>#REF!</v>
      </c>
      <c r="AL50" s="158" t="e">
        <f>dgn_data[[#This Row],[order]]+dgn_data[[#This Row],[foc_order]]</f>
        <v>#REF!</v>
      </c>
    </row>
    <row r="51" spans="1:38">
      <c r="A51" s="155" t="s">
        <v>35</v>
      </c>
      <c r="B51" s="155" t="s">
        <v>134</v>
      </c>
      <c r="C51" s="155">
        <v>1</v>
      </c>
      <c r="D51" s="155" t="s">
        <v>326</v>
      </c>
      <c r="E51" s="157">
        <v>6291107162188</v>
      </c>
      <c r="F51" s="156" t="s">
        <v>336</v>
      </c>
      <c r="G51" s="155" t="s">
        <v>220</v>
      </c>
      <c r="H51" s="155" t="s">
        <v>328</v>
      </c>
      <c r="I51" s="155">
        <v>24</v>
      </c>
      <c r="J51" s="155">
        <v>48</v>
      </c>
      <c r="K51" s="155">
        <v>8</v>
      </c>
      <c r="L51" s="155">
        <v>6</v>
      </c>
      <c r="N51" s="155">
        <v>375</v>
      </c>
      <c r="O51" s="155">
        <v>275</v>
      </c>
      <c r="P51" s="155">
        <v>170</v>
      </c>
      <c r="Q51" s="155">
        <v>9.1199999999999992</v>
      </c>
      <c r="R51" s="155">
        <v>9.5</v>
      </c>
      <c r="S51" s="155">
        <v>100</v>
      </c>
      <c r="T51" s="155">
        <v>0</v>
      </c>
      <c r="U51" s="155">
        <v>0</v>
      </c>
      <c r="V51" s="155">
        <v>1</v>
      </c>
      <c r="W51" s="155">
        <v>0</v>
      </c>
      <c r="X51" s="155">
        <v>0</v>
      </c>
      <c r="Y51" s="155">
        <v>0</v>
      </c>
      <c r="Z51" s="156" t="s">
        <v>333</v>
      </c>
      <c r="AB51" s="167">
        <f>ROUNDUP(dgn_data[[#This Row],[order]]/bhpc_data[[#This Row],[units_per_carton]],0)</f>
        <v>0</v>
      </c>
      <c r="AC51" s="167" t="e">
        <f>dgn_data[[#This Row],[foc_order]]/bhpc_data[[#This Row],[units_per_carton]]</f>
        <v>#REF!</v>
      </c>
      <c r="AD51" s="165" t="e">
        <f>(bhpc_data[[#This Row],[net_weight]]/bhpc_data[[#This Row],[units_per_carton]])*dgn_data[[#This Row],[tot_order]]*bhpc_data[[#This Row],[product1_weight]]</f>
        <v>#REF!</v>
      </c>
      <c r="AE51" s="165" t="e">
        <f>(bhpc_data[[#This Row],[net_weight]]/bhpc_data[[#This Row],[units_per_carton]])*dgn_data[[#This Row],[tot_order]]*bhpc_data[[#This Row],[product2_weight]]</f>
        <v>#REF!</v>
      </c>
      <c r="AF51" s="165" t="e">
        <f>(bhpc_data[[#This Row],[gross_weight]]/bhpc_data[[#This Row],[units_per_carton]])*dgn_data[[#This Row],[tot_order]]*bhpc_data[[#This Row],[product1_weight]]</f>
        <v>#REF!</v>
      </c>
      <c r="AG51" s="165" t="e">
        <f>(bhpc_data[[#This Row],[gross_weight]]/bhpc_data[[#This Row],[units_per_carton]])*dgn_data[[#This Row],[tot_order]]*bhpc_data[[#This Row],[product2_weight]]</f>
        <v>#REF!</v>
      </c>
      <c r="AH5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1" s="158">
        <f>SUMIF('ORDER ENTRY FORM'!$C$4:$C$61,bhpc_data[[#This Row],[sku]],'ORDER ENTRY FORM'!$E$4:$E$61)</f>
        <v>0</v>
      </c>
      <c r="AK51" s="158" t="e">
        <f>SUMIF('ORDER ENTRY FORM'!$C$4:$C$61,bhpc_data[[#This Row],[sku]],'ORDER ENTRY FORM'!#REF!)</f>
        <v>#REF!</v>
      </c>
      <c r="AL51" s="158" t="e">
        <f>dgn_data[[#This Row],[order]]+dgn_data[[#This Row],[foc_order]]</f>
        <v>#REF!</v>
      </c>
    </row>
    <row r="52" spans="1:38">
      <c r="A52" s="155" t="s">
        <v>36</v>
      </c>
      <c r="B52" s="155" t="s">
        <v>221</v>
      </c>
      <c r="C52" s="155">
        <v>1</v>
      </c>
      <c r="D52" s="155" t="s">
        <v>330</v>
      </c>
      <c r="E52" s="157"/>
      <c r="F52" s="156" t="s">
        <v>336</v>
      </c>
      <c r="G52" s="155" t="s">
        <v>222</v>
      </c>
      <c r="H52" s="155" t="s">
        <v>328</v>
      </c>
      <c r="I52" s="155">
        <v>24</v>
      </c>
      <c r="J52" s="155">
        <v>48</v>
      </c>
      <c r="K52" s="155">
        <v>8</v>
      </c>
      <c r="L52" s="155">
        <v>6</v>
      </c>
      <c r="N52" s="155">
        <v>375</v>
      </c>
      <c r="O52" s="155">
        <v>275</v>
      </c>
      <c r="P52" s="155">
        <v>170</v>
      </c>
      <c r="Q52" s="155">
        <v>9.1199999999999992</v>
      </c>
      <c r="R52" s="155">
        <v>9.5</v>
      </c>
      <c r="S52" s="155">
        <v>100</v>
      </c>
      <c r="T52" s="155">
        <v>0</v>
      </c>
      <c r="U52" s="155">
        <v>0</v>
      </c>
      <c r="V52" s="155">
        <v>1</v>
      </c>
      <c r="W52" s="155">
        <v>0</v>
      </c>
      <c r="X52" s="155">
        <v>0</v>
      </c>
      <c r="Y52" s="155">
        <v>0</v>
      </c>
      <c r="Z52" s="156" t="s">
        <v>333</v>
      </c>
      <c r="AB52" s="167">
        <f>ROUNDUP(dgn_data[[#This Row],[order]]/bhpc_data[[#This Row],[units_per_carton]],0)</f>
        <v>0</v>
      </c>
      <c r="AC52" s="167" t="e">
        <f>dgn_data[[#This Row],[foc_order]]/bhpc_data[[#This Row],[units_per_carton]]</f>
        <v>#REF!</v>
      </c>
      <c r="AD52" s="165" t="e">
        <f>(bhpc_data[[#This Row],[net_weight]]/bhpc_data[[#This Row],[units_per_carton]])*dgn_data[[#This Row],[tot_order]]*bhpc_data[[#This Row],[product1_weight]]</f>
        <v>#REF!</v>
      </c>
      <c r="AE52" s="165" t="e">
        <f>(bhpc_data[[#This Row],[net_weight]]/bhpc_data[[#This Row],[units_per_carton]])*dgn_data[[#This Row],[tot_order]]*bhpc_data[[#This Row],[product2_weight]]</f>
        <v>#REF!</v>
      </c>
      <c r="AF52" s="165" t="e">
        <f>(bhpc_data[[#This Row],[gross_weight]]/bhpc_data[[#This Row],[units_per_carton]])*dgn_data[[#This Row],[tot_order]]*bhpc_data[[#This Row],[product1_weight]]</f>
        <v>#REF!</v>
      </c>
      <c r="AG52" s="165" t="e">
        <f>(bhpc_data[[#This Row],[gross_weight]]/bhpc_data[[#This Row],[units_per_carton]])*dgn_data[[#This Row],[tot_order]]*bhpc_data[[#This Row],[product2_weight]]</f>
        <v>#REF!</v>
      </c>
      <c r="AH5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2" s="158">
        <f>SUMIF('ORDER ENTRY FORM'!$C$4:$C$61,bhpc_data[[#This Row],[sku]],'ORDER ENTRY FORM'!$E$4:$E$61)</f>
        <v>0</v>
      </c>
      <c r="AK52" s="158" t="e">
        <f>SUMIF('ORDER ENTRY FORM'!$C$4:$C$61,bhpc_data[[#This Row],[sku]],'ORDER ENTRY FORM'!#REF!)</f>
        <v>#REF!</v>
      </c>
      <c r="AL52" s="158" t="e">
        <f>dgn_data[[#This Row],[order]]+dgn_data[[#This Row],[foc_order]]</f>
        <v>#REF!</v>
      </c>
    </row>
    <row r="53" spans="1:38">
      <c r="A53" s="155" t="s">
        <v>37</v>
      </c>
      <c r="B53" s="155" t="s">
        <v>221</v>
      </c>
      <c r="C53" s="155">
        <v>1</v>
      </c>
      <c r="D53" s="155" t="s">
        <v>330</v>
      </c>
      <c r="E53" s="157"/>
      <c r="F53" s="156" t="s">
        <v>336</v>
      </c>
      <c r="G53" s="155" t="s">
        <v>223</v>
      </c>
      <c r="H53" s="155" t="s">
        <v>328</v>
      </c>
      <c r="I53" s="155">
        <v>24</v>
      </c>
      <c r="J53" s="155">
        <v>48</v>
      </c>
      <c r="K53" s="155">
        <v>8</v>
      </c>
      <c r="L53" s="155">
        <v>6</v>
      </c>
      <c r="N53" s="155">
        <v>375</v>
      </c>
      <c r="O53" s="155">
        <v>275</v>
      </c>
      <c r="P53" s="155">
        <v>170</v>
      </c>
      <c r="Q53" s="155">
        <v>9.1199999999999992</v>
      </c>
      <c r="R53" s="155">
        <v>9.5</v>
      </c>
      <c r="S53" s="155">
        <v>100</v>
      </c>
      <c r="T53" s="155">
        <v>0</v>
      </c>
      <c r="U53" s="155">
        <v>0</v>
      </c>
      <c r="V53" s="155">
        <v>1</v>
      </c>
      <c r="W53" s="155">
        <v>0</v>
      </c>
      <c r="X53" s="155">
        <v>0</v>
      </c>
      <c r="Y53" s="155">
        <v>0</v>
      </c>
      <c r="Z53" s="156" t="s">
        <v>333</v>
      </c>
      <c r="AB53" s="167">
        <f>ROUNDUP(dgn_data[[#This Row],[order]]/bhpc_data[[#This Row],[units_per_carton]],0)</f>
        <v>0</v>
      </c>
      <c r="AC53" s="167" t="e">
        <f>dgn_data[[#This Row],[foc_order]]/bhpc_data[[#This Row],[units_per_carton]]</f>
        <v>#REF!</v>
      </c>
      <c r="AD53" s="165" t="e">
        <f>(bhpc_data[[#This Row],[net_weight]]/bhpc_data[[#This Row],[units_per_carton]])*dgn_data[[#This Row],[tot_order]]*bhpc_data[[#This Row],[product1_weight]]</f>
        <v>#REF!</v>
      </c>
      <c r="AE53" s="165" t="e">
        <f>(bhpc_data[[#This Row],[net_weight]]/bhpc_data[[#This Row],[units_per_carton]])*dgn_data[[#This Row],[tot_order]]*bhpc_data[[#This Row],[product2_weight]]</f>
        <v>#REF!</v>
      </c>
      <c r="AF53" s="165" t="e">
        <f>(bhpc_data[[#This Row],[gross_weight]]/bhpc_data[[#This Row],[units_per_carton]])*dgn_data[[#This Row],[tot_order]]*bhpc_data[[#This Row],[product1_weight]]</f>
        <v>#REF!</v>
      </c>
      <c r="AG53" s="165" t="e">
        <f>(bhpc_data[[#This Row],[gross_weight]]/bhpc_data[[#This Row],[units_per_carton]])*dgn_data[[#This Row],[tot_order]]*bhpc_data[[#This Row],[product2_weight]]</f>
        <v>#REF!</v>
      </c>
      <c r="AH5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3" s="158">
        <f>SUMIF('ORDER ENTRY FORM'!$C$4:$C$61,bhpc_data[[#This Row],[sku]],'ORDER ENTRY FORM'!$E$4:$E$61)</f>
        <v>0</v>
      </c>
      <c r="AK53" s="158" t="e">
        <f>SUMIF('ORDER ENTRY FORM'!$C$4:$C$61,bhpc_data[[#This Row],[sku]],'ORDER ENTRY FORM'!#REF!)</f>
        <v>#REF!</v>
      </c>
      <c r="AL53" s="158" t="e">
        <f>dgn_data[[#This Row],[order]]+dgn_data[[#This Row],[foc_order]]</f>
        <v>#REF!</v>
      </c>
    </row>
    <row r="54" spans="1:38">
      <c r="A54" s="155" t="s">
        <v>38</v>
      </c>
      <c r="B54" s="155" t="s">
        <v>221</v>
      </c>
      <c r="C54" s="155">
        <v>1</v>
      </c>
      <c r="D54" s="155" t="s">
        <v>330</v>
      </c>
      <c r="E54" s="157"/>
      <c r="F54" s="156" t="s">
        <v>336</v>
      </c>
      <c r="G54" s="155" t="s">
        <v>224</v>
      </c>
      <c r="H54" s="155" t="s">
        <v>328</v>
      </c>
      <c r="I54" s="155">
        <v>24</v>
      </c>
      <c r="J54" s="155">
        <v>48</v>
      </c>
      <c r="K54" s="155">
        <v>8</v>
      </c>
      <c r="L54" s="155">
        <v>6</v>
      </c>
      <c r="N54" s="155">
        <v>375</v>
      </c>
      <c r="O54" s="155">
        <v>275</v>
      </c>
      <c r="P54" s="155">
        <v>170</v>
      </c>
      <c r="Q54" s="155">
        <v>9.1199999999999992</v>
      </c>
      <c r="R54" s="155">
        <v>9.5</v>
      </c>
      <c r="S54" s="155">
        <v>100</v>
      </c>
      <c r="T54" s="155">
        <v>0</v>
      </c>
      <c r="U54" s="155">
        <v>0</v>
      </c>
      <c r="V54" s="155">
        <v>1</v>
      </c>
      <c r="W54" s="155">
        <v>0</v>
      </c>
      <c r="X54" s="155">
        <v>0</v>
      </c>
      <c r="Y54" s="155">
        <v>0</v>
      </c>
      <c r="Z54" s="156" t="s">
        <v>333</v>
      </c>
      <c r="AB54" s="167">
        <f>ROUNDUP(dgn_data[[#This Row],[order]]/bhpc_data[[#This Row],[units_per_carton]],0)</f>
        <v>0</v>
      </c>
      <c r="AC54" s="167" t="e">
        <f>dgn_data[[#This Row],[foc_order]]/bhpc_data[[#This Row],[units_per_carton]]</f>
        <v>#REF!</v>
      </c>
      <c r="AD54" s="165" t="e">
        <f>(bhpc_data[[#This Row],[net_weight]]/bhpc_data[[#This Row],[units_per_carton]])*dgn_data[[#This Row],[tot_order]]*bhpc_data[[#This Row],[product1_weight]]</f>
        <v>#REF!</v>
      </c>
      <c r="AE54" s="165" t="e">
        <f>(bhpc_data[[#This Row],[net_weight]]/bhpc_data[[#This Row],[units_per_carton]])*dgn_data[[#This Row],[tot_order]]*bhpc_data[[#This Row],[product2_weight]]</f>
        <v>#REF!</v>
      </c>
      <c r="AF54" s="165" t="e">
        <f>(bhpc_data[[#This Row],[gross_weight]]/bhpc_data[[#This Row],[units_per_carton]])*dgn_data[[#This Row],[tot_order]]*bhpc_data[[#This Row],[product1_weight]]</f>
        <v>#REF!</v>
      </c>
      <c r="AG54" s="165" t="e">
        <f>(bhpc_data[[#This Row],[gross_weight]]/bhpc_data[[#This Row],[units_per_carton]])*dgn_data[[#This Row],[tot_order]]*bhpc_data[[#This Row],[product2_weight]]</f>
        <v>#REF!</v>
      </c>
      <c r="AH5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4" s="158">
        <f>SUMIF('ORDER ENTRY FORM'!$C$4:$C$61,bhpc_data[[#This Row],[sku]],'ORDER ENTRY FORM'!$E$4:$E$61)</f>
        <v>0</v>
      </c>
      <c r="AK54" s="158" t="e">
        <f>SUMIF('ORDER ENTRY FORM'!$C$4:$C$61,bhpc_data[[#This Row],[sku]],'ORDER ENTRY FORM'!#REF!)</f>
        <v>#REF!</v>
      </c>
      <c r="AL54" s="158" t="e">
        <f>dgn_data[[#This Row],[order]]+dgn_data[[#This Row],[foc_order]]</f>
        <v>#REF!</v>
      </c>
    </row>
    <row r="55" spans="1:38">
      <c r="A55" s="155" t="s">
        <v>39</v>
      </c>
      <c r="B55" s="155" t="s">
        <v>221</v>
      </c>
      <c r="C55" s="155">
        <v>1</v>
      </c>
      <c r="D55" s="155" t="s">
        <v>330</v>
      </c>
      <c r="E55" s="157"/>
      <c r="F55" s="156" t="s">
        <v>336</v>
      </c>
      <c r="G55" s="155" t="s">
        <v>225</v>
      </c>
      <c r="H55" s="155" t="s">
        <v>328</v>
      </c>
      <c r="I55" s="155">
        <v>24</v>
      </c>
      <c r="J55" s="155">
        <v>48</v>
      </c>
      <c r="K55" s="155">
        <v>8</v>
      </c>
      <c r="L55" s="155">
        <v>6</v>
      </c>
      <c r="N55" s="155">
        <v>375</v>
      </c>
      <c r="O55" s="155">
        <v>275</v>
      </c>
      <c r="P55" s="155">
        <v>170</v>
      </c>
      <c r="Q55" s="155">
        <v>9.1199999999999992</v>
      </c>
      <c r="R55" s="155">
        <v>9.5</v>
      </c>
      <c r="S55" s="155">
        <v>100</v>
      </c>
      <c r="T55" s="155">
        <v>0</v>
      </c>
      <c r="U55" s="155">
        <v>0</v>
      </c>
      <c r="V55" s="155">
        <v>1</v>
      </c>
      <c r="W55" s="155">
        <v>0</v>
      </c>
      <c r="X55" s="155">
        <v>0</v>
      </c>
      <c r="Y55" s="155">
        <v>0</v>
      </c>
      <c r="Z55" s="156" t="s">
        <v>333</v>
      </c>
      <c r="AB55" s="167">
        <f>ROUNDUP(dgn_data[[#This Row],[order]]/bhpc_data[[#This Row],[units_per_carton]],0)</f>
        <v>0</v>
      </c>
      <c r="AC55" s="167" t="e">
        <f>dgn_data[[#This Row],[foc_order]]/bhpc_data[[#This Row],[units_per_carton]]</f>
        <v>#REF!</v>
      </c>
      <c r="AD55" s="165" t="e">
        <f>(bhpc_data[[#This Row],[net_weight]]/bhpc_data[[#This Row],[units_per_carton]])*dgn_data[[#This Row],[tot_order]]*bhpc_data[[#This Row],[product1_weight]]</f>
        <v>#REF!</v>
      </c>
      <c r="AE55" s="165" t="e">
        <f>(bhpc_data[[#This Row],[net_weight]]/bhpc_data[[#This Row],[units_per_carton]])*dgn_data[[#This Row],[tot_order]]*bhpc_data[[#This Row],[product2_weight]]</f>
        <v>#REF!</v>
      </c>
      <c r="AF55" s="165" t="e">
        <f>(bhpc_data[[#This Row],[gross_weight]]/bhpc_data[[#This Row],[units_per_carton]])*dgn_data[[#This Row],[tot_order]]*bhpc_data[[#This Row],[product1_weight]]</f>
        <v>#REF!</v>
      </c>
      <c r="AG55" s="165" t="e">
        <f>(bhpc_data[[#This Row],[gross_weight]]/bhpc_data[[#This Row],[units_per_carton]])*dgn_data[[#This Row],[tot_order]]*bhpc_data[[#This Row],[product2_weight]]</f>
        <v>#REF!</v>
      </c>
      <c r="AH5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5" s="158">
        <f>SUMIF('ORDER ENTRY FORM'!$C$4:$C$61,bhpc_data[[#This Row],[sku]],'ORDER ENTRY FORM'!$E$4:$E$61)</f>
        <v>0</v>
      </c>
      <c r="AK55" s="158" t="e">
        <f>SUMIF('ORDER ENTRY FORM'!$C$4:$C$61,bhpc_data[[#This Row],[sku]],'ORDER ENTRY FORM'!#REF!)</f>
        <v>#REF!</v>
      </c>
      <c r="AL55" s="158" t="e">
        <f>dgn_data[[#This Row],[order]]+dgn_data[[#This Row],[foc_order]]</f>
        <v>#REF!</v>
      </c>
    </row>
    <row r="56" spans="1:38">
      <c r="A56" s="155" t="s">
        <v>40</v>
      </c>
      <c r="B56" s="155" t="s">
        <v>221</v>
      </c>
      <c r="C56" s="155">
        <v>1</v>
      </c>
      <c r="D56" s="155" t="s">
        <v>326</v>
      </c>
      <c r="E56" s="157"/>
      <c r="F56" s="156" t="s">
        <v>336</v>
      </c>
      <c r="G56" s="155" t="s">
        <v>226</v>
      </c>
      <c r="H56" s="155" t="s">
        <v>328</v>
      </c>
      <c r="I56" s="155">
        <v>24</v>
      </c>
      <c r="J56" s="155">
        <v>48</v>
      </c>
      <c r="K56" s="155">
        <v>8</v>
      </c>
      <c r="L56" s="155">
        <v>6</v>
      </c>
      <c r="N56" s="155">
        <v>375</v>
      </c>
      <c r="O56" s="155">
        <v>275</v>
      </c>
      <c r="P56" s="155">
        <v>170</v>
      </c>
      <c r="Q56" s="155">
        <v>9.1199999999999992</v>
      </c>
      <c r="R56" s="155">
        <v>9.5</v>
      </c>
      <c r="S56" s="155">
        <v>100</v>
      </c>
      <c r="T56" s="155">
        <v>0</v>
      </c>
      <c r="U56" s="155">
        <v>0</v>
      </c>
      <c r="V56" s="155">
        <v>1</v>
      </c>
      <c r="W56" s="155">
        <v>0</v>
      </c>
      <c r="X56" s="155">
        <v>0</v>
      </c>
      <c r="Y56" s="155">
        <v>0</v>
      </c>
      <c r="Z56" s="156" t="s">
        <v>333</v>
      </c>
      <c r="AB56" s="167">
        <f>ROUNDUP(dgn_data[[#This Row],[order]]/bhpc_data[[#This Row],[units_per_carton]],0)</f>
        <v>0</v>
      </c>
      <c r="AC56" s="167" t="e">
        <f>dgn_data[[#This Row],[foc_order]]/bhpc_data[[#This Row],[units_per_carton]]</f>
        <v>#REF!</v>
      </c>
      <c r="AD56" s="165" t="e">
        <f>(bhpc_data[[#This Row],[net_weight]]/bhpc_data[[#This Row],[units_per_carton]])*dgn_data[[#This Row],[tot_order]]*bhpc_data[[#This Row],[product1_weight]]</f>
        <v>#REF!</v>
      </c>
      <c r="AE56" s="165" t="e">
        <f>(bhpc_data[[#This Row],[net_weight]]/bhpc_data[[#This Row],[units_per_carton]])*dgn_data[[#This Row],[tot_order]]*bhpc_data[[#This Row],[product2_weight]]</f>
        <v>#REF!</v>
      </c>
      <c r="AF56" s="165" t="e">
        <f>(bhpc_data[[#This Row],[gross_weight]]/bhpc_data[[#This Row],[units_per_carton]])*dgn_data[[#This Row],[tot_order]]*bhpc_data[[#This Row],[product1_weight]]</f>
        <v>#REF!</v>
      </c>
      <c r="AG56" s="165" t="e">
        <f>(bhpc_data[[#This Row],[gross_weight]]/bhpc_data[[#This Row],[units_per_carton]])*dgn_data[[#This Row],[tot_order]]*bhpc_data[[#This Row],[product2_weight]]</f>
        <v>#REF!</v>
      </c>
      <c r="AH5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6" s="158">
        <f>SUMIF('ORDER ENTRY FORM'!$C$4:$C$61,bhpc_data[[#This Row],[sku]],'ORDER ENTRY FORM'!$E$4:$E$61)</f>
        <v>0</v>
      </c>
      <c r="AK56" s="158" t="e">
        <f>SUMIF('ORDER ENTRY FORM'!$C$4:$C$61,bhpc_data[[#This Row],[sku]],'ORDER ENTRY FORM'!#REF!)</f>
        <v>#REF!</v>
      </c>
      <c r="AL56" s="158" t="e">
        <f>dgn_data[[#This Row],[order]]+dgn_data[[#This Row],[foc_order]]</f>
        <v>#REF!</v>
      </c>
    </row>
    <row r="57" spans="1:38">
      <c r="A57" s="155" t="s">
        <v>41</v>
      </c>
      <c r="B57" s="155" t="s">
        <v>221</v>
      </c>
      <c r="C57" s="155">
        <v>1</v>
      </c>
      <c r="D57" s="155" t="s">
        <v>326</v>
      </c>
      <c r="E57" s="157"/>
      <c r="F57" s="156" t="s">
        <v>336</v>
      </c>
      <c r="G57" s="155" t="s">
        <v>227</v>
      </c>
      <c r="H57" s="155" t="s">
        <v>328</v>
      </c>
      <c r="I57" s="155">
        <v>24</v>
      </c>
      <c r="J57" s="155">
        <v>48</v>
      </c>
      <c r="K57" s="155">
        <v>8</v>
      </c>
      <c r="L57" s="155">
        <v>6</v>
      </c>
      <c r="N57" s="155">
        <v>375</v>
      </c>
      <c r="O57" s="155">
        <v>275</v>
      </c>
      <c r="P57" s="155">
        <v>170</v>
      </c>
      <c r="Q57" s="155">
        <v>9.1199999999999992</v>
      </c>
      <c r="R57" s="155">
        <v>9.5</v>
      </c>
      <c r="S57" s="155">
        <v>100</v>
      </c>
      <c r="T57" s="155">
        <v>0</v>
      </c>
      <c r="U57" s="155">
        <v>0</v>
      </c>
      <c r="V57" s="155">
        <v>1</v>
      </c>
      <c r="W57" s="155">
        <v>0</v>
      </c>
      <c r="X57" s="155">
        <v>0</v>
      </c>
      <c r="Y57" s="155">
        <v>0</v>
      </c>
      <c r="Z57" s="156" t="s">
        <v>333</v>
      </c>
      <c r="AB57" s="167">
        <f>ROUNDUP(dgn_data[[#This Row],[order]]/bhpc_data[[#This Row],[units_per_carton]],0)</f>
        <v>0</v>
      </c>
      <c r="AC57" s="167" t="e">
        <f>dgn_data[[#This Row],[foc_order]]/bhpc_data[[#This Row],[units_per_carton]]</f>
        <v>#REF!</v>
      </c>
      <c r="AD57" s="165" t="e">
        <f>(bhpc_data[[#This Row],[net_weight]]/bhpc_data[[#This Row],[units_per_carton]])*dgn_data[[#This Row],[tot_order]]*bhpc_data[[#This Row],[product1_weight]]</f>
        <v>#REF!</v>
      </c>
      <c r="AE57" s="165" t="e">
        <f>(bhpc_data[[#This Row],[net_weight]]/bhpc_data[[#This Row],[units_per_carton]])*dgn_data[[#This Row],[tot_order]]*bhpc_data[[#This Row],[product2_weight]]</f>
        <v>#REF!</v>
      </c>
      <c r="AF57" s="165" t="e">
        <f>(bhpc_data[[#This Row],[gross_weight]]/bhpc_data[[#This Row],[units_per_carton]])*dgn_data[[#This Row],[tot_order]]*bhpc_data[[#This Row],[product1_weight]]</f>
        <v>#REF!</v>
      </c>
      <c r="AG57" s="165" t="e">
        <f>(bhpc_data[[#This Row],[gross_weight]]/bhpc_data[[#This Row],[units_per_carton]])*dgn_data[[#This Row],[tot_order]]*bhpc_data[[#This Row],[product2_weight]]</f>
        <v>#REF!</v>
      </c>
      <c r="AH5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7" s="158">
        <f>SUMIF('ORDER ENTRY FORM'!$C$4:$C$61,bhpc_data[[#This Row],[sku]],'ORDER ENTRY FORM'!$E$4:$E$61)</f>
        <v>0</v>
      </c>
      <c r="AK57" s="158" t="e">
        <f>SUMIF('ORDER ENTRY FORM'!$C$4:$C$61,bhpc_data[[#This Row],[sku]],'ORDER ENTRY FORM'!#REF!)</f>
        <v>#REF!</v>
      </c>
      <c r="AL57" s="158" t="e">
        <f>dgn_data[[#This Row],[order]]+dgn_data[[#This Row],[foc_order]]</f>
        <v>#REF!</v>
      </c>
    </row>
    <row r="58" spans="1:38">
      <c r="A58" s="155" t="s">
        <v>42</v>
      </c>
      <c r="B58" s="155" t="s">
        <v>221</v>
      </c>
      <c r="C58" s="155">
        <v>1</v>
      </c>
      <c r="D58" s="155" t="s">
        <v>326</v>
      </c>
      <c r="E58" s="157"/>
      <c r="F58" s="156" t="s">
        <v>336</v>
      </c>
      <c r="G58" s="155" t="s">
        <v>228</v>
      </c>
      <c r="H58" s="155" t="s">
        <v>328</v>
      </c>
      <c r="I58" s="155">
        <v>24</v>
      </c>
      <c r="J58" s="155">
        <v>48</v>
      </c>
      <c r="K58" s="155">
        <v>8</v>
      </c>
      <c r="L58" s="155">
        <v>6</v>
      </c>
      <c r="N58" s="155">
        <v>375</v>
      </c>
      <c r="O58" s="155">
        <v>275</v>
      </c>
      <c r="P58" s="155">
        <v>170</v>
      </c>
      <c r="Q58" s="155">
        <v>9.1199999999999992</v>
      </c>
      <c r="R58" s="155">
        <v>9.5</v>
      </c>
      <c r="S58" s="155">
        <v>100</v>
      </c>
      <c r="T58" s="155">
        <v>0</v>
      </c>
      <c r="U58" s="155">
        <v>0</v>
      </c>
      <c r="V58" s="155">
        <v>1</v>
      </c>
      <c r="W58" s="155">
        <v>0</v>
      </c>
      <c r="X58" s="155">
        <v>0</v>
      </c>
      <c r="Y58" s="155">
        <v>0</v>
      </c>
      <c r="Z58" s="156" t="s">
        <v>333</v>
      </c>
      <c r="AB58" s="167">
        <f>ROUNDUP(dgn_data[[#This Row],[order]]/bhpc_data[[#This Row],[units_per_carton]],0)</f>
        <v>0</v>
      </c>
      <c r="AC58" s="167" t="e">
        <f>dgn_data[[#This Row],[foc_order]]/bhpc_data[[#This Row],[units_per_carton]]</f>
        <v>#REF!</v>
      </c>
      <c r="AD58" s="165" t="e">
        <f>(bhpc_data[[#This Row],[net_weight]]/bhpc_data[[#This Row],[units_per_carton]])*dgn_data[[#This Row],[tot_order]]*bhpc_data[[#This Row],[product1_weight]]</f>
        <v>#REF!</v>
      </c>
      <c r="AE58" s="165" t="e">
        <f>(bhpc_data[[#This Row],[net_weight]]/bhpc_data[[#This Row],[units_per_carton]])*dgn_data[[#This Row],[tot_order]]*bhpc_data[[#This Row],[product2_weight]]</f>
        <v>#REF!</v>
      </c>
      <c r="AF58" s="165" t="e">
        <f>(bhpc_data[[#This Row],[gross_weight]]/bhpc_data[[#This Row],[units_per_carton]])*dgn_data[[#This Row],[tot_order]]*bhpc_data[[#This Row],[product1_weight]]</f>
        <v>#REF!</v>
      </c>
      <c r="AG58" s="165" t="e">
        <f>(bhpc_data[[#This Row],[gross_weight]]/bhpc_data[[#This Row],[units_per_carton]])*dgn_data[[#This Row],[tot_order]]*bhpc_data[[#This Row],[product2_weight]]</f>
        <v>#REF!</v>
      </c>
      <c r="AH5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8" s="158">
        <f>SUMIF('ORDER ENTRY FORM'!$C$4:$C$61,bhpc_data[[#This Row],[sku]],'ORDER ENTRY FORM'!$E$4:$E$61)</f>
        <v>0</v>
      </c>
      <c r="AK58" s="158" t="e">
        <f>SUMIF('ORDER ENTRY FORM'!$C$4:$C$61,bhpc_data[[#This Row],[sku]],'ORDER ENTRY FORM'!#REF!)</f>
        <v>#REF!</v>
      </c>
      <c r="AL58" s="158" t="e">
        <f>dgn_data[[#This Row],[order]]+dgn_data[[#This Row],[foc_order]]</f>
        <v>#REF!</v>
      </c>
    </row>
    <row r="59" spans="1:38">
      <c r="A59" s="155" t="s">
        <v>43</v>
      </c>
      <c r="B59" s="155" t="s">
        <v>221</v>
      </c>
      <c r="C59" s="155">
        <v>1</v>
      </c>
      <c r="D59" s="155" t="s">
        <v>326</v>
      </c>
      <c r="E59" s="157"/>
      <c r="F59" s="156" t="s">
        <v>336</v>
      </c>
      <c r="G59" s="155" t="s">
        <v>229</v>
      </c>
      <c r="H59" s="155" t="s">
        <v>328</v>
      </c>
      <c r="I59" s="155">
        <v>24</v>
      </c>
      <c r="J59" s="155">
        <v>48</v>
      </c>
      <c r="K59" s="155">
        <v>8</v>
      </c>
      <c r="L59" s="155">
        <v>6</v>
      </c>
      <c r="N59" s="155">
        <v>375</v>
      </c>
      <c r="O59" s="155">
        <v>275</v>
      </c>
      <c r="P59" s="155">
        <v>170</v>
      </c>
      <c r="Q59" s="155">
        <v>9.1199999999999992</v>
      </c>
      <c r="R59" s="155">
        <v>9.5</v>
      </c>
      <c r="S59" s="155">
        <v>100</v>
      </c>
      <c r="T59" s="155">
        <v>0</v>
      </c>
      <c r="U59" s="155">
        <v>0</v>
      </c>
      <c r="V59" s="155">
        <v>1</v>
      </c>
      <c r="W59" s="155">
        <v>0</v>
      </c>
      <c r="X59" s="155">
        <v>0</v>
      </c>
      <c r="Y59" s="155">
        <v>0</v>
      </c>
      <c r="Z59" s="156" t="s">
        <v>333</v>
      </c>
      <c r="AB59" s="167">
        <f>ROUNDUP(dgn_data[[#This Row],[order]]/bhpc_data[[#This Row],[units_per_carton]],0)</f>
        <v>0</v>
      </c>
      <c r="AC59" s="167" t="e">
        <f>dgn_data[[#This Row],[foc_order]]/bhpc_data[[#This Row],[units_per_carton]]</f>
        <v>#REF!</v>
      </c>
      <c r="AD59" s="165" t="e">
        <f>(bhpc_data[[#This Row],[net_weight]]/bhpc_data[[#This Row],[units_per_carton]])*dgn_data[[#This Row],[tot_order]]*bhpc_data[[#This Row],[product1_weight]]</f>
        <v>#REF!</v>
      </c>
      <c r="AE59" s="165" t="e">
        <f>(bhpc_data[[#This Row],[net_weight]]/bhpc_data[[#This Row],[units_per_carton]])*dgn_data[[#This Row],[tot_order]]*bhpc_data[[#This Row],[product2_weight]]</f>
        <v>#REF!</v>
      </c>
      <c r="AF59" s="165" t="e">
        <f>(bhpc_data[[#This Row],[gross_weight]]/bhpc_data[[#This Row],[units_per_carton]])*dgn_data[[#This Row],[tot_order]]*bhpc_data[[#This Row],[product1_weight]]</f>
        <v>#REF!</v>
      </c>
      <c r="AG59" s="165" t="e">
        <f>(bhpc_data[[#This Row],[gross_weight]]/bhpc_data[[#This Row],[units_per_carton]])*dgn_data[[#This Row],[tot_order]]*bhpc_data[[#This Row],[product2_weight]]</f>
        <v>#REF!</v>
      </c>
      <c r="AH5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9" s="158">
        <f>SUMIF('ORDER ENTRY FORM'!$C$4:$C$61,bhpc_data[[#This Row],[sku]],'ORDER ENTRY FORM'!$E$4:$E$61)</f>
        <v>0</v>
      </c>
      <c r="AK59" s="158" t="e">
        <f>SUMIF('ORDER ENTRY FORM'!$C$4:$C$61,bhpc_data[[#This Row],[sku]],'ORDER ENTRY FORM'!#REF!)</f>
        <v>#REF!</v>
      </c>
      <c r="AL59" s="158" t="e">
        <f>dgn_data[[#This Row],[order]]+dgn_data[[#This Row],[foc_order]]</f>
        <v>#REF!</v>
      </c>
    </row>
    <row r="60" spans="1:38">
      <c r="A60" s="155" t="s">
        <v>142</v>
      </c>
      <c r="B60" s="155" t="s">
        <v>134</v>
      </c>
      <c r="C60" s="155">
        <v>1</v>
      </c>
      <c r="D60" s="155" t="s">
        <v>330</v>
      </c>
      <c r="E60" s="157">
        <v>6291107168852</v>
      </c>
      <c r="F60" s="156" t="s">
        <v>336</v>
      </c>
      <c r="G60" s="155" t="s">
        <v>144</v>
      </c>
      <c r="H60" s="155" t="s">
        <v>328</v>
      </c>
      <c r="I60" s="155">
        <v>24</v>
      </c>
      <c r="J60" s="155">
        <v>10</v>
      </c>
      <c r="K60" s="155">
        <v>10</v>
      </c>
      <c r="L60" s="155">
        <v>6</v>
      </c>
      <c r="N60" s="155">
        <v>370</v>
      </c>
      <c r="O60" s="155">
        <v>275</v>
      </c>
      <c r="P60" s="155">
        <v>170</v>
      </c>
      <c r="Q60" s="155">
        <v>9.48</v>
      </c>
      <c r="R60" s="155">
        <v>9.9</v>
      </c>
      <c r="S60" s="155">
        <v>100</v>
      </c>
      <c r="T60" s="155">
        <v>0</v>
      </c>
      <c r="U60" s="155">
        <v>0</v>
      </c>
      <c r="V60" s="155">
        <v>1</v>
      </c>
      <c r="W60" s="155">
        <v>0</v>
      </c>
      <c r="X60" s="155">
        <v>0</v>
      </c>
      <c r="Y60" s="155">
        <v>0</v>
      </c>
      <c r="Z60" s="156" t="s">
        <v>333</v>
      </c>
      <c r="AB60" s="167">
        <f>ROUNDUP(dgn_data[[#This Row],[order]]/bhpc_data[[#This Row],[units_per_carton]],0)</f>
        <v>0</v>
      </c>
      <c r="AC60" s="167" t="e">
        <f>dgn_data[[#This Row],[foc_order]]/bhpc_data[[#This Row],[units_per_carton]]</f>
        <v>#REF!</v>
      </c>
      <c r="AD60" s="165" t="e">
        <f>(bhpc_data[[#This Row],[net_weight]]/bhpc_data[[#This Row],[units_per_carton]])*dgn_data[[#This Row],[tot_order]]*bhpc_data[[#This Row],[product1_weight]]</f>
        <v>#REF!</v>
      </c>
      <c r="AE60" s="165" t="e">
        <f>(bhpc_data[[#This Row],[net_weight]]/bhpc_data[[#This Row],[units_per_carton]])*dgn_data[[#This Row],[tot_order]]*bhpc_data[[#This Row],[product2_weight]]</f>
        <v>#REF!</v>
      </c>
      <c r="AF60" s="165" t="e">
        <f>(bhpc_data[[#This Row],[gross_weight]]/bhpc_data[[#This Row],[units_per_carton]])*dgn_data[[#This Row],[tot_order]]*bhpc_data[[#This Row],[product1_weight]]</f>
        <v>#REF!</v>
      </c>
      <c r="AG60" s="165" t="e">
        <f>(bhpc_data[[#This Row],[gross_weight]]/bhpc_data[[#This Row],[units_per_carton]])*dgn_data[[#This Row],[tot_order]]*bhpc_data[[#This Row],[product2_weight]]</f>
        <v>#REF!</v>
      </c>
      <c r="AH6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0" s="158">
        <f>SUMIF('ORDER ENTRY FORM'!$C$4:$C$61,bhpc_data[[#This Row],[sku]],'ORDER ENTRY FORM'!$E$4:$E$61)</f>
        <v>0</v>
      </c>
      <c r="AK60" s="158" t="e">
        <f>SUMIF('ORDER ENTRY FORM'!$C$4:$C$61,bhpc_data[[#This Row],[sku]],'ORDER ENTRY FORM'!#REF!)</f>
        <v>#REF!</v>
      </c>
      <c r="AL60" s="158" t="e">
        <f>dgn_data[[#This Row],[order]]+dgn_data[[#This Row],[foc_order]]</f>
        <v>#REF!</v>
      </c>
    </row>
    <row r="61" spans="1:38">
      <c r="A61" s="155" t="s">
        <v>143</v>
      </c>
      <c r="B61" s="155" t="s">
        <v>134</v>
      </c>
      <c r="C61" s="155">
        <v>1</v>
      </c>
      <c r="D61" s="155" t="s">
        <v>326</v>
      </c>
      <c r="E61" s="157">
        <v>6291107168869</v>
      </c>
      <c r="F61" s="156" t="s">
        <v>336</v>
      </c>
      <c r="G61" s="155" t="s">
        <v>145</v>
      </c>
      <c r="H61" s="155" t="s">
        <v>328</v>
      </c>
      <c r="I61" s="155">
        <v>24</v>
      </c>
      <c r="J61" s="155">
        <v>10</v>
      </c>
      <c r="K61" s="155">
        <v>10</v>
      </c>
      <c r="L61" s="155">
        <v>6</v>
      </c>
      <c r="N61" s="155">
        <v>370</v>
      </c>
      <c r="O61" s="155">
        <v>275</v>
      </c>
      <c r="P61" s="155">
        <v>170</v>
      </c>
      <c r="Q61" s="155">
        <v>9.48</v>
      </c>
      <c r="R61" s="155">
        <v>9.9</v>
      </c>
      <c r="S61" s="155">
        <v>100</v>
      </c>
      <c r="T61" s="155">
        <v>0</v>
      </c>
      <c r="U61" s="155">
        <v>0</v>
      </c>
      <c r="V61" s="155">
        <v>1</v>
      </c>
      <c r="W61" s="155">
        <v>0</v>
      </c>
      <c r="X61" s="155">
        <v>0</v>
      </c>
      <c r="Y61" s="155">
        <v>0</v>
      </c>
      <c r="Z61" s="156" t="s">
        <v>333</v>
      </c>
      <c r="AB61" s="167">
        <f>ROUNDUP(dgn_data[[#This Row],[order]]/bhpc_data[[#This Row],[units_per_carton]],0)</f>
        <v>0</v>
      </c>
      <c r="AC61" s="167" t="e">
        <f>dgn_data[[#This Row],[foc_order]]/bhpc_data[[#This Row],[units_per_carton]]</f>
        <v>#REF!</v>
      </c>
      <c r="AD61" s="165" t="e">
        <f>(bhpc_data[[#This Row],[net_weight]]/bhpc_data[[#This Row],[units_per_carton]])*dgn_data[[#This Row],[tot_order]]*bhpc_data[[#This Row],[product1_weight]]</f>
        <v>#REF!</v>
      </c>
      <c r="AE61" s="165" t="e">
        <f>(bhpc_data[[#This Row],[net_weight]]/bhpc_data[[#This Row],[units_per_carton]])*dgn_data[[#This Row],[tot_order]]*bhpc_data[[#This Row],[product2_weight]]</f>
        <v>#REF!</v>
      </c>
      <c r="AF61" s="165" t="e">
        <f>(bhpc_data[[#This Row],[gross_weight]]/bhpc_data[[#This Row],[units_per_carton]])*dgn_data[[#This Row],[tot_order]]*bhpc_data[[#This Row],[product1_weight]]</f>
        <v>#REF!</v>
      </c>
      <c r="AG61" s="165" t="e">
        <f>(bhpc_data[[#This Row],[gross_weight]]/bhpc_data[[#This Row],[units_per_carton]])*dgn_data[[#This Row],[tot_order]]*bhpc_data[[#This Row],[product2_weight]]</f>
        <v>#REF!</v>
      </c>
      <c r="AH6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1" s="158">
        <f>SUMIF('ORDER ENTRY FORM'!$C$4:$C$61,bhpc_data[[#This Row],[sku]],'ORDER ENTRY FORM'!$E$4:$E$61)</f>
        <v>0</v>
      </c>
      <c r="AK61" s="158" t="e">
        <f>SUMIF('ORDER ENTRY FORM'!$C$4:$C$61,bhpc_data[[#This Row],[sku]],'ORDER ENTRY FORM'!#REF!)</f>
        <v>#REF!</v>
      </c>
      <c r="AL61" s="158" t="e">
        <f>dgn_data[[#This Row],[order]]+dgn_data[[#This Row],[foc_order]]</f>
        <v>#REF!</v>
      </c>
    </row>
    <row r="62" spans="1:38">
      <c r="A62" s="155" t="s">
        <v>230</v>
      </c>
      <c r="B62" s="155" t="s">
        <v>221</v>
      </c>
      <c r="C62" s="155">
        <v>1</v>
      </c>
      <c r="D62" s="155" t="s">
        <v>330</v>
      </c>
      <c r="E62" s="158">
        <v>6291107168838</v>
      </c>
      <c r="F62" s="156" t="s">
        <v>336</v>
      </c>
      <c r="G62" s="155" t="s">
        <v>231</v>
      </c>
      <c r="H62" s="155" t="s">
        <v>328</v>
      </c>
      <c r="I62" s="155">
        <v>24</v>
      </c>
      <c r="J62" s="155">
        <v>10</v>
      </c>
      <c r="K62" s="155">
        <v>10</v>
      </c>
      <c r="L62" s="155">
        <v>6</v>
      </c>
      <c r="N62" s="155">
        <v>370</v>
      </c>
      <c r="O62" s="155">
        <v>275</v>
      </c>
      <c r="P62" s="155">
        <v>170</v>
      </c>
      <c r="Q62" s="155">
        <v>9.48</v>
      </c>
      <c r="R62" s="155">
        <v>9.9</v>
      </c>
      <c r="S62" s="155">
        <v>100</v>
      </c>
      <c r="T62" s="155">
        <v>0</v>
      </c>
      <c r="U62" s="155">
        <v>0</v>
      </c>
      <c r="V62" s="155">
        <v>1</v>
      </c>
      <c r="W62" s="155">
        <v>0</v>
      </c>
      <c r="X62" s="155">
        <v>0</v>
      </c>
      <c r="Y62" s="155">
        <v>0</v>
      </c>
      <c r="Z62" s="156" t="s">
        <v>333</v>
      </c>
      <c r="AB62" s="167">
        <f>ROUNDUP(dgn_data[[#This Row],[order]]/bhpc_data[[#This Row],[units_per_carton]],0)</f>
        <v>0</v>
      </c>
      <c r="AC62" s="167" t="e">
        <f>dgn_data[[#This Row],[foc_order]]/bhpc_data[[#This Row],[units_per_carton]]</f>
        <v>#REF!</v>
      </c>
      <c r="AD62" s="165" t="e">
        <f>(bhpc_data[[#This Row],[net_weight]]/bhpc_data[[#This Row],[units_per_carton]])*dgn_data[[#This Row],[tot_order]]*bhpc_data[[#This Row],[product1_weight]]</f>
        <v>#REF!</v>
      </c>
      <c r="AE62" s="165" t="e">
        <f>(bhpc_data[[#This Row],[net_weight]]/bhpc_data[[#This Row],[units_per_carton]])*dgn_data[[#This Row],[tot_order]]*bhpc_data[[#This Row],[product2_weight]]</f>
        <v>#REF!</v>
      </c>
      <c r="AF62" s="165" t="e">
        <f>(bhpc_data[[#This Row],[gross_weight]]/bhpc_data[[#This Row],[units_per_carton]])*dgn_data[[#This Row],[tot_order]]*bhpc_data[[#This Row],[product1_weight]]</f>
        <v>#REF!</v>
      </c>
      <c r="AG62" s="165" t="e">
        <f>(bhpc_data[[#This Row],[gross_weight]]/bhpc_data[[#This Row],[units_per_carton]])*dgn_data[[#This Row],[tot_order]]*bhpc_data[[#This Row],[product2_weight]]</f>
        <v>#REF!</v>
      </c>
      <c r="AH6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2" s="158">
        <f>SUMIF('ORDER ENTRY FORM'!$C$4:$C$61,bhpc_data[[#This Row],[sku]],'ORDER ENTRY FORM'!$E$4:$E$61)</f>
        <v>0</v>
      </c>
      <c r="AK62" s="158" t="e">
        <f>SUMIF('ORDER ENTRY FORM'!$C$4:$C$61,bhpc_data[[#This Row],[sku]],'ORDER ENTRY FORM'!#REF!)</f>
        <v>#REF!</v>
      </c>
      <c r="AL62" s="158" t="e">
        <f>dgn_data[[#This Row],[order]]+dgn_data[[#This Row],[foc_order]]</f>
        <v>#REF!</v>
      </c>
    </row>
    <row r="63" spans="1:38">
      <c r="A63" s="155" t="s">
        <v>232</v>
      </c>
      <c r="B63" s="155" t="s">
        <v>221</v>
      </c>
      <c r="C63" s="155">
        <v>1</v>
      </c>
      <c r="D63" s="155" t="s">
        <v>326</v>
      </c>
      <c r="E63" s="158">
        <v>6291107168845</v>
      </c>
      <c r="F63" s="156" t="s">
        <v>336</v>
      </c>
      <c r="G63" s="155" t="s">
        <v>233</v>
      </c>
      <c r="H63" s="155" t="s">
        <v>328</v>
      </c>
      <c r="I63" s="155">
        <v>24</v>
      </c>
      <c r="J63" s="155">
        <v>10</v>
      </c>
      <c r="K63" s="155">
        <v>10</v>
      </c>
      <c r="L63" s="155">
        <v>6</v>
      </c>
      <c r="N63" s="155">
        <v>370</v>
      </c>
      <c r="O63" s="155">
        <v>275</v>
      </c>
      <c r="P63" s="155">
        <v>170</v>
      </c>
      <c r="Q63" s="155">
        <v>9.48</v>
      </c>
      <c r="R63" s="155">
        <v>9.9</v>
      </c>
      <c r="S63" s="155">
        <v>100</v>
      </c>
      <c r="T63" s="155">
        <v>0</v>
      </c>
      <c r="U63" s="155">
        <v>0</v>
      </c>
      <c r="V63" s="155">
        <v>1</v>
      </c>
      <c r="W63" s="155">
        <v>0</v>
      </c>
      <c r="X63" s="155">
        <v>0</v>
      </c>
      <c r="Y63" s="155">
        <v>0</v>
      </c>
      <c r="Z63" s="156" t="s">
        <v>333</v>
      </c>
      <c r="AB63" s="167">
        <f>ROUNDUP(dgn_data[[#This Row],[order]]/bhpc_data[[#This Row],[units_per_carton]],0)</f>
        <v>0</v>
      </c>
      <c r="AC63" s="167" t="e">
        <f>dgn_data[[#This Row],[foc_order]]/bhpc_data[[#This Row],[units_per_carton]]</f>
        <v>#REF!</v>
      </c>
      <c r="AD63" s="165" t="e">
        <f>(bhpc_data[[#This Row],[net_weight]]/bhpc_data[[#This Row],[units_per_carton]])*dgn_data[[#This Row],[tot_order]]*bhpc_data[[#This Row],[product1_weight]]</f>
        <v>#REF!</v>
      </c>
      <c r="AE63" s="165" t="e">
        <f>(bhpc_data[[#This Row],[net_weight]]/bhpc_data[[#This Row],[units_per_carton]])*dgn_data[[#This Row],[tot_order]]*bhpc_data[[#This Row],[product2_weight]]</f>
        <v>#REF!</v>
      </c>
      <c r="AF63" s="165" t="e">
        <f>(bhpc_data[[#This Row],[gross_weight]]/bhpc_data[[#This Row],[units_per_carton]])*dgn_data[[#This Row],[tot_order]]*bhpc_data[[#This Row],[product1_weight]]</f>
        <v>#REF!</v>
      </c>
      <c r="AG63" s="165" t="e">
        <f>(bhpc_data[[#This Row],[gross_weight]]/bhpc_data[[#This Row],[units_per_carton]])*dgn_data[[#This Row],[tot_order]]*bhpc_data[[#This Row],[product2_weight]]</f>
        <v>#REF!</v>
      </c>
      <c r="AH6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3" s="158">
        <f>SUMIF('ORDER ENTRY FORM'!$C$4:$C$61,bhpc_data[[#This Row],[sku]],'ORDER ENTRY FORM'!$E$4:$E$61)</f>
        <v>0</v>
      </c>
      <c r="AK63" s="158" t="e">
        <f>SUMIF('ORDER ENTRY FORM'!$C$4:$C$61,bhpc_data[[#This Row],[sku]],'ORDER ENTRY FORM'!#REF!)</f>
        <v>#REF!</v>
      </c>
      <c r="AL63" s="158" t="e">
        <f>dgn_data[[#This Row],[order]]+dgn_data[[#This Row],[foc_order]]</f>
        <v>#REF!</v>
      </c>
    </row>
    <row r="64" spans="1:38">
      <c r="A64" s="155" t="s">
        <v>16</v>
      </c>
      <c r="B64" s="155" t="s">
        <v>133</v>
      </c>
      <c r="C64" s="155">
        <v>1</v>
      </c>
      <c r="D64" s="155" t="s">
        <v>326</v>
      </c>
      <c r="E64" s="157">
        <v>8718719850244</v>
      </c>
      <c r="F64" s="156" t="s">
        <v>331</v>
      </c>
      <c r="G64" s="155" t="s">
        <v>172</v>
      </c>
      <c r="H64" s="155" t="s">
        <v>332</v>
      </c>
      <c r="I64" s="155">
        <v>48</v>
      </c>
      <c r="J64" s="155">
        <v>48</v>
      </c>
      <c r="K64" s="155">
        <v>6</v>
      </c>
      <c r="L64" s="155">
        <v>8</v>
      </c>
      <c r="N64" s="155">
        <v>400</v>
      </c>
      <c r="O64" s="155">
        <v>320</v>
      </c>
      <c r="P64" s="155">
        <v>205</v>
      </c>
      <c r="Q64" s="155">
        <v>6.2880000000000003</v>
      </c>
      <c r="R64" s="155">
        <v>7.0359999999999996</v>
      </c>
      <c r="S64" s="155">
        <v>150</v>
      </c>
      <c r="T64" s="155">
        <v>0</v>
      </c>
      <c r="U64" s="155">
        <v>0</v>
      </c>
      <c r="V64" s="155">
        <v>1</v>
      </c>
      <c r="W64" s="155">
        <v>0</v>
      </c>
      <c r="X64" s="155">
        <v>0</v>
      </c>
      <c r="Y64" s="155">
        <v>0</v>
      </c>
      <c r="Z64" s="156" t="s">
        <v>333</v>
      </c>
      <c r="AB64" s="167">
        <f>ROUNDUP(dgn_data[[#This Row],[order]]/bhpc_data[[#This Row],[units_per_carton]],0)</f>
        <v>0</v>
      </c>
      <c r="AC64" s="167" t="e">
        <f>dgn_data[[#This Row],[foc_order]]/bhpc_data[[#This Row],[units_per_carton]]</f>
        <v>#REF!</v>
      </c>
      <c r="AD64" s="165" t="e">
        <f>(bhpc_data[[#This Row],[net_weight]]/bhpc_data[[#This Row],[units_per_carton]])*dgn_data[[#This Row],[tot_order]]*bhpc_data[[#This Row],[product1_weight]]</f>
        <v>#REF!</v>
      </c>
      <c r="AE64" s="165" t="e">
        <f>(bhpc_data[[#This Row],[net_weight]]/bhpc_data[[#This Row],[units_per_carton]])*dgn_data[[#This Row],[tot_order]]*bhpc_data[[#This Row],[product2_weight]]</f>
        <v>#REF!</v>
      </c>
      <c r="AF64" s="165" t="e">
        <f>(bhpc_data[[#This Row],[gross_weight]]/bhpc_data[[#This Row],[units_per_carton]])*dgn_data[[#This Row],[tot_order]]*bhpc_data[[#This Row],[product1_weight]]</f>
        <v>#REF!</v>
      </c>
      <c r="AG64" s="165" t="e">
        <f>(bhpc_data[[#This Row],[gross_weight]]/bhpc_data[[#This Row],[units_per_carton]])*dgn_data[[#This Row],[tot_order]]*bhpc_data[[#This Row],[product2_weight]]</f>
        <v>#REF!</v>
      </c>
      <c r="AH6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4" s="158">
        <f>SUMIF('ORDER ENTRY FORM'!$C$4:$C$61,bhpc_data[[#This Row],[sku]],'ORDER ENTRY FORM'!$E$4:$E$61)</f>
        <v>0</v>
      </c>
      <c r="AK64" s="158" t="e">
        <f>SUMIF('ORDER ENTRY FORM'!$C$4:$C$61,bhpc_data[[#This Row],[sku]],'ORDER ENTRY FORM'!#REF!)</f>
        <v>#REF!</v>
      </c>
      <c r="AL64" s="158" t="e">
        <f>dgn_data[[#This Row],[order]]+dgn_data[[#This Row],[foc_order]]</f>
        <v>#REF!</v>
      </c>
    </row>
    <row r="65" spans="1:38">
      <c r="A65" s="155" t="s">
        <v>17</v>
      </c>
      <c r="B65" s="155" t="s">
        <v>133</v>
      </c>
      <c r="C65" s="155">
        <v>1</v>
      </c>
      <c r="D65" s="155" t="s">
        <v>326</v>
      </c>
      <c r="E65" s="157">
        <v>8718719850251</v>
      </c>
      <c r="F65" s="156" t="s">
        <v>331</v>
      </c>
      <c r="G65" s="155" t="s">
        <v>173</v>
      </c>
      <c r="H65" s="155" t="s">
        <v>332</v>
      </c>
      <c r="I65" s="155">
        <v>48</v>
      </c>
      <c r="J65" s="155">
        <v>48</v>
      </c>
      <c r="K65" s="155">
        <v>6</v>
      </c>
      <c r="L65" s="155">
        <v>8</v>
      </c>
      <c r="N65" s="155">
        <v>400</v>
      </c>
      <c r="O65" s="155">
        <v>320</v>
      </c>
      <c r="P65" s="155">
        <v>205</v>
      </c>
      <c r="Q65" s="155">
        <v>6.2880000000000003</v>
      </c>
      <c r="R65" s="155">
        <v>7.0359999999999996</v>
      </c>
      <c r="S65" s="155">
        <v>150</v>
      </c>
      <c r="T65" s="155">
        <v>0</v>
      </c>
      <c r="U65" s="155">
        <v>0</v>
      </c>
      <c r="V65" s="155">
        <v>1</v>
      </c>
      <c r="W65" s="155">
        <v>0</v>
      </c>
      <c r="X65" s="155">
        <v>0</v>
      </c>
      <c r="Y65" s="155">
        <v>0</v>
      </c>
      <c r="Z65" s="156" t="s">
        <v>333</v>
      </c>
      <c r="AB65" s="167">
        <f>ROUNDUP(dgn_data[[#This Row],[order]]/bhpc_data[[#This Row],[units_per_carton]],0)</f>
        <v>0</v>
      </c>
      <c r="AC65" s="167" t="e">
        <f>dgn_data[[#This Row],[foc_order]]/bhpc_data[[#This Row],[units_per_carton]]</f>
        <v>#REF!</v>
      </c>
      <c r="AD65" s="165" t="e">
        <f>(bhpc_data[[#This Row],[net_weight]]/bhpc_data[[#This Row],[units_per_carton]])*dgn_data[[#This Row],[tot_order]]*bhpc_data[[#This Row],[product1_weight]]</f>
        <v>#REF!</v>
      </c>
      <c r="AE65" s="165" t="e">
        <f>(bhpc_data[[#This Row],[net_weight]]/bhpc_data[[#This Row],[units_per_carton]])*dgn_data[[#This Row],[tot_order]]*bhpc_data[[#This Row],[product2_weight]]</f>
        <v>#REF!</v>
      </c>
      <c r="AF65" s="165" t="e">
        <f>(bhpc_data[[#This Row],[gross_weight]]/bhpc_data[[#This Row],[units_per_carton]])*dgn_data[[#This Row],[tot_order]]*bhpc_data[[#This Row],[product1_weight]]</f>
        <v>#REF!</v>
      </c>
      <c r="AG65" s="165" t="e">
        <f>(bhpc_data[[#This Row],[gross_weight]]/bhpc_data[[#This Row],[units_per_carton]])*dgn_data[[#This Row],[tot_order]]*bhpc_data[[#This Row],[product2_weight]]</f>
        <v>#REF!</v>
      </c>
      <c r="AH6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5" s="158">
        <f>SUMIF('ORDER ENTRY FORM'!$C$4:$C$61,bhpc_data[[#This Row],[sku]],'ORDER ENTRY FORM'!$E$4:$E$61)</f>
        <v>0</v>
      </c>
      <c r="AK65" s="158" t="e">
        <f>SUMIF('ORDER ENTRY FORM'!$C$4:$C$61,bhpc_data[[#This Row],[sku]],'ORDER ENTRY FORM'!#REF!)</f>
        <v>#REF!</v>
      </c>
      <c r="AL65" s="158" t="e">
        <f>dgn_data[[#This Row],[order]]+dgn_data[[#This Row],[foc_order]]</f>
        <v>#REF!</v>
      </c>
    </row>
    <row r="66" spans="1:38">
      <c r="A66" s="155" t="s">
        <v>18</v>
      </c>
      <c r="B66" s="155" t="s">
        <v>133</v>
      </c>
      <c r="C66" s="155">
        <v>1</v>
      </c>
      <c r="D66" s="155" t="s">
        <v>326</v>
      </c>
      <c r="E66" s="157">
        <v>8718719850268</v>
      </c>
      <c r="F66" s="156" t="s">
        <v>331</v>
      </c>
      <c r="G66" s="155" t="s">
        <v>174</v>
      </c>
      <c r="H66" s="155" t="s">
        <v>332</v>
      </c>
      <c r="I66" s="155">
        <v>48</v>
      </c>
      <c r="J66" s="155">
        <v>48</v>
      </c>
      <c r="K66" s="155">
        <v>6</v>
      </c>
      <c r="L66" s="155">
        <v>8</v>
      </c>
      <c r="N66" s="155">
        <v>400</v>
      </c>
      <c r="O66" s="155">
        <v>320</v>
      </c>
      <c r="P66" s="155">
        <v>205</v>
      </c>
      <c r="Q66" s="155">
        <v>6.2880000000000003</v>
      </c>
      <c r="R66" s="155">
        <v>7.0359999999999996</v>
      </c>
      <c r="S66" s="155">
        <v>150</v>
      </c>
      <c r="T66" s="155">
        <v>0</v>
      </c>
      <c r="U66" s="155">
        <v>0</v>
      </c>
      <c r="V66" s="155">
        <v>1</v>
      </c>
      <c r="W66" s="155">
        <v>0</v>
      </c>
      <c r="X66" s="155">
        <v>0</v>
      </c>
      <c r="Y66" s="155">
        <v>0</v>
      </c>
      <c r="Z66" s="156" t="s">
        <v>333</v>
      </c>
      <c r="AB66" s="167">
        <f>ROUNDUP(dgn_data[[#This Row],[order]]/bhpc_data[[#This Row],[units_per_carton]],0)</f>
        <v>0</v>
      </c>
      <c r="AC66" s="167" t="e">
        <f>dgn_data[[#This Row],[foc_order]]/bhpc_data[[#This Row],[units_per_carton]]</f>
        <v>#REF!</v>
      </c>
      <c r="AD66" s="165" t="e">
        <f>(bhpc_data[[#This Row],[net_weight]]/bhpc_data[[#This Row],[units_per_carton]])*dgn_data[[#This Row],[tot_order]]*bhpc_data[[#This Row],[product1_weight]]</f>
        <v>#REF!</v>
      </c>
      <c r="AE66" s="165" t="e">
        <f>(bhpc_data[[#This Row],[net_weight]]/bhpc_data[[#This Row],[units_per_carton]])*dgn_data[[#This Row],[tot_order]]*bhpc_data[[#This Row],[product2_weight]]</f>
        <v>#REF!</v>
      </c>
      <c r="AF66" s="165" t="e">
        <f>(bhpc_data[[#This Row],[gross_weight]]/bhpc_data[[#This Row],[units_per_carton]])*dgn_data[[#This Row],[tot_order]]*bhpc_data[[#This Row],[product1_weight]]</f>
        <v>#REF!</v>
      </c>
      <c r="AG66" s="165" t="e">
        <f>(bhpc_data[[#This Row],[gross_weight]]/bhpc_data[[#This Row],[units_per_carton]])*dgn_data[[#This Row],[tot_order]]*bhpc_data[[#This Row],[product2_weight]]</f>
        <v>#REF!</v>
      </c>
      <c r="AH6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6" s="158">
        <f>SUMIF('ORDER ENTRY FORM'!$C$4:$C$61,bhpc_data[[#This Row],[sku]],'ORDER ENTRY FORM'!$E$4:$E$61)</f>
        <v>0</v>
      </c>
      <c r="AK66" s="158" t="e">
        <f>SUMIF('ORDER ENTRY FORM'!$C$4:$C$61,bhpc_data[[#This Row],[sku]],'ORDER ENTRY FORM'!#REF!)</f>
        <v>#REF!</v>
      </c>
      <c r="AL66" s="158" t="e">
        <f>dgn_data[[#This Row],[order]]+dgn_data[[#This Row],[foc_order]]</f>
        <v>#REF!</v>
      </c>
    </row>
    <row r="67" spans="1:38">
      <c r="A67" s="155" t="s">
        <v>19</v>
      </c>
      <c r="B67" s="155" t="s">
        <v>133</v>
      </c>
      <c r="C67" s="155">
        <v>1</v>
      </c>
      <c r="D67" s="155" t="s">
        <v>326</v>
      </c>
      <c r="E67" s="157">
        <v>8718719850275</v>
      </c>
      <c r="F67" s="156" t="s">
        <v>331</v>
      </c>
      <c r="G67" s="155" t="s">
        <v>175</v>
      </c>
      <c r="H67" s="155" t="s">
        <v>332</v>
      </c>
      <c r="I67" s="155">
        <v>48</v>
      </c>
      <c r="J67" s="155">
        <v>48</v>
      </c>
      <c r="K67" s="155">
        <v>6</v>
      </c>
      <c r="L67" s="155">
        <v>8</v>
      </c>
      <c r="N67" s="155">
        <v>400</v>
      </c>
      <c r="O67" s="155">
        <v>320</v>
      </c>
      <c r="P67" s="155">
        <v>205</v>
      </c>
      <c r="Q67" s="155">
        <v>6.2880000000000003</v>
      </c>
      <c r="R67" s="155">
        <v>7.0359999999999996</v>
      </c>
      <c r="S67" s="155">
        <v>150</v>
      </c>
      <c r="T67" s="155">
        <v>0</v>
      </c>
      <c r="U67" s="155">
        <v>0</v>
      </c>
      <c r="V67" s="155">
        <v>1</v>
      </c>
      <c r="W67" s="155">
        <v>0</v>
      </c>
      <c r="X67" s="155">
        <v>0</v>
      </c>
      <c r="Y67" s="155">
        <v>0</v>
      </c>
      <c r="Z67" s="156" t="s">
        <v>333</v>
      </c>
      <c r="AB67" s="167">
        <f>ROUNDUP(dgn_data[[#This Row],[order]]/bhpc_data[[#This Row],[units_per_carton]],0)</f>
        <v>0</v>
      </c>
      <c r="AC67" s="167" t="e">
        <f>dgn_data[[#This Row],[foc_order]]/bhpc_data[[#This Row],[units_per_carton]]</f>
        <v>#REF!</v>
      </c>
      <c r="AD67" s="165" t="e">
        <f>(bhpc_data[[#This Row],[net_weight]]/bhpc_data[[#This Row],[units_per_carton]])*dgn_data[[#This Row],[tot_order]]*bhpc_data[[#This Row],[product1_weight]]</f>
        <v>#REF!</v>
      </c>
      <c r="AE67" s="165" t="e">
        <f>(bhpc_data[[#This Row],[net_weight]]/bhpc_data[[#This Row],[units_per_carton]])*dgn_data[[#This Row],[tot_order]]*bhpc_data[[#This Row],[product2_weight]]</f>
        <v>#REF!</v>
      </c>
      <c r="AF67" s="165" t="e">
        <f>(bhpc_data[[#This Row],[gross_weight]]/bhpc_data[[#This Row],[units_per_carton]])*dgn_data[[#This Row],[tot_order]]*bhpc_data[[#This Row],[product1_weight]]</f>
        <v>#REF!</v>
      </c>
      <c r="AG67" s="165" t="e">
        <f>(bhpc_data[[#This Row],[gross_weight]]/bhpc_data[[#This Row],[units_per_carton]])*dgn_data[[#This Row],[tot_order]]*bhpc_data[[#This Row],[product2_weight]]</f>
        <v>#REF!</v>
      </c>
      <c r="AH6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7" s="158">
        <f>SUMIF('ORDER ENTRY FORM'!$C$4:$C$61,bhpc_data[[#This Row],[sku]],'ORDER ENTRY FORM'!$E$4:$E$61)</f>
        <v>0</v>
      </c>
      <c r="AK67" s="158" t="e">
        <f>SUMIF('ORDER ENTRY FORM'!$C$4:$C$61,bhpc_data[[#This Row],[sku]],'ORDER ENTRY FORM'!#REF!)</f>
        <v>#REF!</v>
      </c>
      <c r="AL67" s="158" t="e">
        <f>dgn_data[[#This Row],[order]]+dgn_data[[#This Row],[foc_order]]</f>
        <v>#REF!</v>
      </c>
    </row>
    <row r="68" spans="1:38">
      <c r="A68" s="155" t="s">
        <v>0</v>
      </c>
      <c r="B68" s="155" t="s">
        <v>133</v>
      </c>
      <c r="C68" s="155">
        <v>1</v>
      </c>
      <c r="D68" s="155" t="s">
        <v>330</v>
      </c>
      <c r="E68" s="157">
        <v>8718719850008</v>
      </c>
      <c r="F68" s="156" t="s">
        <v>331</v>
      </c>
      <c r="G68" s="155" t="s">
        <v>168</v>
      </c>
      <c r="H68" s="155" t="s">
        <v>332</v>
      </c>
      <c r="I68" s="155">
        <v>48</v>
      </c>
      <c r="J68" s="155">
        <v>36</v>
      </c>
      <c r="K68" s="155">
        <v>4</v>
      </c>
      <c r="L68" s="155">
        <v>9</v>
      </c>
      <c r="N68" s="155">
        <v>485</v>
      </c>
      <c r="O68" s="155">
        <v>360</v>
      </c>
      <c r="P68" s="155">
        <v>195</v>
      </c>
      <c r="Q68" s="155">
        <v>7.48</v>
      </c>
      <c r="R68" s="155">
        <v>7.7</v>
      </c>
      <c r="S68" s="155">
        <v>175</v>
      </c>
      <c r="T68" s="155">
        <v>0</v>
      </c>
      <c r="U68" s="155">
        <v>0</v>
      </c>
      <c r="V68" s="155">
        <v>1</v>
      </c>
      <c r="W68" s="155">
        <v>0</v>
      </c>
      <c r="X68" s="155">
        <v>0</v>
      </c>
      <c r="Y68" s="155">
        <v>0</v>
      </c>
      <c r="Z68" s="156" t="s">
        <v>333</v>
      </c>
      <c r="AB68" s="167">
        <f>ROUNDUP(dgn_data[[#This Row],[order]]/bhpc_data[[#This Row],[units_per_carton]],0)</f>
        <v>0</v>
      </c>
      <c r="AC68" s="167" t="e">
        <f>dgn_data[[#This Row],[foc_order]]/bhpc_data[[#This Row],[units_per_carton]]</f>
        <v>#REF!</v>
      </c>
      <c r="AD68" s="165" t="e">
        <f>(bhpc_data[[#This Row],[net_weight]]/bhpc_data[[#This Row],[units_per_carton]])*dgn_data[[#This Row],[tot_order]]*bhpc_data[[#This Row],[product1_weight]]</f>
        <v>#REF!</v>
      </c>
      <c r="AE68" s="165" t="e">
        <f>(bhpc_data[[#This Row],[net_weight]]/bhpc_data[[#This Row],[units_per_carton]])*dgn_data[[#This Row],[tot_order]]*bhpc_data[[#This Row],[product2_weight]]</f>
        <v>#REF!</v>
      </c>
      <c r="AF68" s="165" t="e">
        <f>(bhpc_data[[#This Row],[gross_weight]]/bhpc_data[[#This Row],[units_per_carton]])*dgn_data[[#This Row],[tot_order]]*bhpc_data[[#This Row],[product1_weight]]</f>
        <v>#REF!</v>
      </c>
      <c r="AG68" s="165" t="e">
        <f>(bhpc_data[[#This Row],[gross_weight]]/bhpc_data[[#This Row],[units_per_carton]])*dgn_data[[#This Row],[tot_order]]*bhpc_data[[#This Row],[product2_weight]]</f>
        <v>#REF!</v>
      </c>
      <c r="AH6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8" s="158">
        <f>SUMIF('ORDER ENTRY FORM'!$C$4:$C$61,bhpc_data[[#This Row],[sku]],'ORDER ENTRY FORM'!$E$4:$E$61)</f>
        <v>0</v>
      </c>
      <c r="AK68" s="158" t="e">
        <f>SUMIF('ORDER ENTRY FORM'!$C$4:$C$61,bhpc_data[[#This Row],[sku]],'ORDER ENTRY FORM'!#REF!)</f>
        <v>#REF!</v>
      </c>
      <c r="AL68" s="158" t="e">
        <f>dgn_data[[#This Row],[order]]+dgn_data[[#This Row],[foc_order]]</f>
        <v>#REF!</v>
      </c>
    </row>
    <row r="69" spans="1:38">
      <c r="A69" s="155" t="s">
        <v>1</v>
      </c>
      <c r="B69" s="155" t="s">
        <v>133</v>
      </c>
      <c r="C69" s="155">
        <v>1</v>
      </c>
      <c r="D69" s="155" t="s">
        <v>330</v>
      </c>
      <c r="E69" s="157">
        <v>8718719850015</v>
      </c>
      <c r="F69" s="156" t="s">
        <v>331</v>
      </c>
      <c r="G69" s="155" t="s">
        <v>169</v>
      </c>
      <c r="H69" s="155" t="s">
        <v>332</v>
      </c>
      <c r="I69" s="155">
        <v>48</v>
      </c>
      <c r="J69" s="155">
        <v>36</v>
      </c>
      <c r="K69" s="155">
        <v>4</v>
      </c>
      <c r="L69" s="155">
        <v>9</v>
      </c>
      <c r="N69" s="155">
        <v>485</v>
      </c>
      <c r="O69" s="155">
        <v>360</v>
      </c>
      <c r="P69" s="155">
        <v>195</v>
      </c>
      <c r="Q69" s="155">
        <v>7.48</v>
      </c>
      <c r="R69" s="155">
        <v>7.7</v>
      </c>
      <c r="S69" s="155">
        <v>175</v>
      </c>
      <c r="T69" s="155">
        <v>0</v>
      </c>
      <c r="U69" s="155">
        <v>0</v>
      </c>
      <c r="V69" s="155">
        <v>1</v>
      </c>
      <c r="W69" s="155">
        <v>0</v>
      </c>
      <c r="X69" s="155">
        <v>0</v>
      </c>
      <c r="Y69" s="155">
        <v>0</v>
      </c>
      <c r="Z69" s="156" t="s">
        <v>333</v>
      </c>
      <c r="AB69" s="167">
        <f>ROUNDUP(dgn_data[[#This Row],[order]]/bhpc_data[[#This Row],[units_per_carton]],0)</f>
        <v>0</v>
      </c>
      <c r="AC69" s="167" t="e">
        <f>dgn_data[[#This Row],[foc_order]]/bhpc_data[[#This Row],[units_per_carton]]</f>
        <v>#REF!</v>
      </c>
      <c r="AD69" s="165" t="e">
        <f>(bhpc_data[[#This Row],[net_weight]]/bhpc_data[[#This Row],[units_per_carton]])*dgn_data[[#This Row],[tot_order]]*bhpc_data[[#This Row],[product1_weight]]</f>
        <v>#REF!</v>
      </c>
      <c r="AE69" s="165" t="e">
        <f>(bhpc_data[[#This Row],[net_weight]]/bhpc_data[[#This Row],[units_per_carton]])*dgn_data[[#This Row],[tot_order]]*bhpc_data[[#This Row],[product2_weight]]</f>
        <v>#REF!</v>
      </c>
      <c r="AF69" s="165" t="e">
        <f>(bhpc_data[[#This Row],[gross_weight]]/bhpc_data[[#This Row],[units_per_carton]])*dgn_data[[#This Row],[tot_order]]*bhpc_data[[#This Row],[product1_weight]]</f>
        <v>#REF!</v>
      </c>
      <c r="AG69" s="165" t="e">
        <f>(bhpc_data[[#This Row],[gross_weight]]/bhpc_data[[#This Row],[units_per_carton]])*dgn_data[[#This Row],[tot_order]]*bhpc_data[[#This Row],[product2_weight]]</f>
        <v>#REF!</v>
      </c>
      <c r="AH6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9" s="158">
        <f>SUMIF('ORDER ENTRY FORM'!$C$4:$C$61,bhpc_data[[#This Row],[sku]],'ORDER ENTRY FORM'!$E$4:$E$61)</f>
        <v>0</v>
      </c>
      <c r="AK69" s="158" t="e">
        <f>SUMIF('ORDER ENTRY FORM'!$C$4:$C$61,bhpc_data[[#This Row],[sku]],'ORDER ENTRY FORM'!#REF!)</f>
        <v>#REF!</v>
      </c>
      <c r="AL69" s="158" t="e">
        <f>dgn_data[[#This Row],[order]]+dgn_data[[#This Row],[foc_order]]</f>
        <v>#REF!</v>
      </c>
    </row>
    <row r="70" spans="1:38">
      <c r="A70" s="155" t="s">
        <v>2</v>
      </c>
      <c r="B70" s="155" t="s">
        <v>133</v>
      </c>
      <c r="C70" s="155">
        <v>1</v>
      </c>
      <c r="D70" s="155" t="s">
        <v>330</v>
      </c>
      <c r="E70" s="157">
        <v>8718719850022</v>
      </c>
      <c r="F70" s="156" t="s">
        <v>331</v>
      </c>
      <c r="G70" s="155" t="s">
        <v>170</v>
      </c>
      <c r="H70" s="155" t="s">
        <v>332</v>
      </c>
      <c r="I70" s="155">
        <v>48</v>
      </c>
      <c r="J70" s="155">
        <v>36</v>
      </c>
      <c r="K70" s="155">
        <v>4</v>
      </c>
      <c r="L70" s="155">
        <v>9</v>
      </c>
      <c r="N70" s="155">
        <v>485</v>
      </c>
      <c r="O70" s="155">
        <v>360</v>
      </c>
      <c r="P70" s="155">
        <v>195</v>
      </c>
      <c r="Q70" s="155">
        <v>7.48</v>
      </c>
      <c r="R70" s="155">
        <v>7.7</v>
      </c>
      <c r="S70" s="155">
        <v>175</v>
      </c>
      <c r="T70" s="155">
        <v>0</v>
      </c>
      <c r="U70" s="155">
        <v>0</v>
      </c>
      <c r="V70" s="155">
        <v>1</v>
      </c>
      <c r="W70" s="155">
        <v>0</v>
      </c>
      <c r="X70" s="155">
        <v>0</v>
      </c>
      <c r="Y70" s="155">
        <v>0</v>
      </c>
      <c r="Z70" s="156" t="s">
        <v>333</v>
      </c>
      <c r="AB70" s="167">
        <f>ROUNDUP(dgn_data[[#This Row],[order]]/bhpc_data[[#This Row],[units_per_carton]],0)</f>
        <v>0</v>
      </c>
      <c r="AC70" s="167" t="e">
        <f>dgn_data[[#This Row],[foc_order]]/bhpc_data[[#This Row],[units_per_carton]]</f>
        <v>#REF!</v>
      </c>
      <c r="AD70" s="165" t="e">
        <f>(bhpc_data[[#This Row],[net_weight]]/bhpc_data[[#This Row],[units_per_carton]])*dgn_data[[#This Row],[tot_order]]*bhpc_data[[#This Row],[product1_weight]]</f>
        <v>#REF!</v>
      </c>
      <c r="AE70" s="165" t="e">
        <f>(bhpc_data[[#This Row],[net_weight]]/bhpc_data[[#This Row],[units_per_carton]])*dgn_data[[#This Row],[tot_order]]*bhpc_data[[#This Row],[product2_weight]]</f>
        <v>#REF!</v>
      </c>
      <c r="AF70" s="165" t="e">
        <f>(bhpc_data[[#This Row],[gross_weight]]/bhpc_data[[#This Row],[units_per_carton]])*dgn_data[[#This Row],[tot_order]]*bhpc_data[[#This Row],[product1_weight]]</f>
        <v>#REF!</v>
      </c>
      <c r="AG70" s="165" t="e">
        <f>(bhpc_data[[#This Row],[gross_weight]]/bhpc_data[[#This Row],[units_per_carton]])*dgn_data[[#This Row],[tot_order]]*bhpc_data[[#This Row],[product2_weight]]</f>
        <v>#REF!</v>
      </c>
      <c r="AH7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0" s="158">
        <f>SUMIF('ORDER ENTRY FORM'!$C$4:$C$61,bhpc_data[[#This Row],[sku]],'ORDER ENTRY FORM'!$E$4:$E$61)</f>
        <v>0</v>
      </c>
      <c r="AK70" s="158" t="e">
        <f>SUMIF('ORDER ENTRY FORM'!$C$4:$C$61,bhpc_data[[#This Row],[sku]],'ORDER ENTRY FORM'!#REF!)</f>
        <v>#REF!</v>
      </c>
      <c r="AL70" s="158" t="e">
        <f>dgn_data[[#This Row],[order]]+dgn_data[[#This Row],[foc_order]]</f>
        <v>#REF!</v>
      </c>
    </row>
    <row r="71" spans="1:38">
      <c r="A71" s="155" t="s">
        <v>3</v>
      </c>
      <c r="B71" s="155" t="s">
        <v>133</v>
      </c>
      <c r="C71" s="155">
        <v>1</v>
      </c>
      <c r="D71" s="155" t="s">
        <v>330</v>
      </c>
      <c r="E71" s="157">
        <v>8718719850039</v>
      </c>
      <c r="F71" s="156" t="s">
        <v>331</v>
      </c>
      <c r="G71" s="155" t="s">
        <v>171</v>
      </c>
      <c r="H71" s="155" t="s">
        <v>332</v>
      </c>
      <c r="I71" s="155">
        <v>48</v>
      </c>
      <c r="J71" s="155">
        <v>36</v>
      </c>
      <c r="K71" s="155">
        <v>4</v>
      </c>
      <c r="L71" s="155">
        <v>9</v>
      </c>
      <c r="N71" s="155">
        <v>485</v>
      </c>
      <c r="O71" s="155">
        <v>360</v>
      </c>
      <c r="P71" s="155">
        <v>195</v>
      </c>
      <c r="Q71" s="155">
        <v>7.48</v>
      </c>
      <c r="R71" s="155">
        <v>7.7</v>
      </c>
      <c r="S71" s="155">
        <v>175</v>
      </c>
      <c r="T71" s="155">
        <v>0</v>
      </c>
      <c r="U71" s="155">
        <v>0</v>
      </c>
      <c r="V71" s="155">
        <v>1</v>
      </c>
      <c r="W71" s="155">
        <v>0</v>
      </c>
      <c r="X71" s="155">
        <v>0</v>
      </c>
      <c r="Y71" s="155">
        <v>0</v>
      </c>
      <c r="Z71" s="156" t="s">
        <v>333</v>
      </c>
      <c r="AB71" s="167">
        <f>ROUNDUP(dgn_data[[#This Row],[order]]/bhpc_data[[#This Row],[units_per_carton]],0)</f>
        <v>0</v>
      </c>
      <c r="AC71" s="167" t="e">
        <f>dgn_data[[#This Row],[foc_order]]/bhpc_data[[#This Row],[units_per_carton]]</f>
        <v>#REF!</v>
      </c>
      <c r="AD71" s="165" t="e">
        <f>(bhpc_data[[#This Row],[net_weight]]/bhpc_data[[#This Row],[units_per_carton]])*dgn_data[[#This Row],[tot_order]]*bhpc_data[[#This Row],[product1_weight]]</f>
        <v>#REF!</v>
      </c>
      <c r="AE71" s="165" t="e">
        <f>(bhpc_data[[#This Row],[net_weight]]/bhpc_data[[#This Row],[units_per_carton]])*dgn_data[[#This Row],[tot_order]]*bhpc_data[[#This Row],[product2_weight]]</f>
        <v>#REF!</v>
      </c>
      <c r="AF71" s="165" t="e">
        <f>(bhpc_data[[#This Row],[gross_weight]]/bhpc_data[[#This Row],[units_per_carton]])*dgn_data[[#This Row],[tot_order]]*bhpc_data[[#This Row],[product1_weight]]</f>
        <v>#REF!</v>
      </c>
      <c r="AG71" s="165" t="e">
        <f>(bhpc_data[[#This Row],[gross_weight]]/bhpc_data[[#This Row],[units_per_carton]])*dgn_data[[#This Row],[tot_order]]*bhpc_data[[#This Row],[product2_weight]]</f>
        <v>#REF!</v>
      </c>
      <c r="AH7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1" s="158">
        <f>SUMIF('ORDER ENTRY FORM'!$C$4:$C$61,bhpc_data[[#This Row],[sku]],'ORDER ENTRY FORM'!$E$4:$E$61)</f>
        <v>0</v>
      </c>
      <c r="AK71" s="158" t="e">
        <f>SUMIF('ORDER ENTRY FORM'!$C$4:$C$61,bhpc_data[[#This Row],[sku]],'ORDER ENTRY FORM'!#REF!)</f>
        <v>#REF!</v>
      </c>
      <c r="AL71" s="158" t="e">
        <f>dgn_data[[#This Row],[order]]+dgn_data[[#This Row],[foc_order]]</f>
        <v>#REF!</v>
      </c>
    </row>
    <row r="72" spans="1:38">
      <c r="A72" s="155" t="s">
        <v>159</v>
      </c>
      <c r="B72" s="155" t="s">
        <v>160</v>
      </c>
      <c r="C72" s="155">
        <v>1</v>
      </c>
      <c r="D72" s="155" t="s">
        <v>326</v>
      </c>
      <c r="E72" s="157">
        <v>6291107164236</v>
      </c>
      <c r="F72" s="156" t="s">
        <v>327</v>
      </c>
      <c r="G72" s="155" t="s">
        <v>161</v>
      </c>
      <c r="H72" s="155" t="s">
        <v>328</v>
      </c>
      <c r="I72" s="155">
        <v>24</v>
      </c>
      <c r="J72" s="155">
        <v>64</v>
      </c>
      <c r="K72" s="155">
        <v>8</v>
      </c>
      <c r="L72" s="155">
        <v>8</v>
      </c>
      <c r="N72" s="155">
        <v>330</v>
      </c>
      <c r="O72" s="155">
        <v>210</v>
      </c>
      <c r="P72" s="155">
        <v>230</v>
      </c>
      <c r="Q72" s="155">
        <v>6.35</v>
      </c>
      <c r="R72" s="155">
        <v>7</v>
      </c>
      <c r="S72" s="155">
        <v>200</v>
      </c>
      <c r="T72" s="155">
        <v>0</v>
      </c>
      <c r="U72" s="155">
        <v>0</v>
      </c>
      <c r="V72" s="155">
        <v>1</v>
      </c>
      <c r="W72" s="155">
        <v>0</v>
      </c>
      <c r="X72" s="155">
        <v>0</v>
      </c>
      <c r="Y72" s="155">
        <v>0</v>
      </c>
      <c r="Z72" s="156" t="s">
        <v>329</v>
      </c>
      <c r="AB72" s="167">
        <f>ROUNDUP(dgn_data[[#This Row],[order]]/bhpc_data[[#This Row],[units_per_carton]],0)</f>
        <v>0</v>
      </c>
      <c r="AC72" s="167" t="e">
        <f>dgn_data[[#This Row],[foc_order]]/bhpc_data[[#This Row],[units_per_carton]]</f>
        <v>#REF!</v>
      </c>
      <c r="AD72" s="165" t="e">
        <f>(bhpc_data[[#This Row],[net_weight]]/bhpc_data[[#This Row],[units_per_carton]])*dgn_data[[#This Row],[tot_order]]*bhpc_data[[#This Row],[product1_weight]]</f>
        <v>#REF!</v>
      </c>
      <c r="AE72" s="165" t="e">
        <f>(bhpc_data[[#This Row],[net_weight]]/bhpc_data[[#This Row],[units_per_carton]])*dgn_data[[#This Row],[tot_order]]*bhpc_data[[#This Row],[product2_weight]]</f>
        <v>#REF!</v>
      </c>
      <c r="AF72" s="165" t="e">
        <f>(bhpc_data[[#This Row],[gross_weight]]/bhpc_data[[#This Row],[units_per_carton]])*dgn_data[[#This Row],[tot_order]]*bhpc_data[[#This Row],[product1_weight]]</f>
        <v>#REF!</v>
      </c>
      <c r="AG72" s="165" t="e">
        <f>(bhpc_data[[#This Row],[gross_weight]]/bhpc_data[[#This Row],[units_per_carton]])*dgn_data[[#This Row],[tot_order]]*bhpc_data[[#This Row],[product2_weight]]</f>
        <v>#REF!</v>
      </c>
      <c r="AH7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2" s="158">
        <f>SUMIF('ORDER ENTRY FORM'!$C$4:$C$61,bhpc_data[[#This Row],[sku]],'ORDER ENTRY FORM'!$E$4:$E$61)</f>
        <v>0</v>
      </c>
      <c r="AK72" s="158" t="e">
        <f>SUMIF('ORDER ENTRY FORM'!$C$4:$C$61,bhpc_data[[#This Row],[sku]],'ORDER ENTRY FORM'!#REF!)</f>
        <v>#REF!</v>
      </c>
      <c r="AL72" s="158" t="e">
        <f>dgn_data[[#This Row],[order]]+dgn_data[[#This Row],[foc_order]]</f>
        <v>#REF!</v>
      </c>
    </row>
    <row r="73" spans="1:38">
      <c r="A73" s="155" t="s">
        <v>162</v>
      </c>
      <c r="B73" s="155" t="s">
        <v>160</v>
      </c>
      <c r="C73" s="155">
        <v>1</v>
      </c>
      <c r="D73" s="155" t="s">
        <v>326</v>
      </c>
      <c r="E73" s="157">
        <v>6291107164243</v>
      </c>
      <c r="F73" s="156" t="s">
        <v>327</v>
      </c>
      <c r="G73" s="155" t="s">
        <v>163</v>
      </c>
      <c r="H73" s="155" t="s">
        <v>328</v>
      </c>
      <c r="I73" s="155">
        <v>24</v>
      </c>
      <c r="J73" s="155">
        <v>64</v>
      </c>
      <c r="K73" s="155">
        <v>8</v>
      </c>
      <c r="L73" s="155">
        <v>8</v>
      </c>
      <c r="N73" s="155">
        <v>330</v>
      </c>
      <c r="O73" s="155">
        <v>210</v>
      </c>
      <c r="P73" s="155">
        <v>230</v>
      </c>
      <c r="Q73" s="155">
        <v>6.35</v>
      </c>
      <c r="R73" s="155">
        <v>7</v>
      </c>
      <c r="S73" s="155">
        <v>200</v>
      </c>
      <c r="T73" s="155">
        <v>0</v>
      </c>
      <c r="U73" s="155">
        <v>0</v>
      </c>
      <c r="V73" s="155">
        <v>1</v>
      </c>
      <c r="W73" s="155">
        <v>0</v>
      </c>
      <c r="X73" s="155">
        <v>0</v>
      </c>
      <c r="Y73" s="155">
        <v>0</v>
      </c>
      <c r="Z73" s="156" t="s">
        <v>329</v>
      </c>
      <c r="AB73" s="167">
        <f>ROUNDUP(dgn_data[[#This Row],[order]]/bhpc_data[[#This Row],[units_per_carton]],0)</f>
        <v>0</v>
      </c>
      <c r="AC73" s="167" t="e">
        <f>dgn_data[[#This Row],[foc_order]]/bhpc_data[[#This Row],[units_per_carton]]</f>
        <v>#REF!</v>
      </c>
      <c r="AD73" s="165" t="e">
        <f>(bhpc_data[[#This Row],[net_weight]]/bhpc_data[[#This Row],[units_per_carton]])*dgn_data[[#This Row],[tot_order]]*bhpc_data[[#This Row],[product1_weight]]</f>
        <v>#REF!</v>
      </c>
      <c r="AE73" s="165" t="e">
        <f>(bhpc_data[[#This Row],[net_weight]]/bhpc_data[[#This Row],[units_per_carton]])*dgn_data[[#This Row],[tot_order]]*bhpc_data[[#This Row],[product2_weight]]</f>
        <v>#REF!</v>
      </c>
      <c r="AF73" s="165" t="e">
        <f>(bhpc_data[[#This Row],[gross_weight]]/bhpc_data[[#This Row],[units_per_carton]])*dgn_data[[#This Row],[tot_order]]*bhpc_data[[#This Row],[product1_weight]]</f>
        <v>#REF!</v>
      </c>
      <c r="AG73" s="165" t="e">
        <f>(bhpc_data[[#This Row],[gross_weight]]/bhpc_data[[#This Row],[units_per_carton]])*dgn_data[[#This Row],[tot_order]]*bhpc_data[[#This Row],[product2_weight]]</f>
        <v>#REF!</v>
      </c>
      <c r="AH7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3" s="158">
        <f>SUMIF('ORDER ENTRY FORM'!$C$4:$C$61,bhpc_data[[#This Row],[sku]],'ORDER ENTRY FORM'!$E$4:$E$61)</f>
        <v>0</v>
      </c>
      <c r="AK73" s="158" t="e">
        <f>SUMIF('ORDER ENTRY FORM'!$C$4:$C$61,bhpc_data[[#This Row],[sku]],'ORDER ENTRY FORM'!#REF!)</f>
        <v>#REF!</v>
      </c>
      <c r="AL73" s="158" t="e">
        <f>dgn_data[[#This Row],[order]]+dgn_data[[#This Row],[foc_order]]</f>
        <v>#REF!</v>
      </c>
    </row>
    <row r="74" spans="1:38">
      <c r="A74" s="155" t="s">
        <v>164</v>
      </c>
      <c r="B74" s="155" t="s">
        <v>160</v>
      </c>
      <c r="C74" s="155">
        <v>1</v>
      </c>
      <c r="D74" s="155" t="s">
        <v>326</v>
      </c>
      <c r="E74" s="157">
        <v>6291107164250</v>
      </c>
      <c r="F74" s="156" t="s">
        <v>327</v>
      </c>
      <c r="G74" s="155" t="s">
        <v>165</v>
      </c>
      <c r="H74" s="155" t="s">
        <v>328</v>
      </c>
      <c r="I74" s="155">
        <v>24</v>
      </c>
      <c r="J74" s="155">
        <v>64</v>
      </c>
      <c r="K74" s="155">
        <v>8</v>
      </c>
      <c r="L74" s="155">
        <v>8</v>
      </c>
      <c r="N74" s="155">
        <v>330</v>
      </c>
      <c r="O74" s="155">
        <v>210</v>
      </c>
      <c r="P74" s="155">
        <v>230</v>
      </c>
      <c r="Q74" s="155">
        <v>6.35</v>
      </c>
      <c r="R74" s="155">
        <v>7</v>
      </c>
      <c r="S74" s="155">
        <v>200</v>
      </c>
      <c r="T74" s="155">
        <v>0</v>
      </c>
      <c r="U74" s="155">
        <v>0</v>
      </c>
      <c r="V74" s="155">
        <v>1</v>
      </c>
      <c r="W74" s="155">
        <v>0</v>
      </c>
      <c r="X74" s="155">
        <v>0</v>
      </c>
      <c r="Y74" s="155">
        <v>0</v>
      </c>
      <c r="Z74" s="156" t="s">
        <v>329</v>
      </c>
      <c r="AB74" s="167">
        <f>ROUNDUP(dgn_data[[#This Row],[order]]/bhpc_data[[#This Row],[units_per_carton]],0)</f>
        <v>0</v>
      </c>
      <c r="AC74" s="167" t="e">
        <f>dgn_data[[#This Row],[foc_order]]/bhpc_data[[#This Row],[units_per_carton]]</f>
        <v>#REF!</v>
      </c>
      <c r="AD74" s="165" t="e">
        <f>(bhpc_data[[#This Row],[net_weight]]/bhpc_data[[#This Row],[units_per_carton]])*dgn_data[[#This Row],[tot_order]]*bhpc_data[[#This Row],[product1_weight]]</f>
        <v>#REF!</v>
      </c>
      <c r="AE74" s="165" t="e">
        <f>(bhpc_data[[#This Row],[net_weight]]/bhpc_data[[#This Row],[units_per_carton]])*dgn_data[[#This Row],[tot_order]]*bhpc_data[[#This Row],[product2_weight]]</f>
        <v>#REF!</v>
      </c>
      <c r="AF74" s="165" t="e">
        <f>(bhpc_data[[#This Row],[gross_weight]]/bhpc_data[[#This Row],[units_per_carton]])*dgn_data[[#This Row],[tot_order]]*bhpc_data[[#This Row],[product1_weight]]</f>
        <v>#REF!</v>
      </c>
      <c r="AG74" s="165" t="e">
        <f>(bhpc_data[[#This Row],[gross_weight]]/bhpc_data[[#This Row],[units_per_carton]])*dgn_data[[#This Row],[tot_order]]*bhpc_data[[#This Row],[product2_weight]]</f>
        <v>#REF!</v>
      </c>
      <c r="AH7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4" s="158">
        <f>SUMIF('ORDER ENTRY FORM'!$C$4:$C$61,bhpc_data[[#This Row],[sku]],'ORDER ENTRY FORM'!$E$4:$E$61)</f>
        <v>0</v>
      </c>
      <c r="AK74" s="158" t="e">
        <f>SUMIF('ORDER ENTRY FORM'!$C$4:$C$61,bhpc_data[[#This Row],[sku]],'ORDER ENTRY FORM'!#REF!)</f>
        <v>#REF!</v>
      </c>
      <c r="AL74" s="158" t="e">
        <f>dgn_data[[#This Row],[order]]+dgn_data[[#This Row],[foc_order]]</f>
        <v>#REF!</v>
      </c>
    </row>
    <row r="75" spans="1:38">
      <c r="A75" s="155" t="s">
        <v>166</v>
      </c>
      <c r="B75" s="155" t="s">
        <v>160</v>
      </c>
      <c r="C75" s="155">
        <v>1</v>
      </c>
      <c r="D75" s="155" t="s">
        <v>326</v>
      </c>
      <c r="E75" s="157">
        <v>6291107164267</v>
      </c>
      <c r="F75" s="156" t="s">
        <v>327</v>
      </c>
      <c r="G75" s="155" t="s">
        <v>167</v>
      </c>
      <c r="H75" s="155" t="s">
        <v>328</v>
      </c>
      <c r="I75" s="155">
        <v>24</v>
      </c>
      <c r="J75" s="155">
        <v>64</v>
      </c>
      <c r="K75" s="155">
        <v>8</v>
      </c>
      <c r="L75" s="155">
        <v>8</v>
      </c>
      <c r="N75" s="155">
        <v>330</v>
      </c>
      <c r="O75" s="155">
        <v>210</v>
      </c>
      <c r="P75" s="155">
        <v>230</v>
      </c>
      <c r="Q75" s="155">
        <v>6.35</v>
      </c>
      <c r="R75" s="155">
        <v>7</v>
      </c>
      <c r="S75" s="155">
        <v>200</v>
      </c>
      <c r="T75" s="155">
        <v>0</v>
      </c>
      <c r="U75" s="155">
        <v>0</v>
      </c>
      <c r="V75" s="155">
        <v>1</v>
      </c>
      <c r="W75" s="155">
        <v>0</v>
      </c>
      <c r="X75" s="155">
        <v>0</v>
      </c>
      <c r="Y75" s="155">
        <v>0</v>
      </c>
      <c r="Z75" s="156" t="s">
        <v>329</v>
      </c>
      <c r="AB75" s="167">
        <f>ROUNDUP(dgn_data[[#This Row],[order]]/bhpc_data[[#This Row],[units_per_carton]],0)</f>
        <v>0</v>
      </c>
      <c r="AC75" s="167" t="e">
        <f>dgn_data[[#This Row],[foc_order]]/bhpc_data[[#This Row],[units_per_carton]]</f>
        <v>#REF!</v>
      </c>
      <c r="AD75" s="165" t="e">
        <f>(bhpc_data[[#This Row],[net_weight]]/bhpc_data[[#This Row],[units_per_carton]])*dgn_data[[#This Row],[tot_order]]*bhpc_data[[#This Row],[product1_weight]]</f>
        <v>#REF!</v>
      </c>
      <c r="AE75" s="165" t="e">
        <f>(bhpc_data[[#This Row],[net_weight]]/bhpc_data[[#This Row],[units_per_carton]])*dgn_data[[#This Row],[tot_order]]*bhpc_data[[#This Row],[product2_weight]]</f>
        <v>#REF!</v>
      </c>
      <c r="AF75" s="165" t="e">
        <f>(bhpc_data[[#This Row],[gross_weight]]/bhpc_data[[#This Row],[units_per_carton]])*dgn_data[[#This Row],[tot_order]]*bhpc_data[[#This Row],[product1_weight]]</f>
        <v>#REF!</v>
      </c>
      <c r="AG75" s="165" t="e">
        <f>(bhpc_data[[#This Row],[gross_weight]]/bhpc_data[[#This Row],[units_per_carton]])*dgn_data[[#This Row],[tot_order]]*bhpc_data[[#This Row],[product2_weight]]</f>
        <v>#REF!</v>
      </c>
      <c r="AH7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5" s="158">
        <f>SUMIF('ORDER ENTRY FORM'!$C$4:$C$61,bhpc_data[[#This Row],[sku]],'ORDER ENTRY FORM'!$E$4:$E$61)</f>
        <v>0</v>
      </c>
      <c r="AK75" s="158" t="e">
        <f>SUMIF('ORDER ENTRY FORM'!$C$4:$C$61,bhpc_data[[#This Row],[sku]],'ORDER ENTRY FORM'!#REF!)</f>
        <v>#REF!</v>
      </c>
      <c r="AL75" s="158" t="e">
        <f>dgn_data[[#This Row],[order]]+dgn_data[[#This Row],[foc_order]]</f>
        <v>#REF!</v>
      </c>
    </row>
    <row r="76" spans="1:38">
      <c r="B76" s="155" t="s">
        <v>133</v>
      </c>
      <c r="C76" s="155">
        <v>1</v>
      </c>
      <c r="D76" s="155" t="s">
        <v>326</v>
      </c>
      <c r="E76" s="158"/>
      <c r="G76" s="155" t="s">
        <v>370</v>
      </c>
      <c r="H76" s="155" t="s">
        <v>332</v>
      </c>
      <c r="I76" s="155">
        <v>24</v>
      </c>
      <c r="S76" s="155">
        <v>250</v>
      </c>
      <c r="T76" s="155">
        <v>0</v>
      </c>
      <c r="U76" s="155">
        <v>0</v>
      </c>
      <c r="V76" s="155">
        <v>1</v>
      </c>
      <c r="W76" s="155">
        <v>0</v>
      </c>
      <c r="X76" s="155">
        <v>0</v>
      </c>
      <c r="Y76" s="155">
        <v>0</v>
      </c>
      <c r="Z76" s="156" t="s">
        <v>333</v>
      </c>
      <c r="AB76" s="167">
        <f>ROUNDUP(dgn_data[[#This Row],[order]]/bhpc_data[[#This Row],[units_per_carton]],0)</f>
        <v>0</v>
      </c>
      <c r="AC76" s="167" t="e">
        <f>dgn_data[[#This Row],[foc_order]]/bhpc_data[[#This Row],[units_per_carton]]</f>
        <v>#REF!</v>
      </c>
      <c r="AD76" s="165" t="e">
        <f>(bhpc_data[[#This Row],[net_weight]]/bhpc_data[[#This Row],[units_per_carton]])*dgn_data[[#This Row],[tot_order]]*bhpc_data[[#This Row],[product1_weight]]</f>
        <v>#REF!</v>
      </c>
      <c r="AE76" s="165" t="e">
        <f>(bhpc_data[[#This Row],[net_weight]]/bhpc_data[[#This Row],[units_per_carton]])*dgn_data[[#This Row],[tot_order]]*bhpc_data[[#This Row],[product2_weight]]</f>
        <v>#REF!</v>
      </c>
      <c r="AF76" s="165" t="e">
        <f>(bhpc_data[[#This Row],[gross_weight]]/bhpc_data[[#This Row],[units_per_carton]])*dgn_data[[#This Row],[tot_order]]*bhpc_data[[#This Row],[product1_weight]]</f>
        <v>#REF!</v>
      </c>
      <c r="AG76" s="165" t="e">
        <f>(bhpc_data[[#This Row],[gross_weight]]/bhpc_data[[#This Row],[units_per_carton]])*dgn_data[[#This Row],[tot_order]]*bhpc_data[[#This Row],[product2_weight]]</f>
        <v>#REF!</v>
      </c>
      <c r="AH7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6" s="158">
        <f>SUMIF('ORDER ENTRY FORM'!$C$4:$C$61,bhpc_data[[#This Row],[sku]],'ORDER ENTRY FORM'!$E$4:$E$61)</f>
        <v>0</v>
      </c>
      <c r="AK76" s="158" t="e">
        <f>SUMIF('ORDER ENTRY FORM'!$C$4:$C$61,bhpc_data[[#This Row],[sku]],'ORDER ENTRY FORM'!#REF!)</f>
        <v>#REF!</v>
      </c>
      <c r="AL76" s="158" t="e">
        <f>dgn_data[[#This Row],[order]]+dgn_data[[#This Row],[foc_order]]</f>
        <v>#REF!</v>
      </c>
    </row>
    <row r="77" spans="1:38">
      <c r="B77" s="155" t="s">
        <v>133</v>
      </c>
      <c r="C77" s="155">
        <v>1</v>
      </c>
      <c r="D77" s="155" t="s">
        <v>330</v>
      </c>
      <c r="E77" s="158"/>
      <c r="G77" s="155" t="s">
        <v>369</v>
      </c>
      <c r="H77" s="155" t="s">
        <v>332</v>
      </c>
      <c r="I77" s="155">
        <v>24</v>
      </c>
      <c r="S77" s="155">
        <v>300</v>
      </c>
      <c r="T77" s="155">
        <v>0</v>
      </c>
      <c r="U77" s="155">
        <v>0</v>
      </c>
      <c r="V77" s="155">
        <v>1</v>
      </c>
      <c r="W77" s="155">
        <v>0</v>
      </c>
      <c r="X77" s="155">
        <v>0</v>
      </c>
      <c r="Y77" s="155">
        <v>0</v>
      </c>
      <c r="Z77" s="156" t="s">
        <v>333</v>
      </c>
      <c r="AB77" s="167">
        <f>ROUNDUP(dgn_data[[#This Row],[order]]/bhpc_data[[#This Row],[units_per_carton]],0)</f>
        <v>0</v>
      </c>
      <c r="AC77" s="167" t="e">
        <f>dgn_data[[#This Row],[foc_order]]/bhpc_data[[#This Row],[units_per_carton]]</f>
        <v>#REF!</v>
      </c>
      <c r="AD77" s="165" t="e">
        <f>(bhpc_data[[#This Row],[net_weight]]/bhpc_data[[#This Row],[units_per_carton]])*dgn_data[[#This Row],[tot_order]]*bhpc_data[[#This Row],[product1_weight]]</f>
        <v>#REF!</v>
      </c>
      <c r="AE77" s="165" t="e">
        <f>(bhpc_data[[#This Row],[net_weight]]/bhpc_data[[#This Row],[units_per_carton]])*dgn_data[[#This Row],[tot_order]]*bhpc_data[[#This Row],[product2_weight]]</f>
        <v>#REF!</v>
      </c>
      <c r="AF77" s="165" t="e">
        <f>(bhpc_data[[#This Row],[gross_weight]]/bhpc_data[[#This Row],[units_per_carton]])*dgn_data[[#This Row],[tot_order]]*bhpc_data[[#This Row],[product1_weight]]</f>
        <v>#REF!</v>
      </c>
      <c r="AG77" s="165" t="e">
        <f>(bhpc_data[[#This Row],[gross_weight]]/bhpc_data[[#This Row],[units_per_carton]])*dgn_data[[#This Row],[tot_order]]*bhpc_data[[#This Row],[product2_weight]]</f>
        <v>#REF!</v>
      </c>
      <c r="AH7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7" s="158">
        <f>SUMIF('ORDER ENTRY FORM'!$C$4:$C$61,bhpc_data[[#This Row],[sku]],'ORDER ENTRY FORM'!$E$4:$E$61)</f>
        <v>0</v>
      </c>
      <c r="AK77" s="158" t="e">
        <f>SUMIF('ORDER ENTRY FORM'!$C$4:$C$61,bhpc_data[[#This Row],[sku]],'ORDER ENTRY FORM'!#REF!)</f>
        <v>#REF!</v>
      </c>
      <c r="AL77" s="158" t="e">
        <f>dgn_data[[#This Row],[order]]+dgn_data[[#This Row],[foc_order]]</f>
        <v>#REF!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H55" sqref="H55"/>
    </sheetView>
  </sheetViews>
  <sheetFormatPr defaultRowHeight="14.5"/>
  <cols>
    <col min="2" max="2" width="13.1796875" customWidth="1"/>
    <col min="3" max="10" width="14.453125" customWidth="1"/>
    <col min="11" max="14" width="14.81640625" customWidth="1"/>
    <col min="15" max="15" width="10.26953125" style="18" bestFit="1" customWidth="1"/>
  </cols>
  <sheetData>
    <row r="3" spans="1:18">
      <c r="B3" s="20" t="s">
        <v>256</v>
      </c>
      <c r="C3" s="15" t="s">
        <v>242</v>
      </c>
      <c r="D3" s="15" t="s">
        <v>243</v>
      </c>
      <c r="E3" s="15" t="s">
        <v>244</v>
      </c>
      <c r="F3" s="15" t="s">
        <v>254</v>
      </c>
      <c r="G3" s="15" t="s">
        <v>240</v>
      </c>
      <c r="H3" s="15"/>
      <c r="I3" s="15"/>
      <c r="J3" s="15"/>
      <c r="K3" s="15" t="s">
        <v>245</v>
      </c>
      <c r="L3" s="15" t="s">
        <v>254</v>
      </c>
      <c r="M3" s="15"/>
      <c r="N3" s="15"/>
    </row>
    <row r="4" spans="1:18">
      <c r="B4" s="20"/>
      <c r="C4" s="388" t="s">
        <v>239</v>
      </c>
      <c r="D4" s="389"/>
      <c r="E4" s="389"/>
      <c r="F4" s="390"/>
      <c r="G4" s="388" t="s">
        <v>240</v>
      </c>
      <c r="H4" s="389"/>
      <c r="I4" s="389"/>
      <c r="J4" s="390"/>
      <c r="K4" s="388" t="s">
        <v>241</v>
      </c>
      <c r="L4" s="389"/>
      <c r="M4" s="389"/>
      <c r="N4" s="390"/>
    </row>
    <row r="5" spans="1:18">
      <c r="B5" s="20"/>
      <c r="C5" s="14" t="s">
        <v>259</v>
      </c>
      <c r="D5" s="15" t="s">
        <v>260</v>
      </c>
      <c r="E5" s="15" t="s">
        <v>261</v>
      </c>
      <c r="F5" s="16"/>
      <c r="G5" s="14" t="s">
        <v>259</v>
      </c>
      <c r="H5" s="15" t="s">
        <v>260</v>
      </c>
      <c r="I5" s="15" t="s">
        <v>261</v>
      </c>
      <c r="J5" s="16"/>
      <c r="K5" s="14" t="s">
        <v>259</v>
      </c>
      <c r="L5" s="15" t="s">
        <v>260</v>
      </c>
      <c r="M5" s="15" t="s">
        <v>261</v>
      </c>
      <c r="N5" s="16"/>
    </row>
    <row r="6" spans="1:18">
      <c r="B6" s="20" t="s">
        <v>237</v>
      </c>
      <c r="C6" s="162">
        <f>ROUNDUP(SUMIFS(dgn_data[normal_boxes],bhpc_data[category],C3)+SUMIFS(dgn_data[normal_boxes],bhpc_data[category],D3)+SUMIFS(dgn_data[normal_boxes],bhpc_data[category],E3)+SUMIFS(dgn_data[normal_boxes],bhpc_data[category],F3),0)</f>
        <v>61</v>
      </c>
      <c r="D6" s="161" t="e">
        <f>ROUNDUP(SUMIFS(dgn_data[testers_boxes],bhpc_data[category],C3)+SUMIFS(dgn_data[testers_boxes],bhpc_data[category],D3)+SUMIFS(dgn_data[testers_boxes],bhpc_data[category],E3)+SUMIFS(dgn_data[testers_boxes],bhpc_data[category],F3),0)</f>
        <v>#REF!</v>
      </c>
      <c r="E6" s="230" t="e">
        <f>C6+D6</f>
        <v>#REF!</v>
      </c>
      <c r="F6" s="17"/>
      <c r="G6" s="162">
        <f>ROUNDUP(SUMIFS(dgn_data[normal_boxes],bhpc_data[category],G3),0)</f>
        <v>0</v>
      </c>
      <c r="H6" s="161" t="e">
        <f>ROUNDUP(SUMIFS(dgn_data[testers_boxes],bhpc_data[category],G3),0)</f>
        <v>#REF!</v>
      </c>
      <c r="I6" s="230" t="e">
        <f>G6+H6</f>
        <v>#REF!</v>
      </c>
      <c r="J6" s="17"/>
      <c r="K6" s="162">
        <f>ROUNDUP(SUMIFS(dgn_data[normal_boxes],bhpc_data[category],K3)+SUMIFS(dgn_data[normal_boxes],bhpc_data[category],L3),0)</f>
        <v>41</v>
      </c>
      <c r="L6" s="161" t="e">
        <f>ROUNDUP(SUMIFS(dgn_data[testers_boxes],bhpc_data[category],K3)+SUMIFS(dgn_data[testers_boxes],bhpc_data[category],L3),0)</f>
        <v>#REF!</v>
      </c>
      <c r="M6" s="230" t="e">
        <f>K6+L6</f>
        <v>#REF!</v>
      </c>
      <c r="N6" s="17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391" t="s">
        <v>239</v>
      </c>
      <c r="D8" s="392"/>
      <c r="E8" s="392"/>
      <c r="F8" s="393"/>
      <c r="G8" s="391" t="s">
        <v>240</v>
      </c>
      <c r="H8" s="392"/>
      <c r="I8" s="392"/>
      <c r="J8" s="393"/>
      <c r="K8" s="391" t="s">
        <v>241</v>
      </c>
      <c r="L8" s="392"/>
      <c r="M8" s="392"/>
      <c r="N8" s="393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223" t="s">
        <v>246</v>
      </c>
      <c r="C9" s="3" t="s">
        <v>238</v>
      </c>
      <c r="D9" s="4" t="s">
        <v>234</v>
      </c>
      <c r="E9" s="4" t="s">
        <v>235</v>
      </c>
      <c r="F9" s="5" t="s">
        <v>236</v>
      </c>
      <c r="G9" s="3" t="s">
        <v>238</v>
      </c>
      <c r="H9" s="4" t="s">
        <v>234</v>
      </c>
      <c r="I9" s="4" t="s">
        <v>235</v>
      </c>
      <c r="J9" s="5" t="s">
        <v>236</v>
      </c>
      <c r="K9" s="3" t="s">
        <v>238</v>
      </c>
      <c r="L9" s="4" t="s">
        <v>234</v>
      </c>
      <c r="M9" s="4" t="s">
        <v>235</v>
      </c>
      <c r="N9" s="5" t="s">
        <v>236</v>
      </c>
      <c r="O9" s="19" t="s">
        <v>255</v>
      </c>
      <c r="Q9" s="1"/>
      <c r="R9" s="1"/>
    </row>
    <row r="10" spans="1:18">
      <c r="B10" s="223">
        <f t="array" ref="B10">IFERROR(INDEX(bhpc_data[size12], MATCH(0, COUNTIF($B$9:B9, bhpc_data[size12]&amp;"") + IF(bhpc_data[size12]="",1,0), 0)), "")</f>
        <v>50</v>
      </c>
      <c r="C10" s="224" t="e">
        <f>SUMIFS(dgn_data[tot_order],bhpc_data[size12],$B10,bhpc_data[category],$D$3)+SUMIFS(dgn_data[tot_order],bhpc_data[size12],$B10,bhpc_data[category],$E$3)+SUMIFS(dgn_data[tot_order],bhpc_data[size12],$B10,bhpc_data[category],$C$3)+SUMIFS(dgn_data[tot_order],bhpc_data[size12],$B10,bhpc_data[category],$F$3)</f>
        <v>#REF!</v>
      </c>
      <c r="D10" s="225" t="e">
        <f>SUMIFS(dgn_data[unit_net_weight],bhpc_data[size12],$B10,bhpc_data[category],$D$3)+SUMIFS(dgn_data[unit_net_weight],bhpc_data[size12],$B10,bhpc_data[category],$E$3)+SUMIFS(dgn_data[unit_net_weight],bhpc_data[size12],$B10,bhpc_data[category],$C$3)+SUMIFS(dgn_data[unit_net_weight],bhpc_data[size12],$B10,bhpc_data[category],$F$3)</f>
        <v>#REF!</v>
      </c>
      <c r="E10" s="225" t="e">
        <f>SUMIFS(dgn_data[unit_gross_weight],bhpc_data[size12],$B10,bhpc_data[category],$D$3)+SUMIFS(dgn_data[unit_gross_weight],bhpc_data[size12],$B10,bhpc_data[category],$E$3)+SUMIFS(dgn_data[unit_gross_weight],bhpc_data[size12],$B10,bhpc_data[category],$C$3)+SUMIFS(dgn_data[unit_gross_weight],bhpc_data[size12],$B10,bhpc_data[category],$F$3)</f>
        <v>#REF!</v>
      </c>
      <c r="F10" s="226" t="e">
        <f>SUMIFS(dgn_data[cbm],bhpc_data[size12],$B10,bhpc_data[category],$D$3)+SUMIFS(dgn_data[cbm],bhpc_data[size12],$B10,bhpc_data[category],$E$3)+SUMIFS(dgn_data[cbm],bhpc_data[size12],$B10,bhpc_data[category],$C$3)+SUMIFS(dgn_data[cbm],bhpc_data[size12],$B10,bhpc_data[category],$F$3)</f>
        <v>#REF!</v>
      </c>
      <c r="G10" s="169">
        <f>SUMIFS(dgn_data[tot_order],bhpc_data[size12],$B10,bhpc_data[category],$G$3)</f>
        <v>0</v>
      </c>
      <c r="H10" s="170">
        <f>SUMIFS(dgn_data[unit_net_weight],bhpc_data[size12],$B10,bhpc_data[category],$G$3)</f>
        <v>0</v>
      </c>
      <c r="I10" s="170">
        <f>SUMIFS(dgn_data[unit_gross_weight],bhpc_data[size12],$B10,bhpc_data[category],$G$3)</f>
        <v>0</v>
      </c>
      <c r="J10" s="171">
        <f>SUMIFS(dgn_data[cbm],bhpc_data[size12],$B10,bhpc_data[category],$G$3)</f>
        <v>0</v>
      </c>
      <c r="K10" s="170">
        <f>SUMIFS(dgn_data[tot_order],bhpc_data[size12],$B10,bhpc_data[category],$K$3)+SUMIFS(dgn_data[tot_order],bhpc_data[size22],$B10,bhpc_data[category],$L$3)</f>
        <v>0</v>
      </c>
      <c r="L10" s="170">
        <f>SUMIFS(dgn_data[unit_net_weight],bhpc_data[size12],$B10,bhpc_data[category],$K$3)+SUMIFS(dgn_data[unit_net_weight2],bhpc_data[size22],$B10,bhpc_data[category],$L$3)</f>
        <v>0</v>
      </c>
      <c r="M10" s="170">
        <f>SUMIFS(dgn_data[unit_gross_weight],bhpc_data[size12],$B10,bhpc_data[category],$K$3)+SUMIFS(dgn_data[unit_gross_weight2],bhpc_data[size22],$B10,bhpc_data[category],$L$3)</f>
        <v>0</v>
      </c>
      <c r="N10" s="171">
        <f>SUMIFS(dgn_data[cbm],bhpc_data[size12],$B10,bhpc_data[category],$K$3)+SUMIFS(dgn_data[cbm2],bhpc_data[size22],$B10,bhpc_data[category],$L$3)</f>
        <v>0</v>
      </c>
      <c r="O10" s="168" t="e">
        <f>C10+G10+K10</f>
        <v>#REF!</v>
      </c>
    </row>
    <row r="11" spans="1:18">
      <c r="B11" s="223">
        <f t="array" ref="B11">IFERROR(INDEX(bhpc_data[size12], MATCH(0, COUNTIF($B$9:B10, bhpc_data[size12]&amp;"") + IF(bhpc_data[size12]="",1,0), 0)), "")</f>
        <v>100</v>
      </c>
      <c r="C11" s="227" t="e">
        <f>SUMIFS(dgn_data[tot_order],bhpc_data[size12],$B11,bhpc_data[category],$D$3)+SUMIFS(dgn_data[tot_order],bhpc_data[size12],$B11,bhpc_data[category],$E$3)+SUMIFS(dgn_data[tot_order],bhpc_data[size12],$B11,bhpc_data[category],$C$3)+SUMIFS(dgn_data[tot_order],bhpc_data[size12],$B11,bhpc_data[category],$F$3)</f>
        <v>#REF!</v>
      </c>
      <c r="D11" s="228" t="e">
        <f>SUMIFS(dgn_data[unit_net_weight],bhpc_data[size12],$B11,bhpc_data[category],$D$3)+SUMIFS(dgn_data[unit_net_weight],bhpc_data[size12],$B11,bhpc_data[category],$E$3)+SUMIFS(dgn_data[unit_net_weight],bhpc_data[size12],$B11,bhpc_data[category],$C$3)+SUMIFS(dgn_data[unit_net_weight],bhpc_data[size12],$B11,bhpc_data[category],$F$3)</f>
        <v>#REF!</v>
      </c>
      <c r="E11" s="228" t="e">
        <f>SUMIFS(dgn_data[unit_gross_weight],bhpc_data[size12],$B11,bhpc_data[category],$D$3)+SUMIFS(dgn_data[unit_gross_weight],bhpc_data[size12],$B11,bhpc_data[category],$E$3)+SUMIFS(dgn_data[unit_gross_weight],bhpc_data[size12],$B11,bhpc_data[category],$C$3)+SUMIFS(dgn_data[unit_gross_weight],bhpc_data[size12],$B11,bhpc_data[category],$F$3)</f>
        <v>#REF!</v>
      </c>
      <c r="F11" s="229" t="e">
        <f>SUMIFS(dgn_data[cbm],bhpc_data[size12],$B11,bhpc_data[category],$D$3)+SUMIFS(dgn_data[cbm],bhpc_data[size12],$B11,bhpc_data[category],$E$3)+SUMIFS(dgn_data[cbm],bhpc_data[size12],$B11,bhpc_data[category],$C$3)+SUMIFS(dgn_data[cbm],bhpc_data[size12],$B11,bhpc_data[category],$F$3)</f>
        <v>#REF!</v>
      </c>
      <c r="G11" s="12">
        <f>SUMIFS(dgn_data[tot_order],bhpc_data[size12],$B11,bhpc_data[category],$G$3)</f>
        <v>0</v>
      </c>
      <c r="H11" s="8">
        <f>SUMIFS(dgn_data[unit_net_weight],bhpc_data[size12],$B11,bhpc_data[category],$G$3)</f>
        <v>0</v>
      </c>
      <c r="I11" s="8">
        <f>SUMIFS(dgn_data[unit_gross_weight],bhpc_data[size12],$B11,bhpc_data[category],$G$3)</f>
        <v>0</v>
      </c>
      <c r="J11" s="10">
        <f>SUMIFS(dgn_data[cbm],bhpc_data[size12],$B11,bhpc_data[category],$G$3)</f>
        <v>0</v>
      </c>
      <c r="K11" s="8">
        <f>SUMIFS(dgn_data[tot_order],bhpc_data[size12],$B11,bhpc_data[category],$K$3)+SUMIFS(dgn_data[tot_order],bhpc_data[size22],$B11,bhpc_data[category],$L$3)</f>
        <v>0</v>
      </c>
      <c r="L11" s="8">
        <f>SUMIFS(dgn_data[unit_net_weight],bhpc_data[size12],$B11,bhpc_data[category],$K$3)+SUMIFS(dgn_data[unit_net_weight2],bhpc_data[size22],$B11,bhpc_data[category],$L$3)</f>
        <v>0</v>
      </c>
      <c r="M11" s="8">
        <f>SUMIFS(dgn_data[unit_gross_weight],bhpc_data[size12],$B11,bhpc_data[category],$K$3)+SUMIFS(dgn_data[unit_gross_weight2],bhpc_data[size22],$B11,bhpc_data[category],$L$3)</f>
        <v>0</v>
      </c>
      <c r="N11" s="10">
        <f>SUMIFS(dgn_data[cbm],bhpc_data[size12],$B11,bhpc_data[category],$K$3)+SUMIFS(dgn_data[cbm2],bhpc_data[size22],$B11,bhpc_data[category],$L$3)</f>
        <v>0</v>
      </c>
      <c r="O11" s="168" t="e">
        <f t="shared" ref="O11:O25" si="0">C11+G11+K11</f>
        <v>#REF!</v>
      </c>
    </row>
    <row r="12" spans="1:18">
      <c r="B12" s="223">
        <f t="array" ref="B12">IFERROR(INDEX(bhpc_data[size12], MATCH(0, COUNTIF($B$9:B11, bhpc_data[size12]&amp;"") + IF(bhpc_data[size12]="",1,0), 0)), "")</f>
        <v>150</v>
      </c>
      <c r="C12" s="12">
        <f>SUMIFS(dgn_data[tot_order],bhpc_data[size12],$B12,bhpc_data[category],$D$3)+SUMIFS(dgn_data[tot_order],bhpc_data[size12],$B12,bhpc_data[category],$E$3)+SUMIFS(dgn_data[tot_order],bhpc_data[size12],$B12,bhpc_data[category],$C$3)+SUMIFS(dgn_data[tot_order],bhpc_data[size12],$B12,bhpc_data[category],$F$3)</f>
        <v>0</v>
      </c>
      <c r="D12" s="8">
        <f>SUMIFS(dgn_data[unit_net_weight],bhpc_data[size12],$B12,bhpc_data[category],$D$3)+SUMIFS(dgn_data[unit_net_weight],bhpc_data[size12],$B12,bhpc_data[category],$E$3)+SUMIFS(dgn_data[unit_net_weight],bhpc_data[size12],$B12,bhpc_data[category],$C$3)+SUMIFS(dgn_data[unit_net_weight],bhpc_data[size12],$B12,bhpc_data[category],$F$3)</f>
        <v>0</v>
      </c>
      <c r="E12" s="8">
        <f>SUMIFS(dgn_data[unit_gross_weight],bhpc_data[size12],$B12,bhpc_data[category],$D$3)+SUMIFS(dgn_data[unit_gross_weight],bhpc_data[size12],$B12,bhpc_data[category],$E$3)+SUMIFS(dgn_data[unit_gross_weight],bhpc_data[size12],$B12,bhpc_data[category],$C$3)+SUMIFS(dgn_data[unit_gross_weight],bhpc_data[size12],$B12,bhpc_data[category],$F$3)</f>
        <v>0</v>
      </c>
      <c r="F12" s="10">
        <f>SUMIFS(dgn_data[cbm],bhpc_data[size12],$B12,bhpc_data[category],$D$3)+SUMIFS(dgn_data[cbm],bhpc_data[size12],$B12,bhpc_data[category],$E$3)+SUMIFS(dgn_data[cbm],bhpc_data[size12],$B12,bhpc_data[category],$C$3)+SUMIFS(dgn_data[cbm],bhpc_data[size12],$B12,bhpc_data[category],$F$3)</f>
        <v>0</v>
      </c>
      <c r="G12" s="12">
        <f>SUMIFS(dgn_data[tot_order],bhpc_data[size12],$B12,bhpc_data[category],$G$3)</f>
        <v>0</v>
      </c>
      <c r="H12" s="8">
        <f>SUMIFS(dgn_data[unit_net_weight],bhpc_data[size12],$B12,bhpc_data[category],$G$3)</f>
        <v>0</v>
      </c>
      <c r="I12" s="8">
        <f>SUMIFS(dgn_data[unit_gross_weight],bhpc_data[size12],$B12,bhpc_data[category],$G$3)</f>
        <v>0</v>
      </c>
      <c r="J12" s="10">
        <f>SUMIFS(dgn_data[cbm],bhpc_data[size12],$B12,bhpc_data[category],$G$3)</f>
        <v>0</v>
      </c>
      <c r="K12" s="228" t="e">
        <f>SUMIFS(dgn_data[tot_order],bhpc_data[size12],$B12,bhpc_data[category],$K$3)+SUMIFS(dgn_data[tot_order],bhpc_data[size22],$B12,bhpc_data[category],$L$3)</f>
        <v>#REF!</v>
      </c>
      <c r="L12" s="228" t="e">
        <f>SUMIFS(dgn_data[unit_net_weight],bhpc_data[size12],$B12,bhpc_data[category],$K$3)+SUMIFS(dgn_data[unit_net_weight2],bhpc_data[size22],$B12,bhpc_data[category],$L$3)</f>
        <v>#REF!</v>
      </c>
      <c r="M12" s="228" t="e">
        <f>SUMIFS(dgn_data[unit_gross_weight],bhpc_data[size12],$B12,bhpc_data[category],$K$3)+SUMIFS(dgn_data[unit_gross_weight2],bhpc_data[size22],$B12,bhpc_data[category],$L$3)</f>
        <v>#REF!</v>
      </c>
      <c r="N12" s="229" t="e">
        <f>SUMIFS(dgn_data[cbm],bhpc_data[size12],$B12,bhpc_data[category],$K$3)+SUMIFS(dgn_data[cbm2],bhpc_data[size22],$B12,bhpc_data[category],$L$3)</f>
        <v>#REF!</v>
      </c>
      <c r="O12" s="168" t="e">
        <f t="shared" si="0"/>
        <v>#REF!</v>
      </c>
    </row>
    <row r="13" spans="1:18">
      <c r="B13" s="223">
        <f t="array" ref="B13">IFERROR(INDEX(bhpc_data[size12], MATCH(0, COUNTIF($B$9:B12, bhpc_data[size12]&amp;"") + IF(bhpc_data[size12]="",1,0), 0)), "")</f>
        <v>175</v>
      </c>
      <c r="C13" s="12">
        <f>SUMIFS(dgn_data[tot_order],bhpc_data[size12],$B13,bhpc_data[category],$D$3)+SUMIFS(dgn_data[tot_order],bhpc_data[size12],$B13,bhpc_data[category],$E$3)+SUMIFS(dgn_data[tot_order],bhpc_data[size12],$B13,bhpc_data[category],$C$3)+SUMIFS(dgn_data[tot_order],bhpc_data[size12],$B13,bhpc_data[category],$F$3)</f>
        <v>0</v>
      </c>
      <c r="D13" s="8">
        <f>SUMIFS(dgn_data[unit_net_weight],bhpc_data[size12],$B13,bhpc_data[category],$D$3)+SUMIFS(dgn_data[unit_net_weight],bhpc_data[size12],$B13,bhpc_data[category],$E$3)+SUMIFS(dgn_data[unit_net_weight],bhpc_data[size12],$B13,bhpc_data[category],$C$3)+SUMIFS(dgn_data[unit_net_weight],bhpc_data[size12],$B13,bhpc_data[category],$F$3)</f>
        <v>0</v>
      </c>
      <c r="E13" s="8">
        <f>SUMIFS(dgn_data[unit_gross_weight],bhpc_data[size12],$B13,bhpc_data[category],$D$3)+SUMIFS(dgn_data[unit_gross_weight],bhpc_data[size12],$B13,bhpc_data[category],$E$3)+SUMIFS(dgn_data[unit_gross_weight],bhpc_data[size12],$B13,bhpc_data[category],$C$3)+SUMIFS(dgn_data[unit_gross_weight],bhpc_data[size12],$B13,bhpc_data[category],$F$3)</f>
        <v>0</v>
      </c>
      <c r="F13" s="10">
        <f>SUMIFS(dgn_data[cbm],bhpc_data[size12],$B13,bhpc_data[category],$D$3)+SUMIFS(dgn_data[cbm],bhpc_data[size12],$B13,bhpc_data[category],$E$3)+SUMIFS(dgn_data[cbm],bhpc_data[size12],$B13,bhpc_data[category],$C$3)+SUMIFS(dgn_data[cbm],bhpc_data[size12],$B13,bhpc_data[category],$F$3)</f>
        <v>0</v>
      </c>
      <c r="G13" s="12">
        <f>SUMIFS(dgn_data[tot_order],bhpc_data[size12],$B13,bhpc_data[category],$G$3)</f>
        <v>0</v>
      </c>
      <c r="H13" s="8">
        <f>SUMIFS(dgn_data[unit_net_weight],bhpc_data[size12],$B13,bhpc_data[category],$G$3)</f>
        <v>0</v>
      </c>
      <c r="I13" s="8">
        <f>SUMIFS(dgn_data[unit_gross_weight],bhpc_data[size12],$B13,bhpc_data[category],$G$3)</f>
        <v>0</v>
      </c>
      <c r="J13" s="10">
        <f>SUMIFS(dgn_data[cbm],bhpc_data[size12],$B13,bhpc_data[category],$G$3)</f>
        <v>0</v>
      </c>
      <c r="K13" s="228" t="e">
        <f>SUMIFS(dgn_data[tot_order],bhpc_data[size12],$B13,bhpc_data[category],$K$3)+SUMIFS(dgn_data[tot_order],bhpc_data[size22],$B13,bhpc_data[category],$L$3)</f>
        <v>#REF!</v>
      </c>
      <c r="L13" s="228" t="e">
        <f>SUMIFS(dgn_data[unit_net_weight],bhpc_data[size12],$B13,bhpc_data[category],$K$3)+SUMIFS(dgn_data[unit_net_weight2],bhpc_data[size22],$B13,bhpc_data[category],$L$3)</f>
        <v>#REF!</v>
      </c>
      <c r="M13" s="228" t="e">
        <f>SUMIFS(dgn_data[unit_gross_weight],bhpc_data[size12],$B13,bhpc_data[category],$K$3)+SUMIFS(dgn_data[unit_gross_weight2],bhpc_data[size22],$B13,bhpc_data[category],$L$3)</f>
        <v>#REF!</v>
      </c>
      <c r="N13" s="229" t="e">
        <f>SUMIFS(dgn_data[cbm],bhpc_data[size12],$B13,bhpc_data[category],$K$3)+SUMIFS(dgn_data[cbm2],bhpc_data[size22],$B13,bhpc_data[category],$L$3)</f>
        <v>#REF!</v>
      </c>
      <c r="O13" s="168" t="e">
        <f t="shared" si="0"/>
        <v>#REF!</v>
      </c>
    </row>
    <row r="14" spans="1:18">
      <c r="B14" s="223">
        <f t="array" ref="B14">IFERROR(INDEX(bhpc_data[size12], MATCH(0, COUNTIF($B$9:B13, bhpc_data[size12]&amp;"") + IF(bhpc_data[size12]="",1,0), 0)), "")</f>
        <v>200</v>
      </c>
      <c r="C14" s="12">
        <f>SUMIFS(dgn_data[tot_order],bhpc_data[size12],$B14,bhpc_data[category],$D$3)+SUMIFS(dgn_data[tot_order],bhpc_data[size12],$B14,bhpc_data[category],$E$3)+SUMIFS(dgn_data[tot_order],bhpc_data[size12],$B14,bhpc_data[category],$C$3)+SUMIFS(dgn_data[tot_order],bhpc_data[size12],$B14,bhpc_data[category],$F$3)</f>
        <v>0</v>
      </c>
      <c r="D14" s="8">
        <f>SUMIFS(dgn_data[unit_net_weight],bhpc_data[size12],$B14,bhpc_data[category],$D$3)+SUMIFS(dgn_data[unit_net_weight],bhpc_data[size12],$B14,bhpc_data[category],$E$3)+SUMIFS(dgn_data[unit_net_weight],bhpc_data[size12],$B14,bhpc_data[category],$C$3)+SUMIFS(dgn_data[unit_net_weight],bhpc_data[size12],$B14,bhpc_data[category],$F$3)</f>
        <v>0</v>
      </c>
      <c r="E14" s="8">
        <f>SUMIFS(dgn_data[unit_gross_weight],bhpc_data[size12],$B14,bhpc_data[category],$D$3)+SUMIFS(dgn_data[unit_gross_weight],bhpc_data[size12],$B14,bhpc_data[category],$E$3)+SUMIFS(dgn_data[unit_gross_weight],bhpc_data[size12],$B14,bhpc_data[category],$C$3)+SUMIFS(dgn_data[unit_gross_weight],bhpc_data[size12],$B14,bhpc_data[category],$F$3)</f>
        <v>0</v>
      </c>
      <c r="F14" s="10">
        <f>SUMIFS(dgn_data[cbm],bhpc_data[size12],$B14,bhpc_data[category],$D$3)+SUMIFS(dgn_data[cbm],bhpc_data[size12],$B14,bhpc_data[category],$E$3)+SUMIFS(dgn_data[cbm],bhpc_data[size12],$B14,bhpc_data[category],$C$3)+SUMIFS(dgn_data[cbm],bhpc_data[size12],$B14,bhpc_data[category],$F$3)</f>
        <v>0</v>
      </c>
      <c r="G14" s="227" t="e">
        <f>SUMIFS(dgn_data[tot_order],bhpc_data[size12],$B14,bhpc_data[category],$G$3)</f>
        <v>#REF!</v>
      </c>
      <c r="H14" s="228" t="e">
        <f>SUMIFS(dgn_data[unit_net_weight],bhpc_data[size12],$B14,bhpc_data[category],$G$3)</f>
        <v>#REF!</v>
      </c>
      <c r="I14" s="228" t="e">
        <f>SUMIFS(dgn_data[unit_gross_weight],bhpc_data[size12],$B14,bhpc_data[category],$G$3)</f>
        <v>#REF!</v>
      </c>
      <c r="J14" s="229" t="e">
        <f>SUMIFS(dgn_data[cbm],bhpc_data[size12],$B14,bhpc_data[category],$G$3)</f>
        <v>#REF!</v>
      </c>
      <c r="K14" s="8">
        <f>SUMIFS(dgn_data[tot_order],bhpc_data[size12],$B14,bhpc_data[category],$K$3)+SUMIFS(dgn_data[tot_order],bhpc_data[size22],$B14,bhpc_data[category],$L$3)</f>
        <v>0</v>
      </c>
      <c r="L14" s="8">
        <f>SUMIFS(dgn_data[unit_net_weight],bhpc_data[size12],$B14,bhpc_data[category],$K$3)+SUMIFS(dgn_data[unit_net_weight2],bhpc_data[size22],$B14,bhpc_data[category],$L$3)</f>
        <v>0</v>
      </c>
      <c r="M14" s="8">
        <f>SUMIFS(dgn_data[unit_gross_weight],bhpc_data[size12],$B14,bhpc_data[category],$K$3)+SUMIFS(dgn_data[unit_gross_weight2],bhpc_data[size22],$B14,bhpc_data[category],$L$3)</f>
        <v>0</v>
      </c>
      <c r="N14" s="10">
        <f>SUMIFS(dgn_data[cbm],bhpc_data[size12],$B14,bhpc_data[category],$K$3)+SUMIFS(dgn_data[cbm2],bhpc_data[size22],$B14,bhpc_data[category],$L$3)</f>
        <v>0</v>
      </c>
      <c r="O14" s="168" t="e">
        <f t="shared" si="0"/>
        <v>#REF!</v>
      </c>
    </row>
    <row r="15" spans="1:18">
      <c r="B15" s="223">
        <f t="array" ref="B15">IFERROR(INDEX(bhpc_data[size12], MATCH(0, COUNTIF($B$9:B14, bhpc_data[size12]&amp;"") + IF(bhpc_data[size12]="",1,0), 0)), "")</f>
        <v>250</v>
      </c>
      <c r="C15" s="12">
        <f>SUMIFS(dgn_data[tot_order],bhpc_data[size12],$B15,bhpc_data[category],$D$3)+SUMIFS(dgn_data[tot_order],bhpc_data[size12],$B15,bhpc_data[category],$E$3)+SUMIFS(dgn_data[tot_order],bhpc_data[size12],$B15,bhpc_data[category],$C$3)+SUMIFS(dgn_data[tot_order],bhpc_data[size12],$B15,bhpc_data[category],$F$3)</f>
        <v>0</v>
      </c>
      <c r="D15" s="8">
        <f>SUMIFS(dgn_data[unit_net_weight],bhpc_data[size12],$B15,bhpc_data[category],$D$3)+SUMIFS(dgn_data[unit_net_weight],bhpc_data[size12],$B15,bhpc_data[category],$E$3)+SUMIFS(dgn_data[unit_net_weight],bhpc_data[size12],$B15,bhpc_data[category],$C$3)+SUMIFS(dgn_data[unit_net_weight],bhpc_data[size12],$B15,bhpc_data[category],$F$3)</f>
        <v>0</v>
      </c>
      <c r="E15" s="8">
        <f>SUMIFS(dgn_data[unit_gross_weight],bhpc_data[size12],$B15,bhpc_data[category],$D$3)+SUMIFS(dgn_data[unit_gross_weight],bhpc_data[size12],$B15,bhpc_data[category],$E$3)+SUMIFS(dgn_data[unit_gross_weight],bhpc_data[size12],$B15,bhpc_data[category],$C$3)+SUMIFS(dgn_data[unit_gross_weight],bhpc_data[size12],$B15,bhpc_data[category],$F$3)</f>
        <v>0</v>
      </c>
      <c r="F15" s="10">
        <f>SUMIFS(dgn_data[cbm],bhpc_data[size12],$B15,bhpc_data[category],$D$3)+SUMIFS(dgn_data[cbm],bhpc_data[size12],$B15,bhpc_data[category],$E$3)+SUMIFS(dgn_data[cbm],bhpc_data[size12],$B15,bhpc_data[category],$C$3)+SUMIFS(dgn_data[cbm],bhpc_data[size12],$B15,bhpc_data[category],$F$3)</f>
        <v>0</v>
      </c>
      <c r="G15" s="12">
        <f>SUMIFS(dgn_data[tot_order],bhpc_data[size12],$B15,bhpc_data[category],$G$3)</f>
        <v>0</v>
      </c>
      <c r="H15" s="8">
        <f>SUMIFS(dgn_data[unit_net_weight],bhpc_data[size12],$B15,bhpc_data[category],$G$3)</f>
        <v>0</v>
      </c>
      <c r="I15" s="8">
        <f>SUMIFS(dgn_data[unit_gross_weight],bhpc_data[size12],$B15,bhpc_data[category],$G$3)</f>
        <v>0</v>
      </c>
      <c r="J15" s="10">
        <f>SUMIFS(dgn_data[cbm],bhpc_data[size12],$B15,bhpc_data[category],$G$3)</f>
        <v>0</v>
      </c>
      <c r="K15" s="228" t="e">
        <f>SUMIFS(dgn_data[tot_order],bhpc_data[size12],$B15,bhpc_data[category],$K$3)+SUMIFS(dgn_data[tot_order],bhpc_data[size22],$B15,bhpc_data[category],$L$3)</f>
        <v>#REF!</v>
      </c>
      <c r="L15" s="228" t="e">
        <f>SUMIFS(dgn_data[unit_net_weight],bhpc_data[size12],$B15,bhpc_data[category],$K$3)+SUMIFS(dgn_data[unit_net_weight2],bhpc_data[size22],$B15,bhpc_data[category],$L$3)</f>
        <v>#REF!</v>
      </c>
      <c r="M15" s="228" t="e">
        <f>SUMIFS(dgn_data[unit_gross_weight],bhpc_data[size12],$B15,bhpc_data[category],$K$3)+SUMIFS(dgn_data[unit_gross_weight2],bhpc_data[size22],$B15,bhpc_data[category],$L$3)</f>
        <v>#REF!</v>
      </c>
      <c r="N15" s="229" t="e">
        <f>SUMIFS(dgn_data[cbm],bhpc_data[size12],$B15,bhpc_data[category],$K$3)+SUMIFS(dgn_data[cbm2],bhpc_data[size22],$B15,bhpc_data[category],$L$3)</f>
        <v>#REF!</v>
      </c>
      <c r="O15" s="168" t="e">
        <f t="shared" si="0"/>
        <v>#REF!</v>
      </c>
    </row>
    <row r="16" spans="1:18">
      <c r="B16" s="223">
        <f t="array" ref="B16">IFERROR(INDEX(bhpc_data[size12], MATCH(0, COUNTIF($B$9:B15, bhpc_data[size12]&amp;"") + IF(bhpc_data[size12]="",1,0), 0)), "")</f>
        <v>300</v>
      </c>
      <c r="C16" s="12">
        <f>SUMIFS(dgn_data[tot_order],bhpc_data[size12],$B16,bhpc_data[category],$D$3)+SUMIFS(dgn_data[tot_order],bhpc_data[size12],$B16,bhpc_data[category],$E$3)+SUMIFS(dgn_data[tot_order],bhpc_data[size12],$B16,bhpc_data[category],$C$3)+SUMIFS(dgn_data[tot_order],bhpc_data[size12],$B16,bhpc_data[category],$F$3)</f>
        <v>0</v>
      </c>
      <c r="D16" s="8">
        <f>SUMIFS(dgn_data[unit_net_weight],bhpc_data[size12],$B16,bhpc_data[category],$D$3)+SUMIFS(dgn_data[unit_net_weight],bhpc_data[size12],$B16,bhpc_data[category],$E$3)+SUMIFS(dgn_data[unit_net_weight],bhpc_data[size12],$B16,bhpc_data[category],$C$3)+SUMIFS(dgn_data[unit_net_weight],bhpc_data[size12],$B16,bhpc_data[category],$F$3)</f>
        <v>0</v>
      </c>
      <c r="E16" s="8">
        <f>SUMIFS(dgn_data[unit_gross_weight],bhpc_data[size12],$B16,bhpc_data[category],$D$3)+SUMIFS(dgn_data[unit_gross_weight],bhpc_data[size12],$B16,bhpc_data[category],$E$3)+SUMIFS(dgn_data[unit_gross_weight],bhpc_data[size12],$B16,bhpc_data[category],$C$3)+SUMIFS(dgn_data[unit_gross_weight],bhpc_data[size12],$B16,bhpc_data[category],$F$3)</f>
        <v>0</v>
      </c>
      <c r="F16" s="10">
        <f>SUMIFS(dgn_data[cbm],bhpc_data[size12],$B16,bhpc_data[category],$D$3)+SUMIFS(dgn_data[cbm],bhpc_data[size12],$B16,bhpc_data[category],$E$3)+SUMIFS(dgn_data[cbm],bhpc_data[size12],$B16,bhpc_data[category],$C$3)+SUMIFS(dgn_data[cbm],bhpc_data[size12],$B16,bhpc_data[category],$F$3)</f>
        <v>0</v>
      </c>
      <c r="G16" s="12">
        <f>SUMIFS(dgn_data[tot_order],bhpc_data[size12],$B16,bhpc_data[category],$G$3)</f>
        <v>0</v>
      </c>
      <c r="H16" s="8">
        <f>SUMIFS(dgn_data[unit_net_weight],bhpc_data[size12],$B16,bhpc_data[category],$G$3)</f>
        <v>0</v>
      </c>
      <c r="I16" s="8">
        <f>SUMIFS(dgn_data[unit_gross_weight],bhpc_data[size12],$B16,bhpc_data[category],$G$3)</f>
        <v>0</v>
      </c>
      <c r="J16" s="10">
        <f>SUMIFS(dgn_data[cbm],bhpc_data[size12],$B16,bhpc_data[category],$G$3)</f>
        <v>0</v>
      </c>
      <c r="K16" s="228" t="e">
        <f>SUMIFS(dgn_data[tot_order],bhpc_data[size12],$B16,bhpc_data[category],$K$3)+SUMIFS(dgn_data[tot_order],bhpc_data[size22],$B16,bhpc_data[category],$L$3)</f>
        <v>#REF!</v>
      </c>
      <c r="L16" s="228" t="e">
        <f>SUMIFS(dgn_data[unit_net_weight],bhpc_data[size12],$B16,bhpc_data[category],$K$3)+SUMIFS(dgn_data[unit_net_weight2],bhpc_data[size22],$B16,bhpc_data[category],$L$3)</f>
        <v>#REF!</v>
      </c>
      <c r="M16" s="228" t="e">
        <f>SUMIFS(dgn_data[unit_gross_weight],bhpc_data[size12],$B16,bhpc_data[category],$K$3)+SUMIFS(dgn_data[unit_gross_weight2],bhpc_data[size22],$B16,bhpc_data[category],$L$3)</f>
        <v>#REF!</v>
      </c>
      <c r="N16" s="229" t="e">
        <f>SUMIFS(dgn_data[cbm],bhpc_data[size12],$B16,bhpc_data[category],$K$3)+SUMIFS(dgn_data[cbm2],bhpc_data[size22],$B16,bhpc_data[category],$L$3)</f>
        <v>#REF!</v>
      </c>
      <c r="O16" s="168" t="e">
        <f t="shared" si="0"/>
        <v>#REF!</v>
      </c>
    </row>
    <row r="17" spans="2:15">
      <c r="B17" s="223" t="str">
        <f t="array" ref="B17">IFERROR(INDEX(bhpc_data[size12], MATCH(0, COUNTIF($B$9:B16, bhpc_data[size12]&amp;"") + IF(bhpc_data[size12]="",1,0), 0)), "")</f>
        <v/>
      </c>
      <c r="C17" s="12">
        <f>SUMIFS(dgn_data[tot_order],bhpc_data[size12],$B17,bhpc_data[category],$D$3)+SUMIFS(dgn_data[tot_order],bhpc_data[size12],$B17,bhpc_data[category],$E$3)+SUMIFS(dgn_data[tot_order],bhpc_data[size12],$B17,bhpc_data[category],$C$3)+SUMIFS(dgn_data[tot_order],bhpc_data[size12],$B17,bhpc_data[category],$F$3)</f>
        <v>0</v>
      </c>
      <c r="D17" s="8">
        <f>SUMIFS(dgn_data[unit_net_weight],bhpc_data[size12],$B17,bhpc_data[category],$D$3)+SUMIFS(dgn_data[unit_net_weight],bhpc_data[size12],$B17,bhpc_data[category],$E$3)+SUMIFS(dgn_data[unit_net_weight],bhpc_data[size12],$B17,bhpc_data[category],$C$3)+SUMIFS(dgn_data[unit_net_weight],bhpc_data[size12],$B17,bhpc_data[category],$F$3)</f>
        <v>0</v>
      </c>
      <c r="E17" s="8">
        <f>SUMIFS(dgn_data[unit_gross_weight],bhpc_data[size12],$B17,bhpc_data[category],$D$3)+SUMIFS(dgn_data[unit_gross_weight],bhpc_data[size12],$B17,bhpc_data[category],$E$3)+SUMIFS(dgn_data[unit_gross_weight],bhpc_data[size12],$B17,bhpc_data[category],$C$3)+SUMIFS(dgn_data[unit_gross_weight],bhpc_data[size12],$B17,bhpc_data[category],$F$3)</f>
        <v>0</v>
      </c>
      <c r="F17" s="10">
        <f>SUMIFS(dgn_data[cbm],bhpc_data[size12],$B17,bhpc_data[category],$D$3)+SUMIFS(dgn_data[cbm],bhpc_data[size12],$B17,bhpc_data[category],$E$3)+SUMIFS(dgn_data[cbm],bhpc_data[size12],$B17,bhpc_data[category],$C$3)+SUMIFS(dgn_data[cbm],bhpc_data[size12],$B17,bhpc_data[category],$F$3)</f>
        <v>0</v>
      </c>
      <c r="G17" s="12">
        <f>SUMIFS(dgn_data[tot_order],bhpc_data[size12],$B17,bhpc_data[category],$G$3)</f>
        <v>0</v>
      </c>
      <c r="H17" s="8">
        <f>SUMIFS(dgn_data[unit_net_weight],bhpc_data[size12],$B17,bhpc_data[category],$G$3)</f>
        <v>0</v>
      </c>
      <c r="I17" s="8">
        <f>SUMIFS(dgn_data[unit_gross_weight],bhpc_data[size12],$B17,bhpc_data[category],$G$3)</f>
        <v>0</v>
      </c>
      <c r="J17" s="10">
        <f>SUMIFS(dgn_data[cbm],bhpc_data[size12],$B17,bhpc_data[category],$G$3)</f>
        <v>0</v>
      </c>
      <c r="K17" s="8">
        <f>SUMIFS(dgn_data[tot_order],bhpc_data[size12],$B17,bhpc_data[category],$K$3)+SUMIFS(dgn_data[tot_order],bhpc_data[size22],$B17,bhpc_data[category],$L$3)</f>
        <v>0</v>
      </c>
      <c r="L17" s="8">
        <f>SUMIFS(dgn_data[unit_net_weight],bhpc_data[size12],$B17,bhpc_data[category],$K$3)+SUMIFS(dgn_data[unit_net_weight2],bhpc_data[size22],$B17,bhpc_data[category],$L$3)</f>
        <v>0</v>
      </c>
      <c r="M17" s="8">
        <f>SUMIFS(dgn_data[unit_gross_weight],bhpc_data[size12],$B17,bhpc_data[category],$K$3)+SUMIFS(dgn_data[unit_gross_weight2],bhpc_data[size22],$B17,bhpc_data[category],$L$3)</f>
        <v>0</v>
      </c>
      <c r="N17" s="10">
        <f>SUMIFS(dgn_data[cbm],bhpc_data[size12],$B17,bhpc_data[category],$K$3)+SUMIFS(dgn_data[cbm2],bhpc_data[size22],$B17,bhpc_data[category],$L$3)</f>
        <v>0</v>
      </c>
      <c r="O17" s="168">
        <f t="shared" si="0"/>
        <v>0</v>
      </c>
    </row>
    <row r="18" spans="2:15">
      <c r="B18" s="223" t="str">
        <f t="array" ref="B18">IFERROR(INDEX(bhpc_data[size12], MATCH(0, COUNTIF($B$9:B17, bhpc_data[size12]&amp;"") + IF(bhpc_data[size12]="",1,0), 0)), "")</f>
        <v/>
      </c>
      <c r="C18" s="12">
        <f>SUMIFS(dgn_data[tot_order],bhpc_data[size12],$B18,bhpc_data[category],$D$3)+SUMIFS(dgn_data[tot_order],bhpc_data[size12],$B18,bhpc_data[category],$E$3)+SUMIFS(dgn_data[tot_order],bhpc_data[size12],$B18,bhpc_data[category],$C$3)+SUMIFS(dgn_data[tot_order],bhpc_data[size12],$B18,bhpc_data[category],$F$3)</f>
        <v>0</v>
      </c>
      <c r="D18" s="8">
        <f>SUMIFS(dgn_data[unit_net_weight],bhpc_data[size12],$B18,bhpc_data[category],$D$3)+SUMIFS(dgn_data[unit_net_weight],bhpc_data[size12],$B18,bhpc_data[category],$E$3)+SUMIFS(dgn_data[unit_net_weight],bhpc_data[size12],$B18,bhpc_data[category],$C$3)+SUMIFS(dgn_data[unit_net_weight],bhpc_data[size12],$B18,bhpc_data[category],$F$3)</f>
        <v>0</v>
      </c>
      <c r="E18" s="8">
        <f>SUMIFS(dgn_data[unit_gross_weight],bhpc_data[size12],$B18,bhpc_data[category],$D$3)+SUMIFS(dgn_data[unit_gross_weight],bhpc_data[size12],$B18,bhpc_data[category],$E$3)+SUMIFS(dgn_data[unit_gross_weight],bhpc_data[size12],$B18,bhpc_data[category],$C$3)+SUMIFS(dgn_data[unit_gross_weight],bhpc_data[size12],$B18,bhpc_data[category],$F$3)</f>
        <v>0</v>
      </c>
      <c r="F18" s="10">
        <f>SUMIFS(dgn_data[cbm],bhpc_data[size12],$B18,bhpc_data[category],$D$3)+SUMIFS(dgn_data[cbm],bhpc_data[size12],$B18,bhpc_data[category],$E$3)+SUMIFS(dgn_data[cbm],bhpc_data[size12],$B18,bhpc_data[category],$C$3)+SUMIFS(dgn_data[cbm],bhpc_data[size12],$B18,bhpc_data[category],$F$3)</f>
        <v>0</v>
      </c>
      <c r="G18" s="12">
        <f>SUMIFS(dgn_data[tot_order],bhpc_data[size12],$B18,bhpc_data[category],$G$3)</f>
        <v>0</v>
      </c>
      <c r="H18" s="8">
        <f>SUMIFS(dgn_data[unit_net_weight],bhpc_data[size12],$B18,bhpc_data[category],$G$3)</f>
        <v>0</v>
      </c>
      <c r="I18" s="8">
        <f>SUMIFS(dgn_data[unit_gross_weight],bhpc_data[size12],$B18,bhpc_data[category],$G$3)</f>
        <v>0</v>
      </c>
      <c r="J18" s="10">
        <f>SUMIFS(dgn_data[cbm],bhpc_data[size12],$B18,bhpc_data[category],$G$3)</f>
        <v>0</v>
      </c>
      <c r="K18" s="8">
        <f>SUMIFS(dgn_data[tot_order],bhpc_data[size12],$B18,bhpc_data[category],$K$3)+SUMIFS(dgn_data[tot_order],bhpc_data[size22],$B18,bhpc_data[category],$L$3)</f>
        <v>0</v>
      </c>
      <c r="L18" s="8">
        <f>SUMIFS(dgn_data[unit_net_weight],bhpc_data[size12],$B18,bhpc_data[category],$K$3)+SUMIFS(dgn_data[unit_net_weight2],bhpc_data[size22],$B18,bhpc_data[category],$L$3)</f>
        <v>0</v>
      </c>
      <c r="M18" s="8">
        <f>SUMIFS(dgn_data[unit_gross_weight],bhpc_data[size12],$B18,bhpc_data[category],$K$3)+SUMIFS(dgn_data[unit_gross_weight2],bhpc_data[size22],$B18,bhpc_data[category],$L$3)</f>
        <v>0</v>
      </c>
      <c r="N18" s="10">
        <f>SUMIFS(dgn_data[cbm],bhpc_data[size12],$B18,bhpc_data[category],$K$3)+SUMIFS(dgn_data[cbm2],bhpc_data[size22],$B18,bhpc_data[category],$L$3)</f>
        <v>0</v>
      </c>
      <c r="O18" s="168">
        <f t="shared" si="0"/>
        <v>0</v>
      </c>
    </row>
    <row r="19" spans="2:15">
      <c r="B19" s="223" t="str">
        <f t="array" ref="B19">IFERROR(INDEX(bhpc_data[size12], MATCH(0, COUNTIF($B$9:B18, bhpc_data[size12]&amp;"") + IF(bhpc_data[size12]="",1,0), 0)), "")</f>
        <v/>
      </c>
      <c r="C19" s="12">
        <f>SUMIFS(dgn_data[tot_order],bhpc_data[size12],$B19,bhpc_data[category],$D$3)+SUMIFS(dgn_data[tot_order],bhpc_data[size12],$B19,bhpc_data[category],$E$3)+SUMIFS(dgn_data[tot_order],bhpc_data[size12],$B19,bhpc_data[category],$C$3)+SUMIFS(dgn_data[tot_order],bhpc_data[size12],$B19,bhpc_data[category],$F$3)</f>
        <v>0</v>
      </c>
      <c r="D19" s="8">
        <f>SUMIFS(dgn_data[unit_net_weight],bhpc_data[size12],$B19,bhpc_data[category],$D$3)+SUMIFS(dgn_data[unit_net_weight],bhpc_data[size12],$B19,bhpc_data[category],$E$3)+SUMIFS(dgn_data[unit_net_weight],bhpc_data[size12],$B19,bhpc_data[category],$C$3)+SUMIFS(dgn_data[unit_net_weight],bhpc_data[size12],$B19,bhpc_data[category],$F$3)</f>
        <v>0</v>
      </c>
      <c r="E19" s="8">
        <f>SUMIFS(dgn_data[unit_gross_weight],bhpc_data[size12],$B19,bhpc_data[category],$D$3)+SUMIFS(dgn_data[unit_gross_weight],bhpc_data[size12],$B19,bhpc_data[category],$E$3)+SUMIFS(dgn_data[unit_gross_weight],bhpc_data[size12],$B19,bhpc_data[category],$C$3)+SUMIFS(dgn_data[unit_gross_weight],bhpc_data[size12],$B19,bhpc_data[category],$F$3)</f>
        <v>0</v>
      </c>
      <c r="F19" s="10">
        <f>SUMIFS(dgn_data[cbm],bhpc_data[size12],$B19,bhpc_data[category],$D$3)+SUMIFS(dgn_data[cbm],bhpc_data[size12],$B19,bhpc_data[category],$E$3)+SUMIFS(dgn_data[cbm],bhpc_data[size12],$B19,bhpc_data[category],$C$3)+SUMIFS(dgn_data[cbm],bhpc_data[size12],$B19,bhpc_data[category],$F$3)</f>
        <v>0</v>
      </c>
      <c r="G19" s="12">
        <f>SUMIFS(dgn_data[tot_order],bhpc_data[size12],$B19,bhpc_data[category],$G$3)</f>
        <v>0</v>
      </c>
      <c r="H19" s="8">
        <f>SUMIFS(dgn_data[unit_net_weight],bhpc_data[size12],$B19,bhpc_data[category],$G$3)</f>
        <v>0</v>
      </c>
      <c r="I19" s="8">
        <f>SUMIFS(dgn_data[unit_gross_weight],bhpc_data[size12],$B19,bhpc_data[category],$G$3)</f>
        <v>0</v>
      </c>
      <c r="J19" s="10">
        <f>SUMIFS(dgn_data[cbm],bhpc_data[size12],$B19,bhpc_data[category],$G$3)</f>
        <v>0</v>
      </c>
      <c r="K19" s="8">
        <f>SUMIFS(dgn_data[tot_order],bhpc_data[size12],$B19,bhpc_data[category],$K$3)+SUMIFS(dgn_data[tot_order],bhpc_data[size22],$B19,bhpc_data[category],$L$3)</f>
        <v>0</v>
      </c>
      <c r="L19" s="8">
        <f>SUMIFS(dgn_data[unit_net_weight],bhpc_data[size12],$B19,bhpc_data[category],$K$3)+SUMIFS(dgn_data[unit_net_weight2],bhpc_data[size22],$B19,bhpc_data[category],$L$3)</f>
        <v>0</v>
      </c>
      <c r="M19" s="8">
        <f>SUMIFS(dgn_data[unit_gross_weight],bhpc_data[size12],$B19,bhpc_data[category],$K$3)+SUMIFS(dgn_data[unit_gross_weight2],bhpc_data[size22],$B19,bhpc_data[category],$L$3)</f>
        <v>0</v>
      </c>
      <c r="N19" s="10">
        <f>SUMIFS(dgn_data[cbm],bhpc_data[size12],$B19,bhpc_data[category],$K$3)+SUMIFS(dgn_data[cbm2],bhpc_data[size22],$B19,bhpc_data[category],$L$3)</f>
        <v>0</v>
      </c>
      <c r="O19" s="168">
        <f t="shared" si="0"/>
        <v>0</v>
      </c>
    </row>
    <row r="20" spans="2:15">
      <c r="B20" s="223" t="str">
        <f t="array" ref="B20">IFERROR(INDEX(bhpc_data[size12], MATCH(0, COUNTIF($B$9:B19, bhpc_data[size12]&amp;"") + IF(bhpc_data[size12]="",1,0), 0)), "")</f>
        <v/>
      </c>
      <c r="C20" s="12">
        <f>SUMIFS(dgn_data[tot_order],bhpc_data[size12],$B20,bhpc_data[category],$D$3)+SUMIFS(dgn_data[tot_order],bhpc_data[size12],$B20,bhpc_data[category],$E$3)+SUMIFS(dgn_data[tot_order],bhpc_data[size12],$B20,bhpc_data[category],$C$3)+SUMIFS(dgn_data[tot_order],bhpc_data[size12],$B20,bhpc_data[category],$F$3)</f>
        <v>0</v>
      </c>
      <c r="D20" s="8">
        <f>SUMIFS(dgn_data[unit_net_weight],bhpc_data[size12],$B20,bhpc_data[category],$D$3)+SUMIFS(dgn_data[unit_net_weight],bhpc_data[size12],$B20,bhpc_data[category],$E$3)+SUMIFS(dgn_data[unit_net_weight],bhpc_data[size12],$B20,bhpc_data[category],$C$3)+SUMIFS(dgn_data[unit_net_weight],bhpc_data[size12],$B20,bhpc_data[category],$F$3)</f>
        <v>0</v>
      </c>
      <c r="E20" s="8">
        <f>SUMIFS(dgn_data[unit_gross_weight],bhpc_data[size12],$B20,bhpc_data[category],$D$3)+SUMIFS(dgn_data[unit_gross_weight],bhpc_data[size12],$B20,bhpc_data[category],$E$3)+SUMIFS(dgn_data[unit_gross_weight],bhpc_data[size12],$B20,bhpc_data[category],$C$3)+SUMIFS(dgn_data[unit_gross_weight],bhpc_data[size12],$B20,bhpc_data[category],$F$3)</f>
        <v>0</v>
      </c>
      <c r="F20" s="10">
        <f>SUMIFS(dgn_data[cbm],bhpc_data[size12],$B20,bhpc_data[category],$D$3)+SUMIFS(dgn_data[cbm],bhpc_data[size12],$B20,bhpc_data[category],$E$3)+SUMIFS(dgn_data[cbm],bhpc_data[size12],$B20,bhpc_data[category],$C$3)+SUMIFS(dgn_data[cbm],bhpc_data[size12],$B20,bhpc_data[category],$F$3)</f>
        <v>0</v>
      </c>
      <c r="G20" s="12">
        <f>SUMIFS(dgn_data[tot_order],bhpc_data[size12],$B20,bhpc_data[category],$G$3)</f>
        <v>0</v>
      </c>
      <c r="H20" s="8">
        <f>SUMIFS(dgn_data[unit_net_weight],bhpc_data[size12],$B20,bhpc_data[category],$G$3)</f>
        <v>0</v>
      </c>
      <c r="I20" s="8">
        <f>SUMIFS(dgn_data[unit_gross_weight],bhpc_data[size12],$B20,bhpc_data[category],$G$3)</f>
        <v>0</v>
      </c>
      <c r="J20" s="10">
        <f>SUMIFS(dgn_data[cbm],bhpc_data[size12],$B20,bhpc_data[category],$G$3)</f>
        <v>0</v>
      </c>
      <c r="K20" s="8">
        <f>SUMIFS(dgn_data[tot_order],bhpc_data[size12],$B20,bhpc_data[category],$K$3)+SUMIFS(dgn_data[tot_order],bhpc_data[size22],$B20,bhpc_data[category],$L$3)</f>
        <v>0</v>
      </c>
      <c r="L20" s="8">
        <f>SUMIFS(dgn_data[unit_net_weight],bhpc_data[size12],$B20,bhpc_data[category],$K$3)+SUMIFS(dgn_data[unit_net_weight2],bhpc_data[size22],$B20,bhpc_data[category],$L$3)</f>
        <v>0</v>
      </c>
      <c r="M20" s="8">
        <f>SUMIFS(dgn_data[unit_gross_weight],bhpc_data[size12],$B20,bhpc_data[category],$K$3)+SUMIFS(dgn_data[unit_gross_weight2],bhpc_data[size22],$B20,bhpc_data[category],$L$3)</f>
        <v>0</v>
      </c>
      <c r="N20" s="10">
        <f>SUMIFS(dgn_data[cbm],bhpc_data[size12],$B20,bhpc_data[category],$K$3)+SUMIFS(dgn_data[cbm2],bhpc_data[size22],$B20,bhpc_data[category],$L$3)</f>
        <v>0</v>
      </c>
      <c r="O20" s="168">
        <f t="shared" si="0"/>
        <v>0</v>
      </c>
    </row>
    <row r="21" spans="2:15">
      <c r="B21" s="223" t="str">
        <f t="array" ref="B21">IFERROR(INDEX(bhpc_data[size12], MATCH(0, COUNTIF($B$9:B20, bhpc_data[size12]&amp;"") + IF(bhpc_data[size12]="",1,0), 0)), "")</f>
        <v/>
      </c>
      <c r="C21" s="12">
        <f>SUMIFS(dgn_data[tot_order],bhpc_data[size12],$B21,bhpc_data[category],$D$3)+SUMIFS(dgn_data[tot_order],bhpc_data[size12],$B21,bhpc_data[category],$E$3)+SUMIFS(dgn_data[tot_order],bhpc_data[size12],$B21,bhpc_data[category],$C$3)+SUMIFS(dgn_data[tot_order],bhpc_data[size12],$B21,bhpc_data[category],$F$3)</f>
        <v>0</v>
      </c>
      <c r="D21" s="8">
        <f>SUMIFS(dgn_data[unit_net_weight],bhpc_data[size12],$B21,bhpc_data[category],$D$3)+SUMIFS(dgn_data[unit_net_weight],bhpc_data[size12],$B21,bhpc_data[category],$E$3)+SUMIFS(dgn_data[unit_net_weight],bhpc_data[size12],$B21,bhpc_data[category],$C$3)+SUMIFS(dgn_data[unit_net_weight],bhpc_data[size12],$B21,bhpc_data[category],$F$3)</f>
        <v>0</v>
      </c>
      <c r="E21" s="8">
        <f>SUMIFS(dgn_data[unit_gross_weight],bhpc_data[size12],$B21,bhpc_data[category],$D$3)+SUMIFS(dgn_data[unit_gross_weight],bhpc_data[size12],$B21,bhpc_data[category],$E$3)+SUMIFS(dgn_data[unit_gross_weight],bhpc_data[size12],$B21,bhpc_data[category],$C$3)+SUMIFS(dgn_data[unit_gross_weight],bhpc_data[size12],$B21,bhpc_data[category],$F$3)</f>
        <v>0</v>
      </c>
      <c r="F21" s="10">
        <f>SUMIFS(dgn_data[cbm],bhpc_data[size12],$B21,bhpc_data[category],$D$3)+SUMIFS(dgn_data[cbm],bhpc_data[size12],$B21,bhpc_data[category],$E$3)+SUMIFS(dgn_data[cbm],bhpc_data[size12],$B21,bhpc_data[category],$C$3)+SUMIFS(dgn_data[cbm],bhpc_data[size12],$B21,bhpc_data[category],$F$3)</f>
        <v>0</v>
      </c>
      <c r="G21" s="12">
        <f>SUMIFS(dgn_data[tot_order],bhpc_data[size12],$B21,bhpc_data[category],$G$3)</f>
        <v>0</v>
      </c>
      <c r="H21" s="8">
        <f>SUMIFS(dgn_data[unit_net_weight],bhpc_data[size12],$B21,bhpc_data[category],$G$3)</f>
        <v>0</v>
      </c>
      <c r="I21" s="8">
        <f>SUMIFS(dgn_data[unit_gross_weight],bhpc_data[size12],$B21,bhpc_data[category],$G$3)</f>
        <v>0</v>
      </c>
      <c r="J21" s="10">
        <f>SUMIFS(dgn_data[cbm],bhpc_data[size12],$B21,bhpc_data[category],$G$3)</f>
        <v>0</v>
      </c>
      <c r="K21" s="8">
        <f>SUMIFS(dgn_data[tot_order],bhpc_data[size12],$B21,bhpc_data[category],$K$3)+SUMIFS(dgn_data[tot_order],bhpc_data[size22],$B21,bhpc_data[category],$L$3)</f>
        <v>0</v>
      </c>
      <c r="L21" s="8">
        <f>SUMIFS(dgn_data[unit_net_weight],bhpc_data[size12],$B21,bhpc_data[category],$K$3)+SUMIFS(dgn_data[unit_net_weight2],bhpc_data[size22],$B21,bhpc_data[category],$L$3)</f>
        <v>0</v>
      </c>
      <c r="M21" s="8">
        <f>SUMIFS(dgn_data[unit_gross_weight],bhpc_data[size12],$B21,bhpc_data[category],$K$3)+SUMIFS(dgn_data[unit_gross_weight2],bhpc_data[size22],$B21,bhpc_data[category],$L$3)</f>
        <v>0</v>
      </c>
      <c r="N21" s="10">
        <f>SUMIFS(dgn_data[cbm],bhpc_data[size12],$B21,bhpc_data[category],$K$3)+SUMIFS(dgn_data[cbm2],bhpc_data[size22],$B21,bhpc_data[category],$L$3)</f>
        <v>0</v>
      </c>
      <c r="O21" s="168">
        <f t="shared" si="0"/>
        <v>0</v>
      </c>
    </row>
    <row r="22" spans="2:15">
      <c r="B22" s="223" t="str">
        <f t="array" ref="B22">IFERROR(INDEX(bhpc_data[size12], MATCH(0, COUNTIF($B$9:B21, bhpc_data[size12]&amp;"") + IF(bhpc_data[size12]="",1,0), 0)), "")</f>
        <v/>
      </c>
      <c r="C22" s="12">
        <f>SUMIFS(dgn_data[tot_order],bhpc_data[size12],$B22,bhpc_data[category],$D$3)+SUMIFS(dgn_data[tot_order],bhpc_data[size12],$B22,bhpc_data[category],$E$3)+SUMIFS(dgn_data[tot_order],bhpc_data[size12],$B22,bhpc_data[category],$C$3)+SUMIFS(dgn_data[tot_order],bhpc_data[size12],$B22,bhpc_data[category],$F$3)</f>
        <v>0</v>
      </c>
      <c r="D22" s="8">
        <f>SUMIFS(dgn_data[unit_net_weight],bhpc_data[size12],$B22,bhpc_data[category],$D$3)+SUMIFS(dgn_data[unit_net_weight],bhpc_data[size12],$B22,bhpc_data[category],$E$3)+SUMIFS(dgn_data[unit_net_weight],bhpc_data[size12],$B22,bhpc_data[category],$C$3)+SUMIFS(dgn_data[unit_net_weight],bhpc_data[size12],$B22,bhpc_data[category],$F$3)</f>
        <v>0</v>
      </c>
      <c r="E22" s="8">
        <f>SUMIFS(dgn_data[unit_gross_weight],bhpc_data[size12],$B22,bhpc_data[category],$D$3)+SUMIFS(dgn_data[unit_gross_weight],bhpc_data[size12],$B22,bhpc_data[category],$E$3)+SUMIFS(dgn_data[unit_gross_weight],bhpc_data[size12],$B22,bhpc_data[category],$C$3)+SUMIFS(dgn_data[unit_gross_weight],bhpc_data[size12],$B22,bhpc_data[category],$F$3)</f>
        <v>0</v>
      </c>
      <c r="F22" s="10">
        <f>SUMIFS(dgn_data[cbm],bhpc_data[size12],$B22,bhpc_data[category],$D$3)+SUMIFS(dgn_data[cbm],bhpc_data[size12],$B22,bhpc_data[category],$E$3)+SUMIFS(dgn_data[cbm],bhpc_data[size12],$B22,bhpc_data[category],$C$3)+SUMIFS(dgn_data[cbm],bhpc_data[size12],$B22,bhpc_data[category],$F$3)</f>
        <v>0</v>
      </c>
      <c r="G22" s="12">
        <f>SUMIFS(dgn_data[tot_order],bhpc_data[size12],$B22,bhpc_data[category],$G$3)</f>
        <v>0</v>
      </c>
      <c r="H22" s="8">
        <f>SUMIFS(dgn_data[unit_net_weight],bhpc_data[size12],$B22,bhpc_data[category],$G$3)</f>
        <v>0</v>
      </c>
      <c r="I22" s="8">
        <f>SUMIFS(dgn_data[unit_gross_weight],bhpc_data[size12],$B22,bhpc_data[category],$G$3)</f>
        <v>0</v>
      </c>
      <c r="J22" s="10">
        <f>SUMIFS(dgn_data[cbm],bhpc_data[size12],$B22,bhpc_data[category],$G$3)</f>
        <v>0</v>
      </c>
      <c r="K22" s="8">
        <f>SUMIFS(dgn_data[tot_order],bhpc_data[size12],$B22,bhpc_data[category],$K$3)+SUMIFS(dgn_data[tot_order],bhpc_data[size22],$B22,bhpc_data[category],$L$3)</f>
        <v>0</v>
      </c>
      <c r="L22" s="8">
        <f>SUMIFS(dgn_data[unit_net_weight],bhpc_data[size12],$B22,bhpc_data[category],$K$3)+SUMIFS(dgn_data[unit_net_weight2],bhpc_data[size22],$B22,bhpc_data[category],$L$3)</f>
        <v>0</v>
      </c>
      <c r="M22" s="8">
        <f>SUMIFS(dgn_data[unit_gross_weight],bhpc_data[size12],$B22,bhpc_data[category],$K$3)+SUMIFS(dgn_data[unit_gross_weight2],bhpc_data[size22],$B22,bhpc_data[category],$L$3)</f>
        <v>0</v>
      </c>
      <c r="N22" s="10">
        <f>SUMIFS(dgn_data[cbm],bhpc_data[size12],$B22,bhpc_data[category],$K$3)+SUMIFS(dgn_data[cbm2],bhpc_data[size22],$B22,bhpc_data[category],$L$3)</f>
        <v>0</v>
      </c>
      <c r="O22" s="168">
        <f t="shared" si="0"/>
        <v>0</v>
      </c>
    </row>
    <row r="23" spans="2:15">
      <c r="B23" s="223" t="str">
        <f t="array" ref="B23">IFERROR(INDEX(bhpc_data[size12], MATCH(0, COUNTIF($B$9:B22, bhpc_data[size12]&amp;"") + IF(bhpc_data[size12]="",1,0), 0)), "")</f>
        <v/>
      </c>
      <c r="C23" s="12">
        <f>SUMIFS(dgn_data[tot_order],bhpc_data[size12],$B23,bhpc_data[category],$D$3)+SUMIFS(dgn_data[tot_order],bhpc_data[size12],$B23,bhpc_data[category],$E$3)+SUMIFS(dgn_data[tot_order],bhpc_data[size12],$B23,bhpc_data[category],$C$3)+SUMIFS(dgn_data[tot_order],bhpc_data[size12],$B23,bhpc_data[category],$F$3)</f>
        <v>0</v>
      </c>
      <c r="D23" s="8">
        <f>SUMIFS(dgn_data[unit_net_weight],bhpc_data[size12],$B23,bhpc_data[category],$D$3)+SUMIFS(dgn_data[unit_net_weight],bhpc_data[size12],$B23,bhpc_data[category],$E$3)+SUMIFS(dgn_data[unit_net_weight],bhpc_data[size12],$B23,bhpc_data[category],$C$3)+SUMIFS(dgn_data[unit_net_weight],bhpc_data[size12],$B23,bhpc_data[category],$F$3)</f>
        <v>0</v>
      </c>
      <c r="E23" s="8">
        <f>SUMIFS(dgn_data[unit_gross_weight],bhpc_data[size12],$B23,bhpc_data[category],$D$3)+SUMIFS(dgn_data[unit_gross_weight],bhpc_data[size12],$B23,bhpc_data[category],$E$3)+SUMIFS(dgn_data[unit_gross_weight],bhpc_data[size12],$B23,bhpc_data[category],$C$3)+SUMIFS(dgn_data[unit_gross_weight],bhpc_data[size12],$B23,bhpc_data[category],$F$3)</f>
        <v>0</v>
      </c>
      <c r="F23" s="10">
        <f>SUMIFS(dgn_data[cbm],bhpc_data[size12],$B23,bhpc_data[category],$D$3)+SUMIFS(dgn_data[cbm],bhpc_data[size12],$B23,bhpc_data[category],$E$3)+SUMIFS(dgn_data[cbm],bhpc_data[size12],$B23,bhpc_data[category],$C$3)+SUMIFS(dgn_data[cbm],bhpc_data[size12],$B23,bhpc_data[category],$F$3)</f>
        <v>0</v>
      </c>
      <c r="G23" s="12">
        <f>SUMIFS(dgn_data[tot_order],bhpc_data[size12],$B23,bhpc_data[category],$G$3)</f>
        <v>0</v>
      </c>
      <c r="H23" s="8">
        <f>SUMIFS(dgn_data[unit_net_weight],bhpc_data[size12],$B23,bhpc_data[category],$G$3)</f>
        <v>0</v>
      </c>
      <c r="I23" s="8">
        <f>SUMIFS(dgn_data[unit_gross_weight],bhpc_data[size12],$B23,bhpc_data[category],$G$3)</f>
        <v>0</v>
      </c>
      <c r="J23" s="10">
        <f>SUMIFS(dgn_data[cbm],bhpc_data[size12],$B23,bhpc_data[category],$G$3)</f>
        <v>0</v>
      </c>
      <c r="K23" s="8">
        <f>SUMIFS(dgn_data[tot_order],bhpc_data[size12],$B23,bhpc_data[category],$K$3)+SUMIFS(dgn_data[tot_order],bhpc_data[size22],$B23,bhpc_data[category],$L$3)</f>
        <v>0</v>
      </c>
      <c r="L23" s="8">
        <f>SUMIFS(dgn_data[unit_net_weight],bhpc_data[size12],$B23,bhpc_data[category],$K$3)+SUMIFS(dgn_data[unit_net_weight2],bhpc_data[size22],$B23,bhpc_data[category],$L$3)</f>
        <v>0</v>
      </c>
      <c r="M23" s="8">
        <f>SUMIFS(dgn_data[unit_gross_weight],bhpc_data[size12],$B23,bhpc_data[category],$K$3)+SUMIFS(dgn_data[unit_gross_weight2],bhpc_data[size22],$B23,bhpc_data[category],$L$3)</f>
        <v>0</v>
      </c>
      <c r="N23" s="10">
        <f>SUMIFS(dgn_data[cbm],bhpc_data[size12],$B23,bhpc_data[category],$K$3)+SUMIFS(dgn_data[cbm2],bhpc_data[size22],$B23,bhpc_data[category],$L$3)</f>
        <v>0</v>
      </c>
      <c r="O23" s="168">
        <f t="shared" si="0"/>
        <v>0</v>
      </c>
    </row>
    <row r="24" spans="2:15">
      <c r="B24" s="223" t="str">
        <f t="array" ref="B24">IFERROR(INDEX(bhpc_data[size12], MATCH(0, COUNTIF($B$9:B23, bhpc_data[size12]&amp;"") + IF(bhpc_data[size12]="",1,0), 0)), "")</f>
        <v/>
      </c>
      <c r="C24" s="12">
        <f>SUMIFS(dgn_data[tot_order],bhpc_data[size12],$B24,bhpc_data[category],$D$3)+SUMIFS(dgn_data[tot_order],bhpc_data[size12],$B24,bhpc_data[category],$E$3)+SUMIFS(dgn_data[tot_order],bhpc_data[size12],$B24,bhpc_data[category],$C$3)+SUMIFS(dgn_data[tot_order],bhpc_data[size12],$B24,bhpc_data[category],$F$3)</f>
        <v>0</v>
      </c>
      <c r="D24" s="8">
        <f>SUMIFS(dgn_data[unit_net_weight],bhpc_data[size12],$B24,bhpc_data[category],$D$3)+SUMIFS(dgn_data[unit_net_weight],bhpc_data[size12],$B24,bhpc_data[category],$E$3)+SUMIFS(dgn_data[unit_net_weight],bhpc_data[size12],$B24,bhpc_data[category],$C$3)+SUMIFS(dgn_data[unit_net_weight],bhpc_data[size12],$B24,bhpc_data[category],$F$3)</f>
        <v>0</v>
      </c>
      <c r="E24" s="8">
        <f>SUMIFS(dgn_data[unit_gross_weight],bhpc_data[size12],$B24,bhpc_data[category],$D$3)+SUMIFS(dgn_data[unit_gross_weight],bhpc_data[size12],$B24,bhpc_data[category],$E$3)+SUMIFS(dgn_data[unit_gross_weight],bhpc_data[size12],$B24,bhpc_data[category],$C$3)+SUMIFS(dgn_data[unit_gross_weight],bhpc_data[size12],$B24,bhpc_data[category],$F$3)</f>
        <v>0</v>
      </c>
      <c r="F24" s="10">
        <f>SUMIFS(dgn_data[cbm],bhpc_data[size12],$B24,bhpc_data[category],$D$3)+SUMIFS(dgn_data[cbm],bhpc_data[size12],$B24,bhpc_data[category],$E$3)+SUMIFS(dgn_data[cbm],bhpc_data[size12],$B24,bhpc_data[category],$C$3)+SUMIFS(dgn_data[cbm],bhpc_data[size12],$B24,bhpc_data[category],$F$3)</f>
        <v>0</v>
      </c>
      <c r="G24" s="12">
        <f>SUMIFS(dgn_data[tot_order],bhpc_data[size12],$B24,bhpc_data[category],$G$3)</f>
        <v>0</v>
      </c>
      <c r="H24" s="8">
        <f>SUMIFS(dgn_data[unit_net_weight],bhpc_data[size12],$B24,bhpc_data[category],$G$3)</f>
        <v>0</v>
      </c>
      <c r="I24" s="8">
        <f>SUMIFS(dgn_data[unit_gross_weight],bhpc_data[size12],$B24,bhpc_data[category],$G$3)</f>
        <v>0</v>
      </c>
      <c r="J24" s="10">
        <f>SUMIFS(dgn_data[cbm],bhpc_data[size12],$B24,bhpc_data[category],$G$3)</f>
        <v>0</v>
      </c>
      <c r="K24" s="8">
        <f>SUMIFS(dgn_data[tot_order],bhpc_data[size12],$B24,bhpc_data[category],$K$3)+SUMIFS(dgn_data[tot_order],bhpc_data[size22],$B24,bhpc_data[category],$L$3)</f>
        <v>0</v>
      </c>
      <c r="L24" s="8">
        <f>SUMIFS(dgn_data[unit_net_weight],bhpc_data[size12],$B24,bhpc_data[category],$K$3)+SUMIFS(dgn_data[unit_net_weight2],bhpc_data[size22],$B24,bhpc_data[category],$L$3)</f>
        <v>0</v>
      </c>
      <c r="M24" s="8">
        <f>SUMIFS(dgn_data[unit_gross_weight],bhpc_data[size12],$B24,bhpc_data[category],$K$3)+SUMIFS(dgn_data[unit_gross_weight2],bhpc_data[size22],$B24,bhpc_data[category],$L$3)</f>
        <v>0</v>
      </c>
      <c r="N24" s="10">
        <f>SUMIFS(dgn_data[cbm],bhpc_data[size12],$B24,bhpc_data[category],$K$3)+SUMIFS(dgn_data[cbm2],bhpc_data[size22],$B24,bhpc_data[category],$L$3)</f>
        <v>0</v>
      </c>
      <c r="O24" s="168">
        <f t="shared" si="0"/>
        <v>0</v>
      </c>
    </row>
    <row r="25" spans="2:15">
      <c r="B25" s="223" t="str">
        <f t="array" ref="B25">IFERROR(INDEX(bhpc_data[size12], MATCH(0, COUNTIF($B$9:B24, bhpc_data[size12]&amp;"") + IF(bhpc_data[size12]="",1,0), 0)), "")</f>
        <v/>
      </c>
      <c r="C25" s="13">
        <f>SUMIFS(dgn_data[tot_order],bhpc_data[size12],$B25,bhpc_data[category],$D$3)+SUMIFS(dgn_data[tot_order],bhpc_data[size12],$B25,bhpc_data[category],$E$3)+SUMIFS(dgn_data[tot_order],bhpc_data[size12],$B25,bhpc_data[category],$C$3)+SUMIFS(dgn_data[tot_order],bhpc_data[size12],$B25,bhpc_data[category],$F$3)</f>
        <v>0</v>
      </c>
      <c r="D25" s="9">
        <f>SUMIFS(dgn_data[unit_net_weight],bhpc_data[size12],$B25,bhpc_data[category],$D$3)+SUMIFS(dgn_data[unit_net_weight],bhpc_data[size12],$B25,bhpc_data[category],$E$3)+SUMIFS(dgn_data[unit_net_weight],bhpc_data[size12],$B25,bhpc_data[category],$C$3)+SUMIFS(dgn_data[unit_net_weight],bhpc_data[size12],$B25,bhpc_data[category],$F$3)</f>
        <v>0</v>
      </c>
      <c r="E25" s="9">
        <f>SUMIFS(dgn_data[unit_gross_weight],bhpc_data[size12],$B25,bhpc_data[category],$D$3)+SUMIFS(dgn_data[unit_gross_weight],bhpc_data[size12],$B25,bhpc_data[category],$E$3)+SUMIFS(dgn_data[unit_gross_weight],bhpc_data[size12],$B25,bhpc_data[category],$C$3)+SUMIFS(dgn_data[unit_gross_weight],bhpc_data[size12],$B25,bhpc_data[category],$F$3)</f>
        <v>0</v>
      </c>
      <c r="F25" s="11">
        <f>SUMIFS(dgn_data[cbm],bhpc_data[size12],$B25,bhpc_data[category],$D$3)+SUMIFS(dgn_data[cbm],bhpc_data[size12],$B25,bhpc_data[category],$E$3)+SUMIFS(dgn_data[cbm],bhpc_data[size12],$B25,bhpc_data[category],$C$3)+SUMIFS(dgn_data[cbm],bhpc_data[size12],$B25,bhpc_data[category],$F$3)</f>
        <v>0</v>
      </c>
      <c r="G25" s="13">
        <f>SUMIFS(dgn_data[tot_order],bhpc_data[size12],$B25,bhpc_data[category],$G$3)</f>
        <v>0</v>
      </c>
      <c r="H25" s="9">
        <f>SUMIFS(dgn_data[unit_net_weight],bhpc_data[size12],$B25,bhpc_data[category],$G$3)</f>
        <v>0</v>
      </c>
      <c r="I25" s="9">
        <f>SUMIFS(dgn_data[unit_gross_weight],bhpc_data[size12],$B25,bhpc_data[category],$G$3)</f>
        <v>0</v>
      </c>
      <c r="J25" s="11">
        <f>SUMIFS(dgn_data[cbm],bhpc_data[size12],$B25,bhpc_data[category],$G$3)</f>
        <v>0</v>
      </c>
      <c r="K25" s="9">
        <f>SUMIFS(dgn_data[tot_order],bhpc_data[size12],$B25,bhpc_data[category],$K$3)+SUMIFS(dgn_data[tot_order],bhpc_data[size22],$B25,bhpc_data[category],$L$3)</f>
        <v>0</v>
      </c>
      <c r="L25" s="9">
        <f>SUMIFS(dgn_data[unit_net_weight],bhpc_data[size12],$B25,bhpc_data[category],$K$3)+SUMIFS(dgn_data[unit_net_weight2],bhpc_data[size22],$B25,bhpc_data[category],$L$3)</f>
        <v>0</v>
      </c>
      <c r="M25" s="9">
        <f>SUMIFS(dgn_data[unit_gross_weight],bhpc_data[size12],$B25,bhpc_data[category],$K$3)+SUMIFS(dgn_data[unit_gross_weight2],bhpc_data[size22],$B25,bhpc_data[category],$L$3)</f>
        <v>0</v>
      </c>
      <c r="N25" s="11">
        <f>SUMIFS(dgn_data[cbm],bhpc_data[size12],$B25,bhpc_data[category],$K$3)+SUMIFS(dgn_data[cbm2],bhpc_data[size22],$B25,bhpc_data[category],$L$3)</f>
        <v>0</v>
      </c>
      <c r="O25" s="168">
        <f t="shared" si="0"/>
        <v>0</v>
      </c>
    </row>
    <row r="32" spans="2:15">
      <c r="B32" t="s">
        <v>358</v>
      </c>
    </row>
    <row r="33" spans="2:2">
      <c r="B33" t="s">
        <v>371</v>
      </c>
    </row>
    <row r="34" spans="2:2">
      <c r="B34" t="s">
        <v>366</v>
      </c>
    </row>
    <row r="35" spans="2:2">
      <c r="B35" t="s">
        <v>368</v>
      </c>
    </row>
    <row r="36" spans="2:2">
      <c r="B36" t="s">
        <v>367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7"/>
  <dimension ref="A1:N177"/>
  <sheetViews>
    <sheetView zoomScaleSheetLayoutView="100" workbookViewId="0">
      <selection activeCell="K6" sqref="K6"/>
    </sheetView>
  </sheetViews>
  <sheetFormatPr defaultColWidth="10.7265625" defaultRowHeight="12.5"/>
  <cols>
    <col min="1" max="1" width="9.1796875" style="32" customWidth="1"/>
    <col min="2" max="2" width="17.81640625" style="32" customWidth="1"/>
    <col min="3" max="3" width="12.7265625" style="32" customWidth="1"/>
    <col min="4" max="4" width="6.26953125" style="34" customWidth="1"/>
    <col min="5" max="5" width="18.7265625" style="32" customWidth="1"/>
    <col min="6" max="6" width="3.453125" style="35" customWidth="1"/>
    <col min="7" max="7" width="10.453125" style="32" customWidth="1"/>
    <col min="8" max="8" width="9.1796875" style="32" customWidth="1"/>
    <col min="9" max="9" width="10.453125" style="35" customWidth="1"/>
    <col min="10" max="10" width="12.7265625" style="71" customWidth="1"/>
    <col min="11" max="11" width="4" style="32" bestFit="1" customWidth="1"/>
    <col min="12" max="16384" width="10.7265625" style="32"/>
  </cols>
  <sheetData>
    <row r="1" spans="1:11">
      <c r="A1" s="453" t="s">
        <v>264</v>
      </c>
      <c r="B1" s="454"/>
      <c r="C1" s="28"/>
      <c r="D1" s="29"/>
      <c r="E1" s="28"/>
      <c r="F1" s="30"/>
      <c r="G1" s="31"/>
      <c r="H1" s="453" t="s">
        <v>265</v>
      </c>
      <c r="I1" s="454"/>
      <c r="J1" s="454"/>
      <c r="K1" s="31"/>
    </row>
    <row r="2" spans="1:11" ht="13">
      <c r="A2" s="33"/>
      <c r="G2" s="36"/>
      <c r="H2" s="37"/>
      <c r="I2" s="38"/>
      <c r="J2" s="39"/>
      <c r="K2" s="36"/>
    </row>
    <row r="3" spans="1:11" ht="13">
      <c r="A3" s="33"/>
      <c r="G3" s="36"/>
      <c r="H3" s="40"/>
      <c r="I3" s="32"/>
      <c r="J3" s="39"/>
      <c r="K3" s="36"/>
    </row>
    <row r="4" spans="1:11" ht="13">
      <c r="A4" s="33"/>
      <c r="G4" s="36"/>
      <c r="H4" s="40"/>
      <c r="I4" s="32"/>
      <c r="J4" s="39"/>
      <c r="K4" s="36"/>
    </row>
    <row r="5" spans="1:11" ht="13">
      <c r="A5" s="33"/>
      <c r="G5" s="36"/>
      <c r="H5" s="40"/>
      <c r="I5" s="32"/>
      <c r="J5" s="39"/>
      <c r="K5" s="36"/>
    </row>
    <row r="6" spans="1:11" ht="13">
      <c r="A6" s="33"/>
      <c r="G6" s="36"/>
      <c r="H6" s="40"/>
      <c r="J6" s="39"/>
      <c r="K6" s="36"/>
    </row>
    <row r="7" spans="1:11">
      <c r="A7" s="41"/>
      <c r="B7" s="42"/>
      <c r="C7" s="42"/>
      <c r="D7" s="43"/>
      <c r="E7" s="42"/>
      <c r="F7" s="44"/>
      <c r="G7" s="45"/>
      <c r="H7" s="46"/>
      <c r="I7" s="44"/>
      <c r="J7" s="47"/>
      <c r="K7" s="45"/>
    </row>
    <row r="8" spans="1:11">
      <c r="A8" s="453" t="s">
        <v>341</v>
      </c>
      <c r="B8" s="455"/>
      <c r="C8" s="453" t="s">
        <v>340</v>
      </c>
      <c r="D8" s="455"/>
      <c r="E8" s="453" t="s">
        <v>339</v>
      </c>
      <c r="F8" s="455"/>
      <c r="G8" s="453" t="s">
        <v>338</v>
      </c>
      <c r="H8" s="454"/>
      <c r="I8" s="454"/>
      <c r="J8" s="456" t="s">
        <v>337</v>
      </c>
      <c r="K8" s="457"/>
    </row>
    <row r="9" spans="1:11">
      <c r="A9" s="458" t="s">
        <v>270</v>
      </c>
      <c r="B9" s="459"/>
      <c r="C9" s="460"/>
      <c r="D9" s="461"/>
      <c r="E9" s="462"/>
      <c r="F9" s="462"/>
      <c r="G9" s="458"/>
      <c r="H9" s="463"/>
      <c r="I9" s="463"/>
      <c r="J9" s="458" t="s">
        <v>271</v>
      </c>
      <c r="K9" s="459"/>
    </row>
    <row r="10" spans="1:11">
      <c r="A10" s="426" t="s">
        <v>342</v>
      </c>
      <c r="B10" s="427"/>
      <c r="C10" s="427"/>
      <c r="D10" s="427"/>
      <c r="E10" s="427"/>
      <c r="F10" s="427"/>
      <c r="G10" s="427"/>
      <c r="H10" s="427"/>
      <c r="I10" s="427"/>
      <c r="J10" s="427"/>
      <c r="K10" s="428"/>
    </row>
    <row r="11" spans="1:11">
      <c r="A11" s="41"/>
      <c r="B11" s="42"/>
      <c r="C11" s="42"/>
      <c r="D11" s="42"/>
      <c r="E11" s="42"/>
      <c r="F11" s="42"/>
      <c r="G11" s="42"/>
      <c r="H11" s="42"/>
      <c r="I11" s="42"/>
      <c r="J11" s="42"/>
      <c r="K11" s="45"/>
    </row>
    <row r="12" spans="1:11" ht="9" customHeight="1">
      <c r="A12" s="439" t="s">
        <v>309</v>
      </c>
      <c r="B12" s="439" t="s">
        <v>310</v>
      </c>
      <c r="C12" s="442"/>
      <c r="D12" s="442"/>
      <c r="E12" s="443"/>
      <c r="F12" s="448" t="s">
        <v>272</v>
      </c>
      <c r="G12" s="436" t="s">
        <v>311</v>
      </c>
      <c r="H12" s="436" t="s">
        <v>312</v>
      </c>
      <c r="I12" s="439" t="s">
        <v>313</v>
      </c>
      <c r="J12" s="433" t="s">
        <v>314</v>
      </c>
      <c r="K12" s="436" t="s">
        <v>315</v>
      </c>
    </row>
    <row r="13" spans="1:11" ht="9" customHeight="1">
      <c r="A13" s="440"/>
      <c r="B13" s="440"/>
      <c r="C13" s="444"/>
      <c r="D13" s="444"/>
      <c r="E13" s="445"/>
      <c r="F13" s="437"/>
      <c r="G13" s="449"/>
      <c r="H13" s="449"/>
      <c r="I13" s="451"/>
      <c r="J13" s="434"/>
      <c r="K13" s="437"/>
    </row>
    <row r="14" spans="1:11" ht="9" customHeight="1">
      <c r="A14" s="441"/>
      <c r="B14" s="441"/>
      <c r="C14" s="446"/>
      <c r="D14" s="446"/>
      <c r="E14" s="447"/>
      <c r="F14" s="438"/>
      <c r="G14" s="450"/>
      <c r="H14" s="450"/>
      <c r="I14" s="452"/>
      <c r="J14" s="435"/>
      <c r="K14" s="438"/>
    </row>
    <row r="15" spans="1:11" ht="13">
      <c r="A15" s="49"/>
      <c r="B15" s="50" t="s">
        <v>316</v>
      </c>
      <c r="C15" s="38"/>
      <c r="D15" s="51"/>
      <c r="E15" s="52"/>
      <c r="F15" s="53"/>
      <c r="G15" s="53"/>
      <c r="H15" s="193"/>
      <c r="I15" s="54"/>
      <c r="J15" s="197"/>
      <c r="K15" s="55"/>
    </row>
    <row r="16" spans="1:11">
      <c r="A16" s="56" t="str">
        <f>IF('ORDER ENTRY FORM'!C4="","",'ORDER ENTRY FORM'!C4)</f>
        <v>P06000</v>
      </c>
      <c r="B16" s="49" t="str">
        <f>IF('ORDER ENTRY FORM'!D4="","",'ORDER ENTRY FORM'!D4)</f>
        <v>BHPC PRESTIGE TROPHY 100ML EDP MEN</v>
      </c>
      <c r="C16" s="57"/>
      <c r="D16" s="58"/>
      <c r="E16" s="36"/>
      <c r="F16" s="59" t="str">
        <f>IF(A16="","","PC")</f>
        <v>PC</v>
      </c>
      <c r="G16" s="60">
        <f>IF('ORDER ENTRY FORM'!E4="","",'ORDER ENTRY FORM'!E4)</f>
        <v>100</v>
      </c>
      <c r="H16" s="194">
        <f>IF('ORDER ENTRY FORM'!F4="","",'ORDER ENTRY FORM'!F4)</f>
        <v>5</v>
      </c>
      <c r="I16" s="60">
        <f>IF(A16="","",ROUNDUP(G16/VLOOKUP(A16,bhpc_data[],9,FALSE),0))</f>
        <v>5</v>
      </c>
      <c r="J16" s="198">
        <f>IF(A16="","",G16*H16)</f>
        <v>500</v>
      </c>
      <c r="K16" s="61" t="str">
        <f>IF(A16="","",$C$166)</f>
        <v>061</v>
      </c>
    </row>
    <row r="17" spans="1:11">
      <c r="A17" s="56" t="str">
        <f>IF('ORDER ENTRY FORM'!C5="","",'ORDER ENTRY FORM'!C5)</f>
        <v>P06001</v>
      </c>
      <c r="B17" s="49" t="str">
        <f>IF('ORDER ENTRY FORM'!D5="","",'ORDER ENTRY FORM'!D5)</f>
        <v>BHPC PRESTIGE HERITAGE OUD 100ML EDP MEN</v>
      </c>
      <c r="C17" s="57"/>
      <c r="D17" s="58"/>
      <c r="E17" s="36"/>
      <c r="F17" s="59" t="str">
        <f t="shared" ref="F17:F73" si="0">IF(A17="","","PC")</f>
        <v>PC</v>
      </c>
      <c r="G17" s="60">
        <f>IF('ORDER ENTRY FORM'!E5="","",'ORDER ENTRY FORM'!E5)</f>
        <v>100</v>
      </c>
      <c r="H17" s="194">
        <f>IF('ORDER ENTRY FORM'!F5="","",'ORDER ENTRY FORM'!F5)</f>
        <v>5</v>
      </c>
      <c r="I17" s="61">
        <f>IF(A17="","",ROUNDUP(G17/VLOOKUP(A17,bhpc_data[],9,FALSE),0))</f>
        <v>5</v>
      </c>
      <c r="J17" s="198">
        <f t="shared" ref="J17:J73" si="1">IF(A17="","",G17*H17)</f>
        <v>500</v>
      </c>
      <c r="K17" s="61" t="str">
        <f t="shared" ref="K17:K73" si="2">IF(A17="","",$C$166)</f>
        <v>061</v>
      </c>
    </row>
    <row r="18" spans="1:11">
      <c r="A18" s="56" t="str">
        <f>IF('ORDER ENTRY FORM'!C6="","",'ORDER ENTRY FORM'!C6)</f>
        <v>P06002</v>
      </c>
      <c r="B18" s="49" t="str">
        <f>IF('ORDER ENTRY FORM'!D6="","",'ORDER ENTRY FORM'!D6)</f>
        <v>BHPC PRESTIGE TOUR 100ML EDP MEN</v>
      </c>
      <c r="C18" s="57"/>
      <c r="D18" s="58"/>
      <c r="E18" s="36"/>
      <c r="F18" s="59" t="str">
        <f t="shared" si="0"/>
        <v>PC</v>
      </c>
      <c r="G18" s="60">
        <f>IF('ORDER ENTRY FORM'!E6="","",'ORDER ENTRY FORM'!E6)</f>
        <v>100</v>
      </c>
      <c r="H18" s="194">
        <f>IF('ORDER ENTRY FORM'!F6="","",'ORDER ENTRY FORM'!F6)</f>
        <v>5</v>
      </c>
      <c r="I18" s="61">
        <f>IF(A18="","",ROUNDUP(G18/VLOOKUP(A18,bhpc_data[],9,FALSE),0))</f>
        <v>5</v>
      </c>
      <c r="J18" s="198">
        <f t="shared" si="1"/>
        <v>500</v>
      </c>
      <c r="K18" s="61" t="str">
        <f t="shared" si="2"/>
        <v>061</v>
      </c>
    </row>
    <row r="19" spans="1:11">
      <c r="A19" s="56" t="str">
        <f>IF('ORDER ENTRY FORM'!C7="","",'ORDER ENTRY FORM'!C7)</f>
        <v>P06003</v>
      </c>
      <c r="B19" s="49" t="str">
        <f>IF('ORDER ENTRY FORM'!D7="","",'ORDER ENTRY FORM'!D7)</f>
        <v>BHPC PRESTIGE TITAN 100ML EDP MEN</v>
      </c>
      <c r="C19" s="57"/>
      <c r="D19" s="58"/>
      <c r="E19" s="36"/>
      <c r="F19" s="59" t="str">
        <f t="shared" si="0"/>
        <v>PC</v>
      </c>
      <c r="G19" s="60">
        <f>IF('ORDER ENTRY FORM'!E7="","",'ORDER ENTRY FORM'!E7)</f>
        <v>100</v>
      </c>
      <c r="H19" s="194">
        <f>IF('ORDER ENTRY FORM'!F7="","",'ORDER ENTRY FORM'!F7)</f>
        <v>5</v>
      </c>
      <c r="I19" s="61">
        <f>IF(A19="","",ROUNDUP(G19/VLOOKUP(A19,bhpc_data[],9,FALSE),0))</f>
        <v>5</v>
      </c>
      <c r="J19" s="198">
        <f t="shared" si="1"/>
        <v>500</v>
      </c>
      <c r="K19" s="61" t="str">
        <f t="shared" si="2"/>
        <v>061</v>
      </c>
    </row>
    <row r="20" spans="1:11">
      <c r="A20" s="56" t="str">
        <f>IF('ORDER ENTRY FORM'!C8="","",'ORDER ENTRY FORM'!C8)</f>
        <v>GS5004</v>
      </c>
      <c r="B20" s="49" t="str">
        <f>IF('ORDER ENTRY FORM'!D8="","",'ORDER ENTRY FORM'!D8)</f>
        <v>BHPC GIFT SET SPORT MEN 1 EDT 100ML + DEO 175ML</v>
      </c>
      <c r="C20" s="57"/>
      <c r="D20" s="58"/>
      <c r="E20" s="36"/>
      <c r="F20" s="59" t="str">
        <f t="shared" si="0"/>
        <v>PC</v>
      </c>
      <c r="G20" s="60">
        <f>IF('ORDER ENTRY FORM'!E8="","",'ORDER ENTRY FORM'!E8)</f>
        <v>100</v>
      </c>
      <c r="H20" s="194">
        <f>IF('ORDER ENTRY FORM'!F8="","",'ORDER ENTRY FORM'!F8)</f>
        <v>6</v>
      </c>
      <c r="I20" s="61">
        <f>IF(A20="","",ROUNDUP(G20/VLOOKUP(A20,bhpc_data[],9,FALSE),0))</f>
        <v>9</v>
      </c>
      <c r="J20" s="198">
        <f t="shared" si="1"/>
        <v>600</v>
      </c>
      <c r="K20" s="61" t="str">
        <f t="shared" si="2"/>
        <v>061</v>
      </c>
    </row>
    <row r="21" spans="1:11">
      <c r="A21" s="56" t="str">
        <f>IF('ORDER ENTRY FORM'!C9="","",'ORDER ENTRY FORM'!C9)</f>
        <v>GS5005</v>
      </c>
      <c r="B21" s="49" t="str">
        <f>IF('ORDER ENTRY FORM'!D9="","",'ORDER ENTRY FORM'!D9)</f>
        <v>BHPC GIFT SET SPORT MEN 9 EDT 100ML + DEO 175ML</v>
      </c>
      <c r="C21" s="57"/>
      <c r="D21" s="58"/>
      <c r="E21" s="36"/>
      <c r="F21" s="59" t="str">
        <f t="shared" si="0"/>
        <v>PC</v>
      </c>
      <c r="G21" s="60">
        <f>IF('ORDER ENTRY FORM'!E9="","",'ORDER ENTRY FORM'!E9)</f>
        <v>100</v>
      </c>
      <c r="H21" s="194">
        <f>IF('ORDER ENTRY FORM'!F9="","",'ORDER ENTRY FORM'!F9)</f>
        <v>6</v>
      </c>
      <c r="I21" s="61">
        <f>IF(A21="","",ROUNDUP(G21/VLOOKUP(A21,bhpc_data[],9,FALSE),0))</f>
        <v>9</v>
      </c>
      <c r="J21" s="198">
        <f t="shared" si="1"/>
        <v>600</v>
      </c>
      <c r="K21" s="61" t="str">
        <f t="shared" si="2"/>
        <v>061</v>
      </c>
    </row>
    <row r="22" spans="1:11">
      <c r="A22" s="56" t="str">
        <f>IF('ORDER ENTRY FORM'!C10="","",'ORDER ENTRY FORM'!C10)</f>
        <v>GS5006</v>
      </c>
      <c r="B22" s="49" t="str">
        <f>IF('ORDER ENTRY FORM'!D10="","",'ORDER ENTRY FORM'!D10)</f>
        <v>BHPC GIFT SET SPORT MEN 8 EDT 100ML + DEO 175ML</v>
      </c>
      <c r="C22" s="57"/>
      <c r="D22" s="58"/>
      <c r="E22" s="36"/>
      <c r="F22" s="59" t="str">
        <f t="shared" si="0"/>
        <v>PC</v>
      </c>
      <c r="G22" s="60">
        <f>IF('ORDER ENTRY FORM'!E10="","",'ORDER ENTRY FORM'!E10)</f>
        <v>100</v>
      </c>
      <c r="H22" s="194">
        <f>IF('ORDER ENTRY FORM'!F10="","",'ORDER ENTRY FORM'!F10)</f>
        <v>6</v>
      </c>
      <c r="I22" s="61">
        <f>IF(A22="","",ROUNDUP(G22/VLOOKUP(A22,bhpc_data[],9,FALSE),0))</f>
        <v>9</v>
      </c>
      <c r="J22" s="198">
        <f t="shared" si="1"/>
        <v>600</v>
      </c>
      <c r="K22" s="61" t="str">
        <f t="shared" si="2"/>
        <v>061</v>
      </c>
    </row>
    <row r="23" spans="1:11">
      <c r="A23" s="56" t="str">
        <f>IF('ORDER ENTRY FORM'!C11="","",'ORDER ENTRY FORM'!C11)</f>
        <v>GS5007</v>
      </c>
      <c r="B23" s="49" t="str">
        <f>IF('ORDER ENTRY FORM'!D11="","",'ORDER ENTRY FORM'!D11)</f>
        <v>BHPC GIFT SET SPORT MEN 2 EDT 100ML + DEO 175ML</v>
      </c>
      <c r="C23" s="57"/>
      <c r="D23" s="58"/>
      <c r="E23" s="36"/>
      <c r="F23" s="59" t="str">
        <f t="shared" si="0"/>
        <v>PC</v>
      </c>
      <c r="G23" s="60">
        <f>IF('ORDER ENTRY FORM'!E11="","",'ORDER ENTRY FORM'!E11)</f>
        <v>100</v>
      </c>
      <c r="H23" s="194">
        <f>IF('ORDER ENTRY FORM'!F11="","",'ORDER ENTRY FORM'!F11)</f>
        <v>6</v>
      </c>
      <c r="I23" s="61">
        <f>IF(A23="","",ROUNDUP(G23/VLOOKUP(A23,bhpc_data[],9,FALSE),0))</f>
        <v>9</v>
      </c>
      <c r="J23" s="198">
        <f t="shared" si="1"/>
        <v>600</v>
      </c>
      <c r="K23" s="61" t="str">
        <f t="shared" si="2"/>
        <v>061</v>
      </c>
    </row>
    <row r="24" spans="1:11">
      <c r="A24" s="56" t="str">
        <f>IF('ORDER ENTRY FORM'!C12="","",'ORDER ENTRY FORM'!C12)</f>
        <v>GSTRO3</v>
      </c>
      <c r="B24" s="49" t="str">
        <f>IF('ORDER ENTRY FORM'!D12="","",'ORDER ENTRY FORM'!D12)</f>
        <v xml:space="preserve">BHPC GIFTSET PRESTIGE TROPHY EDP100ML + DEO 300ML </v>
      </c>
      <c r="C24" s="57"/>
      <c r="D24" s="58"/>
      <c r="E24" s="36"/>
      <c r="F24" s="59" t="str">
        <f t="shared" si="0"/>
        <v>PC</v>
      </c>
      <c r="G24" s="60">
        <f>IF('ORDER ENTRY FORM'!E12="","",'ORDER ENTRY FORM'!E12)</f>
        <v>100</v>
      </c>
      <c r="H24" s="194">
        <f>IF('ORDER ENTRY FORM'!F12="","",'ORDER ENTRY FORM'!F12)</f>
        <v>15</v>
      </c>
      <c r="I24" s="61">
        <f>IF(A24="","",ROUNDUP(G24/VLOOKUP(A24,bhpc_data[],9,FALSE),0))</f>
        <v>5</v>
      </c>
      <c r="J24" s="198">
        <f t="shared" si="1"/>
        <v>1500</v>
      </c>
      <c r="K24" s="61" t="str">
        <f t="shared" si="2"/>
        <v>061</v>
      </c>
    </row>
    <row r="25" spans="1:11">
      <c r="A25" s="56" t="str">
        <f>IF('ORDER ENTRY FORM'!C13="","",'ORDER ENTRY FORM'!C13)</f>
        <v/>
      </c>
      <c r="B25" s="49" t="str">
        <f>IF('ORDER ENTRY FORM'!D13="","",'ORDER ENTRY FORM'!D13)</f>
        <v/>
      </c>
      <c r="C25" s="57"/>
      <c r="D25" s="58"/>
      <c r="E25" s="36"/>
      <c r="F25" s="59" t="str">
        <f t="shared" si="0"/>
        <v/>
      </c>
      <c r="G25" s="60" t="str">
        <f>IF('ORDER ENTRY FORM'!E13="","",'ORDER ENTRY FORM'!E13)</f>
        <v/>
      </c>
      <c r="H25" s="194" t="str">
        <f>IF('ORDER ENTRY FORM'!F13="","",'ORDER ENTRY FORM'!F13)</f>
        <v/>
      </c>
      <c r="I25" s="61" t="str">
        <f>IF(A25="","",ROUNDUP(G25/VLOOKUP(A25,bhpc_data[],9,FALSE),0))</f>
        <v/>
      </c>
      <c r="J25" s="198" t="str">
        <f t="shared" si="1"/>
        <v/>
      </c>
      <c r="K25" s="61" t="str">
        <f t="shared" si="2"/>
        <v/>
      </c>
    </row>
    <row r="26" spans="1:11">
      <c r="A26" s="56" t="str">
        <f>IF('ORDER ENTRY FORM'!C14="","",'ORDER ENTRY FORM'!C14)</f>
        <v/>
      </c>
      <c r="B26" s="49" t="str">
        <f>IF('ORDER ENTRY FORM'!D14="","",'ORDER ENTRY FORM'!D14)</f>
        <v/>
      </c>
      <c r="C26" s="57"/>
      <c r="D26" s="58"/>
      <c r="E26" s="36"/>
      <c r="F26" s="59" t="str">
        <f t="shared" si="0"/>
        <v/>
      </c>
      <c r="G26" s="60" t="str">
        <f>IF('ORDER ENTRY FORM'!E14="","",'ORDER ENTRY FORM'!E14)</f>
        <v/>
      </c>
      <c r="H26" s="194" t="str">
        <f>IF('ORDER ENTRY FORM'!F14="","",'ORDER ENTRY FORM'!F14)</f>
        <v/>
      </c>
      <c r="I26" s="61" t="str">
        <f>IF(A26="","",ROUNDUP(G26/VLOOKUP(A26,bhpc_data[],9,FALSE),0))</f>
        <v/>
      </c>
      <c r="J26" s="198" t="str">
        <f t="shared" si="1"/>
        <v/>
      </c>
      <c r="K26" s="61" t="str">
        <f t="shared" si="2"/>
        <v/>
      </c>
    </row>
    <row r="27" spans="1:11">
      <c r="A27" s="56" t="str">
        <f>IF('ORDER ENTRY FORM'!C15="","",'ORDER ENTRY FORM'!C15)</f>
        <v/>
      </c>
      <c r="B27" s="49" t="str">
        <f>IF('ORDER ENTRY FORM'!D15="","",'ORDER ENTRY FORM'!D15)</f>
        <v/>
      </c>
      <c r="C27" s="57"/>
      <c r="D27" s="58"/>
      <c r="E27" s="36"/>
      <c r="F27" s="59" t="str">
        <f t="shared" si="0"/>
        <v/>
      </c>
      <c r="G27" s="60" t="str">
        <f>IF('ORDER ENTRY FORM'!E15="","",'ORDER ENTRY FORM'!E15)</f>
        <v/>
      </c>
      <c r="H27" s="194" t="str">
        <f>IF('ORDER ENTRY FORM'!F15="","",'ORDER ENTRY FORM'!F15)</f>
        <v/>
      </c>
      <c r="I27" s="61" t="str">
        <f>IF(A27="","",ROUNDUP(G27/VLOOKUP(A27,bhpc_data[],9,FALSE),0))</f>
        <v/>
      </c>
      <c r="J27" s="198" t="str">
        <f t="shared" si="1"/>
        <v/>
      </c>
      <c r="K27" s="61" t="str">
        <f t="shared" si="2"/>
        <v/>
      </c>
    </row>
    <row r="28" spans="1:11">
      <c r="A28" s="56" t="str">
        <f>IF('ORDER ENTRY FORM'!C16="","",'ORDER ENTRY FORM'!C16)</f>
        <v/>
      </c>
      <c r="B28" s="49" t="str">
        <f>IF('ORDER ENTRY FORM'!D16="","",'ORDER ENTRY FORM'!D16)</f>
        <v/>
      </c>
      <c r="C28" s="57"/>
      <c r="D28" s="58"/>
      <c r="E28" s="36"/>
      <c r="F28" s="59" t="str">
        <f t="shared" si="0"/>
        <v/>
      </c>
      <c r="G28" s="60" t="str">
        <f>IF('ORDER ENTRY FORM'!E16="","",'ORDER ENTRY FORM'!E16)</f>
        <v/>
      </c>
      <c r="H28" s="194" t="str">
        <f>IF('ORDER ENTRY FORM'!F16="","",'ORDER ENTRY FORM'!F16)</f>
        <v/>
      </c>
      <c r="I28" s="61" t="str">
        <f>IF(A28="","",ROUNDUP(G28/VLOOKUP(A28,bhpc_data[],9,FALSE),0))</f>
        <v/>
      </c>
      <c r="J28" s="198" t="str">
        <f t="shared" si="1"/>
        <v/>
      </c>
      <c r="K28" s="61" t="str">
        <f t="shared" si="2"/>
        <v/>
      </c>
    </row>
    <row r="29" spans="1:11">
      <c r="A29" s="56" t="str">
        <f>IF('ORDER ENTRY FORM'!C17="","",'ORDER ENTRY FORM'!C17)</f>
        <v/>
      </c>
      <c r="B29" s="49" t="str">
        <f>IF('ORDER ENTRY FORM'!D17="","",'ORDER ENTRY FORM'!D17)</f>
        <v/>
      </c>
      <c r="C29" s="57"/>
      <c r="D29" s="58"/>
      <c r="E29" s="36"/>
      <c r="F29" s="59" t="str">
        <f t="shared" si="0"/>
        <v/>
      </c>
      <c r="G29" s="60" t="str">
        <f>IF('ORDER ENTRY FORM'!E17="","",'ORDER ENTRY FORM'!E17)</f>
        <v/>
      </c>
      <c r="H29" s="194" t="str">
        <f>IF('ORDER ENTRY FORM'!F17="","",'ORDER ENTRY FORM'!F17)</f>
        <v/>
      </c>
      <c r="I29" s="61" t="str">
        <f>IF(A29="","",ROUNDUP(G29/VLOOKUP(A29,bhpc_data[],9,FALSE),0))</f>
        <v/>
      </c>
      <c r="J29" s="198" t="str">
        <f t="shared" si="1"/>
        <v/>
      </c>
      <c r="K29" s="61" t="str">
        <f t="shared" si="2"/>
        <v/>
      </c>
    </row>
    <row r="30" spans="1:11">
      <c r="A30" s="56" t="str">
        <f>IF('ORDER ENTRY FORM'!C18="","",'ORDER ENTRY FORM'!C18)</f>
        <v/>
      </c>
      <c r="B30" s="49" t="str">
        <f>IF('ORDER ENTRY FORM'!D18="","",'ORDER ENTRY FORM'!D18)</f>
        <v/>
      </c>
      <c r="C30" s="57"/>
      <c r="D30" s="58"/>
      <c r="E30" s="36"/>
      <c r="F30" s="59" t="str">
        <f t="shared" si="0"/>
        <v/>
      </c>
      <c r="G30" s="60" t="str">
        <f>IF('ORDER ENTRY FORM'!E18="","",'ORDER ENTRY FORM'!E18)</f>
        <v/>
      </c>
      <c r="H30" s="194" t="str">
        <f>IF('ORDER ENTRY FORM'!F18="","",'ORDER ENTRY FORM'!F18)</f>
        <v/>
      </c>
      <c r="I30" s="61" t="str">
        <f>IF(A30="","",ROUNDUP(G30/VLOOKUP(A30,bhpc_data[],9,FALSE),0))</f>
        <v/>
      </c>
      <c r="J30" s="198" t="str">
        <f t="shared" si="1"/>
        <v/>
      </c>
      <c r="K30" s="61" t="str">
        <f t="shared" si="2"/>
        <v/>
      </c>
    </row>
    <row r="31" spans="1:11">
      <c r="A31" s="56" t="str">
        <f>IF('ORDER ENTRY FORM'!C19="","",'ORDER ENTRY FORM'!C19)</f>
        <v/>
      </c>
      <c r="B31" s="49" t="str">
        <f>IF('ORDER ENTRY FORM'!D19="","",'ORDER ENTRY FORM'!D19)</f>
        <v/>
      </c>
      <c r="C31" s="57"/>
      <c r="D31" s="58"/>
      <c r="E31" s="36"/>
      <c r="F31" s="59" t="str">
        <f t="shared" si="0"/>
        <v/>
      </c>
      <c r="G31" s="60" t="str">
        <f>IF('ORDER ENTRY FORM'!E19="","",'ORDER ENTRY FORM'!E19)</f>
        <v/>
      </c>
      <c r="H31" s="194" t="str">
        <f>IF('ORDER ENTRY FORM'!F19="","",'ORDER ENTRY FORM'!F19)</f>
        <v/>
      </c>
      <c r="I31" s="61" t="str">
        <f>IF(A31="","",ROUNDUP(G31/VLOOKUP(A31,bhpc_data[],9,FALSE),0))</f>
        <v/>
      </c>
      <c r="J31" s="198" t="str">
        <f t="shared" si="1"/>
        <v/>
      </c>
      <c r="K31" s="61" t="str">
        <f t="shared" si="2"/>
        <v/>
      </c>
    </row>
    <row r="32" spans="1:11">
      <c r="A32" s="56" t="str">
        <f>IF('ORDER ENTRY FORM'!C20="","",'ORDER ENTRY FORM'!C20)</f>
        <v/>
      </c>
      <c r="B32" s="49" t="str">
        <f>IF('ORDER ENTRY FORM'!D20="","",'ORDER ENTRY FORM'!D20)</f>
        <v/>
      </c>
      <c r="C32" s="57"/>
      <c r="D32" s="58"/>
      <c r="E32" s="36"/>
      <c r="F32" s="59" t="str">
        <f t="shared" si="0"/>
        <v/>
      </c>
      <c r="G32" s="60" t="str">
        <f>IF('ORDER ENTRY FORM'!E20="","",'ORDER ENTRY FORM'!E20)</f>
        <v/>
      </c>
      <c r="H32" s="194" t="str">
        <f>IF('ORDER ENTRY FORM'!F20="","",'ORDER ENTRY FORM'!F20)</f>
        <v/>
      </c>
      <c r="I32" s="61" t="str">
        <f>IF(A32="","",ROUNDUP(G32/VLOOKUP(A32,bhpc_data[],9,FALSE),0))</f>
        <v/>
      </c>
      <c r="J32" s="198" t="str">
        <f t="shared" si="1"/>
        <v/>
      </c>
      <c r="K32" s="61" t="str">
        <f t="shared" si="2"/>
        <v/>
      </c>
    </row>
    <row r="33" spans="1:11">
      <c r="A33" s="56" t="str">
        <f>IF('ORDER ENTRY FORM'!C21="","",'ORDER ENTRY FORM'!C21)</f>
        <v/>
      </c>
      <c r="B33" s="49" t="str">
        <f>IF('ORDER ENTRY FORM'!D21="","",'ORDER ENTRY FORM'!D21)</f>
        <v/>
      </c>
      <c r="C33" s="57"/>
      <c r="D33" s="58"/>
      <c r="E33" s="36"/>
      <c r="F33" s="59" t="str">
        <f t="shared" si="0"/>
        <v/>
      </c>
      <c r="G33" s="60" t="str">
        <f>IF('ORDER ENTRY FORM'!E21="","",'ORDER ENTRY FORM'!E21)</f>
        <v/>
      </c>
      <c r="H33" s="194" t="str">
        <f>IF('ORDER ENTRY FORM'!F21="","",'ORDER ENTRY FORM'!F21)</f>
        <v/>
      </c>
      <c r="I33" s="61" t="str">
        <f>IF(A33="","",ROUNDUP(G33/VLOOKUP(A33,bhpc_data[],9,FALSE),0))</f>
        <v/>
      </c>
      <c r="J33" s="198" t="str">
        <f t="shared" si="1"/>
        <v/>
      </c>
      <c r="K33" s="61" t="str">
        <f t="shared" si="2"/>
        <v/>
      </c>
    </row>
    <row r="34" spans="1:11">
      <c r="A34" s="56" t="str">
        <f>IF('ORDER ENTRY FORM'!C22="","",'ORDER ENTRY FORM'!C22)</f>
        <v/>
      </c>
      <c r="B34" s="49" t="str">
        <f>IF('ORDER ENTRY FORM'!D22="","",'ORDER ENTRY FORM'!D22)</f>
        <v/>
      </c>
      <c r="C34" s="57"/>
      <c r="D34" s="58"/>
      <c r="E34" s="36"/>
      <c r="F34" s="59" t="str">
        <f t="shared" si="0"/>
        <v/>
      </c>
      <c r="G34" s="60" t="str">
        <f>IF('ORDER ENTRY FORM'!E22="","",'ORDER ENTRY FORM'!E22)</f>
        <v/>
      </c>
      <c r="H34" s="194" t="str">
        <f>IF('ORDER ENTRY FORM'!F22="","",'ORDER ENTRY FORM'!F22)</f>
        <v/>
      </c>
      <c r="I34" s="61" t="str">
        <f>IF(A34="","",ROUNDUP(G34/VLOOKUP(A34,bhpc_data[],9,FALSE),0))</f>
        <v/>
      </c>
      <c r="J34" s="198" t="str">
        <f t="shared" si="1"/>
        <v/>
      </c>
      <c r="K34" s="61" t="str">
        <f t="shared" si="2"/>
        <v/>
      </c>
    </row>
    <row r="35" spans="1:11">
      <c r="A35" s="56" t="str">
        <f>IF('ORDER ENTRY FORM'!C23="","",'ORDER ENTRY FORM'!C23)</f>
        <v/>
      </c>
      <c r="B35" s="49" t="str">
        <f>IF('ORDER ENTRY FORM'!D23="","",'ORDER ENTRY FORM'!D23)</f>
        <v/>
      </c>
      <c r="C35" s="57"/>
      <c r="D35" s="58"/>
      <c r="E35" s="36"/>
      <c r="F35" s="59" t="str">
        <f t="shared" si="0"/>
        <v/>
      </c>
      <c r="G35" s="60" t="str">
        <f>IF('ORDER ENTRY FORM'!E23="","",'ORDER ENTRY FORM'!E23)</f>
        <v/>
      </c>
      <c r="H35" s="194" t="str">
        <f>IF('ORDER ENTRY FORM'!F23="","",'ORDER ENTRY FORM'!F23)</f>
        <v/>
      </c>
      <c r="I35" s="61" t="str">
        <f>IF(A35="","",ROUNDUP(G35/VLOOKUP(A35,bhpc_data[],9,FALSE),0))</f>
        <v/>
      </c>
      <c r="J35" s="198" t="str">
        <f t="shared" si="1"/>
        <v/>
      </c>
      <c r="K35" s="61" t="str">
        <f t="shared" si="2"/>
        <v/>
      </c>
    </row>
    <row r="36" spans="1:11">
      <c r="A36" s="56" t="str">
        <f>IF('ORDER ENTRY FORM'!C24="","",'ORDER ENTRY FORM'!C24)</f>
        <v/>
      </c>
      <c r="B36" s="49" t="str">
        <f>IF('ORDER ENTRY FORM'!D24="","",'ORDER ENTRY FORM'!D24)</f>
        <v/>
      </c>
      <c r="C36" s="57"/>
      <c r="D36" s="58"/>
      <c r="E36" s="36"/>
      <c r="F36" s="59" t="str">
        <f t="shared" si="0"/>
        <v/>
      </c>
      <c r="G36" s="60" t="str">
        <f>IF('ORDER ENTRY FORM'!E24="","",'ORDER ENTRY FORM'!E24)</f>
        <v/>
      </c>
      <c r="H36" s="194" t="str">
        <f>IF('ORDER ENTRY FORM'!F24="","",'ORDER ENTRY FORM'!F24)</f>
        <v/>
      </c>
      <c r="I36" s="61" t="str">
        <f>IF(A36="","",ROUNDUP(G36/VLOOKUP(A36,bhpc_data[],9,FALSE),0))</f>
        <v/>
      </c>
      <c r="J36" s="198" t="str">
        <f t="shared" si="1"/>
        <v/>
      </c>
      <c r="K36" s="61" t="str">
        <f t="shared" si="2"/>
        <v/>
      </c>
    </row>
    <row r="37" spans="1:11">
      <c r="A37" s="56" t="str">
        <f>IF('ORDER ENTRY FORM'!C25="","",'ORDER ENTRY FORM'!C25)</f>
        <v/>
      </c>
      <c r="B37" s="49" t="str">
        <f>IF('ORDER ENTRY FORM'!D25="","",'ORDER ENTRY FORM'!D25)</f>
        <v/>
      </c>
      <c r="C37" s="57"/>
      <c r="D37" s="58"/>
      <c r="E37" s="36"/>
      <c r="F37" s="59" t="str">
        <f t="shared" si="0"/>
        <v/>
      </c>
      <c r="G37" s="60" t="str">
        <f>IF('ORDER ENTRY FORM'!E25="","",'ORDER ENTRY FORM'!E25)</f>
        <v/>
      </c>
      <c r="H37" s="194" t="str">
        <f>IF('ORDER ENTRY FORM'!F25="","",'ORDER ENTRY FORM'!F25)</f>
        <v/>
      </c>
      <c r="I37" s="61" t="str">
        <f>IF(A37="","",ROUNDUP(G37/VLOOKUP(A37,bhpc_data[],9,FALSE),0))</f>
        <v/>
      </c>
      <c r="J37" s="198" t="str">
        <f t="shared" si="1"/>
        <v/>
      </c>
      <c r="K37" s="61" t="str">
        <f t="shared" si="2"/>
        <v/>
      </c>
    </row>
    <row r="38" spans="1:11">
      <c r="A38" s="56" t="str">
        <f>IF('ORDER ENTRY FORM'!C26="","",'ORDER ENTRY FORM'!C26)</f>
        <v/>
      </c>
      <c r="B38" s="49" t="str">
        <f>IF('ORDER ENTRY FORM'!D26="","",'ORDER ENTRY FORM'!D26)</f>
        <v/>
      </c>
      <c r="C38" s="57"/>
      <c r="D38" s="58"/>
      <c r="E38" s="36"/>
      <c r="F38" s="59" t="str">
        <f t="shared" si="0"/>
        <v/>
      </c>
      <c r="G38" s="60" t="str">
        <f>IF('ORDER ENTRY FORM'!E26="","",'ORDER ENTRY FORM'!E26)</f>
        <v/>
      </c>
      <c r="H38" s="194" t="str">
        <f>IF('ORDER ENTRY FORM'!F26="","",'ORDER ENTRY FORM'!F26)</f>
        <v/>
      </c>
      <c r="I38" s="61" t="str">
        <f>IF(A38="","",ROUNDUP(G38/VLOOKUP(A38,bhpc_data[],9,FALSE),0))</f>
        <v/>
      </c>
      <c r="J38" s="198" t="str">
        <f t="shared" si="1"/>
        <v/>
      </c>
      <c r="K38" s="61" t="str">
        <f t="shared" si="2"/>
        <v/>
      </c>
    </row>
    <row r="39" spans="1:11">
      <c r="A39" s="56" t="str">
        <f>IF('ORDER ENTRY FORM'!C27="","",'ORDER ENTRY FORM'!C27)</f>
        <v/>
      </c>
      <c r="B39" s="49" t="str">
        <f>IF('ORDER ENTRY FORM'!D27="","",'ORDER ENTRY FORM'!D27)</f>
        <v/>
      </c>
      <c r="C39" s="57"/>
      <c r="D39" s="58"/>
      <c r="E39" s="36"/>
      <c r="F39" s="59" t="str">
        <f t="shared" si="0"/>
        <v/>
      </c>
      <c r="G39" s="60" t="str">
        <f>IF('ORDER ENTRY FORM'!E27="","",'ORDER ENTRY FORM'!E27)</f>
        <v/>
      </c>
      <c r="H39" s="194" t="str">
        <f>IF('ORDER ENTRY FORM'!F27="","",'ORDER ENTRY FORM'!F27)</f>
        <v/>
      </c>
      <c r="I39" s="61" t="str">
        <f>IF(A39="","",ROUNDUP(G39/VLOOKUP(A39,bhpc_data[],9,FALSE),0))</f>
        <v/>
      </c>
      <c r="J39" s="198" t="str">
        <f t="shared" si="1"/>
        <v/>
      </c>
      <c r="K39" s="61" t="str">
        <f t="shared" si="2"/>
        <v/>
      </c>
    </row>
    <row r="40" spans="1:11">
      <c r="A40" s="56" t="str">
        <f>IF('ORDER ENTRY FORM'!C28="","",'ORDER ENTRY FORM'!C28)</f>
        <v/>
      </c>
      <c r="B40" s="49" t="str">
        <f>IF('ORDER ENTRY FORM'!D28="","",'ORDER ENTRY FORM'!D28)</f>
        <v/>
      </c>
      <c r="C40" s="57"/>
      <c r="D40" s="58"/>
      <c r="E40" s="36"/>
      <c r="F40" s="59" t="str">
        <f t="shared" si="0"/>
        <v/>
      </c>
      <c r="G40" s="60" t="str">
        <f>IF('ORDER ENTRY FORM'!E28="","",'ORDER ENTRY FORM'!E28)</f>
        <v/>
      </c>
      <c r="H40" s="194" t="str">
        <f>IF('ORDER ENTRY FORM'!F28="","",'ORDER ENTRY FORM'!F28)</f>
        <v/>
      </c>
      <c r="I40" s="61" t="str">
        <f>IF(A40="","",ROUNDUP(G40/VLOOKUP(A40,bhpc_data[],9,FALSE),0))</f>
        <v/>
      </c>
      <c r="J40" s="198" t="str">
        <f t="shared" si="1"/>
        <v/>
      </c>
      <c r="K40" s="61" t="str">
        <f t="shared" si="2"/>
        <v/>
      </c>
    </row>
    <row r="41" spans="1:11">
      <c r="A41" s="56" t="str">
        <f>IF('ORDER ENTRY FORM'!C29="","",'ORDER ENTRY FORM'!C29)</f>
        <v/>
      </c>
      <c r="B41" s="49" t="str">
        <f>IF('ORDER ENTRY FORM'!D29="","",'ORDER ENTRY FORM'!D29)</f>
        <v/>
      </c>
      <c r="C41" s="57"/>
      <c r="D41" s="58"/>
      <c r="E41" s="36"/>
      <c r="F41" s="59" t="str">
        <f t="shared" si="0"/>
        <v/>
      </c>
      <c r="G41" s="60" t="str">
        <f>IF('ORDER ENTRY FORM'!E29="","",'ORDER ENTRY FORM'!E29)</f>
        <v/>
      </c>
      <c r="H41" s="194" t="str">
        <f>IF('ORDER ENTRY FORM'!F29="","",'ORDER ENTRY FORM'!F29)</f>
        <v/>
      </c>
      <c r="I41" s="61" t="str">
        <f>IF(A41="","",ROUNDUP(G41/VLOOKUP(A41,bhpc_data[],9,FALSE),0))</f>
        <v/>
      </c>
      <c r="J41" s="198" t="str">
        <f t="shared" si="1"/>
        <v/>
      </c>
      <c r="K41" s="61" t="str">
        <f t="shared" si="2"/>
        <v/>
      </c>
    </row>
    <row r="42" spans="1:11">
      <c r="A42" s="56" t="str">
        <f>IF('ORDER ENTRY FORM'!C30="","",'ORDER ENTRY FORM'!C30)</f>
        <v/>
      </c>
      <c r="B42" s="49" t="str">
        <f>IF('ORDER ENTRY FORM'!D30="","",'ORDER ENTRY FORM'!D30)</f>
        <v/>
      </c>
      <c r="C42" s="57"/>
      <c r="D42" s="58"/>
      <c r="E42" s="36"/>
      <c r="F42" s="59" t="str">
        <f t="shared" si="0"/>
        <v/>
      </c>
      <c r="G42" s="60" t="str">
        <f>IF('ORDER ENTRY FORM'!E30="","",'ORDER ENTRY FORM'!E30)</f>
        <v/>
      </c>
      <c r="H42" s="194" t="str">
        <f>IF('ORDER ENTRY FORM'!F30="","",'ORDER ENTRY FORM'!F30)</f>
        <v/>
      </c>
      <c r="I42" s="61" t="str">
        <f>IF(A42="","",ROUNDUP(G42/VLOOKUP(A42,bhpc_data[],9,FALSE),0))</f>
        <v/>
      </c>
      <c r="J42" s="198" t="str">
        <f t="shared" si="1"/>
        <v/>
      </c>
      <c r="K42" s="61" t="str">
        <f t="shared" si="2"/>
        <v/>
      </c>
    </row>
    <row r="43" spans="1:11">
      <c r="A43" s="56" t="str">
        <f>IF('ORDER ENTRY FORM'!C31="","",'ORDER ENTRY FORM'!C31)</f>
        <v/>
      </c>
      <c r="B43" s="49" t="str">
        <f>IF('ORDER ENTRY FORM'!D31="","",'ORDER ENTRY FORM'!D31)</f>
        <v/>
      </c>
      <c r="C43" s="57"/>
      <c r="D43" s="58"/>
      <c r="E43" s="36"/>
      <c r="F43" s="59" t="str">
        <f t="shared" si="0"/>
        <v/>
      </c>
      <c r="G43" s="60" t="str">
        <f>IF('ORDER ENTRY FORM'!E31="","",'ORDER ENTRY FORM'!E31)</f>
        <v/>
      </c>
      <c r="H43" s="194" t="str">
        <f>IF('ORDER ENTRY FORM'!F31="","",'ORDER ENTRY FORM'!F31)</f>
        <v/>
      </c>
      <c r="I43" s="61" t="str">
        <f>IF(A43="","",ROUNDUP(G43/VLOOKUP(A43,bhpc_data[],9,FALSE),0))</f>
        <v/>
      </c>
      <c r="J43" s="198" t="str">
        <f t="shared" si="1"/>
        <v/>
      </c>
      <c r="K43" s="61" t="str">
        <f t="shared" si="2"/>
        <v/>
      </c>
    </row>
    <row r="44" spans="1:11">
      <c r="A44" s="56" t="str">
        <f>IF('ORDER ENTRY FORM'!C32="","",'ORDER ENTRY FORM'!C32)</f>
        <v/>
      </c>
      <c r="B44" s="49" t="str">
        <f>IF('ORDER ENTRY FORM'!D32="","",'ORDER ENTRY FORM'!D32)</f>
        <v/>
      </c>
      <c r="C44" s="57"/>
      <c r="D44" s="58"/>
      <c r="E44" s="36"/>
      <c r="F44" s="59" t="str">
        <f t="shared" si="0"/>
        <v/>
      </c>
      <c r="G44" s="60" t="str">
        <f>IF('ORDER ENTRY FORM'!E32="","",'ORDER ENTRY FORM'!E32)</f>
        <v/>
      </c>
      <c r="H44" s="194" t="str">
        <f>IF('ORDER ENTRY FORM'!F32="","",'ORDER ENTRY FORM'!F32)</f>
        <v/>
      </c>
      <c r="I44" s="61" t="str">
        <f>IF(A44="","",ROUNDUP(G44/VLOOKUP(A44,bhpc_data[],9,FALSE),0))</f>
        <v/>
      </c>
      <c r="J44" s="198" t="str">
        <f t="shared" si="1"/>
        <v/>
      </c>
      <c r="K44" s="61" t="str">
        <f t="shared" si="2"/>
        <v/>
      </c>
    </row>
    <row r="45" spans="1:11">
      <c r="A45" s="56" t="str">
        <f>IF('ORDER ENTRY FORM'!C33="","",'ORDER ENTRY FORM'!C33)</f>
        <v/>
      </c>
      <c r="B45" s="49" t="str">
        <f>IF('ORDER ENTRY FORM'!D33="","",'ORDER ENTRY FORM'!D33)</f>
        <v/>
      </c>
      <c r="C45" s="57"/>
      <c r="D45" s="58"/>
      <c r="E45" s="36"/>
      <c r="F45" s="59" t="str">
        <f t="shared" si="0"/>
        <v/>
      </c>
      <c r="G45" s="60" t="str">
        <f>IF('ORDER ENTRY FORM'!E33="","",'ORDER ENTRY FORM'!E33)</f>
        <v/>
      </c>
      <c r="H45" s="194" t="str">
        <f>IF('ORDER ENTRY FORM'!F33="","",'ORDER ENTRY FORM'!F33)</f>
        <v/>
      </c>
      <c r="I45" s="61" t="str">
        <f>IF(A45="","",ROUNDUP(G45/VLOOKUP(A45,bhpc_data[],9,FALSE),0))</f>
        <v/>
      </c>
      <c r="J45" s="198" t="str">
        <f t="shared" si="1"/>
        <v/>
      </c>
      <c r="K45" s="61" t="str">
        <f t="shared" si="2"/>
        <v/>
      </c>
    </row>
    <row r="46" spans="1:11">
      <c r="A46" s="56" t="str">
        <f>IF('ORDER ENTRY FORM'!C34="","",'ORDER ENTRY FORM'!C34)</f>
        <v/>
      </c>
      <c r="B46" s="49" t="str">
        <f>IF('ORDER ENTRY FORM'!D34="","",'ORDER ENTRY FORM'!D34)</f>
        <v/>
      </c>
      <c r="C46" s="57"/>
      <c r="D46" s="58"/>
      <c r="E46" s="36"/>
      <c r="F46" s="59" t="str">
        <f t="shared" si="0"/>
        <v/>
      </c>
      <c r="G46" s="60" t="str">
        <f>IF('ORDER ENTRY FORM'!E34="","",'ORDER ENTRY FORM'!E34)</f>
        <v/>
      </c>
      <c r="H46" s="194" t="str">
        <f>IF('ORDER ENTRY FORM'!F34="","",'ORDER ENTRY FORM'!F34)</f>
        <v/>
      </c>
      <c r="I46" s="61" t="str">
        <f>IF(A46="","",ROUNDUP(G46/VLOOKUP(A46,bhpc_data[],9,FALSE),0))</f>
        <v/>
      </c>
      <c r="J46" s="198" t="str">
        <f t="shared" si="1"/>
        <v/>
      </c>
      <c r="K46" s="61" t="str">
        <f t="shared" si="2"/>
        <v/>
      </c>
    </row>
    <row r="47" spans="1:11">
      <c r="A47" s="56" t="str">
        <f>IF('ORDER ENTRY FORM'!C35="","",'ORDER ENTRY FORM'!C35)</f>
        <v/>
      </c>
      <c r="B47" s="49" t="str">
        <f>IF('ORDER ENTRY FORM'!D35="","",'ORDER ENTRY FORM'!D35)</f>
        <v/>
      </c>
      <c r="C47" s="57"/>
      <c r="D47" s="58"/>
      <c r="E47" s="36"/>
      <c r="F47" s="59" t="str">
        <f t="shared" si="0"/>
        <v/>
      </c>
      <c r="G47" s="60" t="str">
        <f>IF('ORDER ENTRY FORM'!E35="","",'ORDER ENTRY FORM'!E35)</f>
        <v/>
      </c>
      <c r="H47" s="194" t="str">
        <f>IF('ORDER ENTRY FORM'!F35="","",'ORDER ENTRY FORM'!F35)</f>
        <v/>
      </c>
      <c r="I47" s="61" t="str">
        <f>IF(A47="","",ROUNDUP(G47/VLOOKUP(A47,bhpc_data[],9,FALSE),0))</f>
        <v/>
      </c>
      <c r="J47" s="198" t="str">
        <f t="shared" si="1"/>
        <v/>
      </c>
      <c r="K47" s="61" t="str">
        <f t="shared" si="2"/>
        <v/>
      </c>
    </row>
    <row r="48" spans="1:11">
      <c r="A48" s="56" t="str">
        <f>IF('ORDER ENTRY FORM'!C36="","",'ORDER ENTRY FORM'!C36)</f>
        <v/>
      </c>
      <c r="B48" s="49" t="str">
        <f>IF('ORDER ENTRY FORM'!D36="","",'ORDER ENTRY FORM'!D36)</f>
        <v/>
      </c>
      <c r="C48" s="57"/>
      <c r="D48" s="58"/>
      <c r="E48" s="36"/>
      <c r="F48" s="59" t="str">
        <f t="shared" si="0"/>
        <v/>
      </c>
      <c r="G48" s="60" t="str">
        <f>IF('ORDER ENTRY FORM'!E36="","",'ORDER ENTRY FORM'!E36)</f>
        <v/>
      </c>
      <c r="H48" s="194" t="str">
        <f>IF('ORDER ENTRY FORM'!F36="","",'ORDER ENTRY FORM'!F36)</f>
        <v/>
      </c>
      <c r="I48" s="61" t="str">
        <f>IF(A48="","",ROUNDUP(G48/VLOOKUP(A48,bhpc_data[],9,FALSE),0))</f>
        <v/>
      </c>
      <c r="J48" s="198" t="str">
        <f t="shared" si="1"/>
        <v/>
      </c>
      <c r="K48" s="61" t="str">
        <f t="shared" si="2"/>
        <v/>
      </c>
    </row>
    <row r="49" spans="1:11">
      <c r="A49" s="56" t="str">
        <f>IF('ORDER ENTRY FORM'!C37="","",'ORDER ENTRY FORM'!C37)</f>
        <v/>
      </c>
      <c r="B49" s="49" t="str">
        <f>IF('ORDER ENTRY FORM'!D37="","",'ORDER ENTRY FORM'!D37)</f>
        <v/>
      </c>
      <c r="C49" s="57"/>
      <c r="D49" s="58"/>
      <c r="E49" s="36"/>
      <c r="F49" s="59" t="str">
        <f t="shared" si="0"/>
        <v/>
      </c>
      <c r="G49" s="60" t="str">
        <f>IF('ORDER ENTRY FORM'!E37="","",'ORDER ENTRY FORM'!E37)</f>
        <v/>
      </c>
      <c r="H49" s="194" t="str">
        <f>IF('ORDER ENTRY FORM'!F37="","",'ORDER ENTRY FORM'!F37)</f>
        <v/>
      </c>
      <c r="I49" s="61" t="str">
        <f>IF(A49="","",ROUNDUP(G49/VLOOKUP(A49,bhpc_data[],9,FALSE),0))</f>
        <v/>
      </c>
      <c r="J49" s="198" t="str">
        <f t="shared" si="1"/>
        <v/>
      </c>
      <c r="K49" s="61" t="str">
        <f t="shared" si="2"/>
        <v/>
      </c>
    </row>
    <row r="50" spans="1:11">
      <c r="A50" s="56" t="str">
        <f>IF('ORDER ENTRY FORM'!C38="","",'ORDER ENTRY FORM'!C38)</f>
        <v/>
      </c>
      <c r="B50" s="49" t="str">
        <f>IF('ORDER ENTRY FORM'!D38="","",'ORDER ENTRY FORM'!D38)</f>
        <v/>
      </c>
      <c r="C50" s="57"/>
      <c r="D50" s="58"/>
      <c r="E50" s="36"/>
      <c r="F50" s="59" t="str">
        <f t="shared" si="0"/>
        <v/>
      </c>
      <c r="G50" s="60" t="str">
        <f>IF('ORDER ENTRY FORM'!E38="","",'ORDER ENTRY FORM'!E38)</f>
        <v/>
      </c>
      <c r="H50" s="194" t="str">
        <f>IF('ORDER ENTRY FORM'!F38="","",'ORDER ENTRY FORM'!F38)</f>
        <v/>
      </c>
      <c r="I50" s="61" t="str">
        <f>IF(A50="","",ROUNDUP(G50/VLOOKUP(A50,bhpc_data[],9,FALSE),0))</f>
        <v/>
      </c>
      <c r="J50" s="198" t="str">
        <f t="shared" si="1"/>
        <v/>
      </c>
      <c r="K50" s="61" t="str">
        <f t="shared" si="2"/>
        <v/>
      </c>
    </row>
    <row r="51" spans="1:11">
      <c r="A51" s="56" t="str">
        <f>IF('ORDER ENTRY FORM'!C39="","",'ORDER ENTRY FORM'!C39)</f>
        <v/>
      </c>
      <c r="B51" s="49" t="str">
        <f>IF('ORDER ENTRY FORM'!D39="","",'ORDER ENTRY FORM'!D39)</f>
        <v/>
      </c>
      <c r="C51" s="57"/>
      <c r="D51" s="58"/>
      <c r="E51" s="36"/>
      <c r="F51" s="59" t="str">
        <f t="shared" si="0"/>
        <v/>
      </c>
      <c r="G51" s="60" t="str">
        <f>IF('ORDER ENTRY FORM'!E39="","",'ORDER ENTRY FORM'!E39)</f>
        <v/>
      </c>
      <c r="H51" s="194" t="str">
        <f>IF('ORDER ENTRY FORM'!F39="","",'ORDER ENTRY FORM'!F39)</f>
        <v/>
      </c>
      <c r="I51" s="61" t="str">
        <f>IF(A51="","",ROUNDUP(G51/VLOOKUP(A51,bhpc_data[],9,FALSE),0))</f>
        <v/>
      </c>
      <c r="J51" s="198" t="str">
        <f t="shared" si="1"/>
        <v/>
      </c>
      <c r="K51" s="61" t="str">
        <f t="shared" si="2"/>
        <v/>
      </c>
    </row>
    <row r="52" spans="1:11">
      <c r="A52" s="56" t="str">
        <f>IF('ORDER ENTRY FORM'!C40="","",'ORDER ENTRY FORM'!C40)</f>
        <v/>
      </c>
      <c r="B52" s="49" t="str">
        <f>IF('ORDER ENTRY FORM'!D40="","",'ORDER ENTRY FORM'!D40)</f>
        <v/>
      </c>
      <c r="C52" s="57"/>
      <c r="D52" s="58"/>
      <c r="E52" s="36"/>
      <c r="F52" s="59" t="str">
        <f t="shared" si="0"/>
        <v/>
      </c>
      <c r="G52" s="60" t="str">
        <f>IF('ORDER ENTRY FORM'!E40="","",'ORDER ENTRY FORM'!E40)</f>
        <v/>
      </c>
      <c r="H52" s="194" t="str">
        <f>IF('ORDER ENTRY FORM'!F40="","",'ORDER ENTRY FORM'!F40)</f>
        <v/>
      </c>
      <c r="I52" s="61" t="str">
        <f>IF(A52="","",ROUNDUP(G52/VLOOKUP(A52,bhpc_data[],9,FALSE),0))</f>
        <v/>
      </c>
      <c r="J52" s="198" t="str">
        <f t="shared" si="1"/>
        <v/>
      </c>
      <c r="K52" s="61" t="str">
        <f t="shared" si="2"/>
        <v/>
      </c>
    </row>
    <row r="53" spans="1:11">
      <c r="A53" s="56" t="str">
        <f>IF('ORDER ENTRY FORM'!C41="","",'ORDER ENTRY FORM'!C41)</f>
        <v/>
      </c>
      <c r="B53" s="49" t="str">
        <f>IF('ORDER ENTRY FORM'!D41="","",'ORDER ENTRY FORM'!D41)</f>
        <v/>
      </c>
      <c r="C53" s="57"/>
      <c r="D53" s="58"/>
      <c r="E53" s="36"/>
      <c r="F53" s="59" t="str">
        <f t="shared" si="0"/>
        <v/>
      </c>
      <c r="G53" s="60" t="str">
        <f>IF('ORDER ENTRY FORM'!E41="","",'ORDER ENTRY FORM'!E41)</f>
        <v/>
      </c>
      <c r="H53" s="194" t="str">
        <f>IF('ORDER ENTRY FORM'!F41="","",'ORDER ENTRY FORM'!F41)</f>
        <v/>
      </c>
      <c r="I53" s="61" t="str">
        <f>IF(A53="","",ROUNDUP(G53/VLOOKUP(A53,bhpc_data[],9,FALSE),0))</f>
        <v/>
      </c>
      <c r="J53" s="198" t="str">
        <f t="shared" si="1"/>
        <v/>
      </c>
      <c r="K53" s="61" t="str">
        <f t="shared" si="2"/>
        <v/>
      </c>
    </row>
    <row r="54" spans="1:11">
      <c r="A54" s="56" t="str">
        <f>IF('ORDER ENTRY FORM'!C42="","",'ORDER ENTRY FORM'!C42)</f>
        <v/>
      </c>
      <c r="B54" s="49" t="str">
        <f>IF('ORDER ENTRY FORM'!D42="","",'ORDER ENTRY FORM'!D42)</f>
        <v/>
      </c>
      <c r="C54" s="57"/>
      <c r="D54" s="58"/>
      <c r="E54" s="36"/>
      <c r="F54" s="59" t="str">
        <f t="shared" si="0"/>
        <v/>
      </c>
      <c r="G54" s="60" t="str">
        <f>IF('ORDER ENTRY FORM'!E42="","",'ORDER ENTRY FORM'!E42)</f>
        <v/>
      </c>
      <c r="H54" s="194" t="str">
        <f>IF('ORDER ENTRY FORM'!F42="","",'ORDER ENTRY FORM'!F42)</f>
        <v/>
      </c>
      <c r="I54" s="61" t="str">
        <f>IF(A54="","",ROUNDUP(G54/VLOOKUP(A54,bhpc_data[],9,FALSE),0))</f>
        <v/>
      </c>
      <c r="J54" s="198" t="str">
        <f t="shared" si="1"/>
        <v/>
      </c>
      <c r="K54" s="61" t="str">
        <f t="shared" si="2"/>
        <v/>
      </c>
    </row>
    <row r="55" spans="1:11">
      <c r="A55" s="56" t="str">
        <f>IF('ORDER ENTRY FORM'!C43="","",'ORDER ENTRY FORM'!C43)</f>
        <v/>
      </c>
      <c r="B55" s="49" t="str">
        <f>IF('ORDER ENTRY FORM'!D43="","",'ORDER ENTRY FORM'!D43)</f>
        <v/>
      </c>
      <c r="C55" s="57"/>
      <c r="D55" s="58"/>
      <c r="E55" s="36"/>
      <c r="F55" s="59" t="str">
        <f t="shared" si="0"/>
        <v/>
      </c>
      <c r="G55" s="60" t="str">
        <f>IF('ORDER ENTRY FORM'!E43="","",'ORDER ENTRY FORM'!E43)</f>
        <v/>
      </c>
      <c r="H55" s="194" t="str">
        <f>IF('ORDER ENTRY FORM'!F43="","",'ORDER ENTRY FORM'!F43)</f>
        <v/>
      </c>
      <c r="I55" s="61" t="str">
        <f>IF(A55="","",ROUNDUP(G55/VLOOKUP(A55,bhpc_data[],9,FALSE),0))</f>
        <v/>
      </c>
      <c r="J55" s="198" t="str">
        <f t="shared" si="1"/>
        <v/>
      </c>
      <c r="K55" s="61" t="str">
        <f t="shared" si="2"/>
        <v/>
      </c>
    </row>
    <row r="56" spans="1:11">
      <c r="A56" s="56" t="str">
        <f>IF('ORDER ENTRY FORM'!C44="","",'ORDER ENTRY FORM'!C44)</f>
        <v/>
      </c>
      <c r="B56" s="49" t="str">
        <f>IF('ORDER ENTRY FORM'!D44="","",'ORDER ENTRY FORM'!D44)</f>
        <v/>
      </c>
      <c r="C56" s="57"/>
      <c r="D56" s="58"/>
      <c r="E56" s="36"/>
      <c r="F56" s="59" t="str">
        <f t="shared" si="0"/>
        <v/>
      </c>
      <c r="G56" s="60" t="str">
        <f>IF('ORDER ENTRY FORM'!E44="","",'ORDER ENTRY FORM'!E44)</f>
        <v/>
      </c>
      <c r="H56" s="194" t="str">
        <f>IF('ORDER ENTRY FORM'!F44="","",'ORDER ENTRY FORM'!F44)</f>
        <v/>
      </c>
      <c r="I56" s="61" t="str">
        <f>IF(A56="","",ROUNDUP(G56/VLOOKUP(A56,bhpc_data[],9,FALSE),0))</f>
        <v/>
      </c>
      <c r="J56" s="198" t="str">
        <f t="shared" si="1"/>
        <v/>
      </c>
      <c r="K56" s="61" t="str">
        <f t="shared" si="2"/>
        <v/>
      </c>
    </row>
    <row r="57" spans="1:11">
      <c r="A57" s="56" t="str">
        <f>IF('ORDER ENTRY FORM'!C45="","",'ORDER ENTRY FORM'!C45)</f>
        <v/>
      </c>
      <c r="B57" s="49" t="str">
        <f>IF('ORDER ENTRY FORM'!D45="","",'ORDER ENTRY FORM'!D45)</f>
        <v/>
      </c>
      <c r="C57" s="57"/>
      <c r="D57" s="58"/>
      <c r="E57" s="36"/>
      <c r="F57" s="59" t="str">
        <f t="shared" si="0"/>
        <v/>
      </c>
      <c r="G57" s="60" t="str">
        <f>IF('ORDER ENTRY FORM'!E45="","",'ORDER ENTRY FORM'!E45)</f>
        <v/>
      </c>
      <c r="H57" s="194" t="str">
        <f>IF('ORDER ENTRY FORM'!F45="","",'ORDER ENTRY FORM'!F45)</f>
        <v/>
      </c>
      <c r="I57" s="61" t="str">
        <f>IF(A57="","",ROUNDUP(G57/VLOOKUP(A57,bhpc_data[],9,FALSE),0))</f>
        <v/>
      </c>
      <c r="J57" s="198" t="str">
        <f t="shared" si="1"/>
        <v/>
      </c>
      <c r="K57" s="61" t="str">
        <f t="shared" si="2"/>
        <v/>
      </c>
    </row>
    <row r="58" spans="1:11">
      <c r="A58" s="56" t="str">
        <f>IF('ORDER ENTRY FORM'!C46="","",'ORDER ENTRY FORM'!C46)</f>
        <v/>
      </c>
      <c r="B58" s="49" t="str">
        <f>IF('ORDER ENTRY FORM'!D46="","",'ORDER ENTRY FORM'!D46)</f>
        <v/>
      </c>
      <c r="C58" s="57"/>
      <c r="D58" s="58"/>
      <c r="E58" s="36"/>
      <c r="F58" s="59" t="str">
        <f t="shared" si="0"/>
        <v/>
      </c>
      <c r="G58" s="60" t="str">
        <f>IF('ORDER ENTRY FORM'!E46="","",'ORDER ENTRY FORM'!E46)</f>
        <v/>
      </c>
      <c r="H58" s="194" t="str">
        <f>IF('ORDER ENTRY FORM'!F46="","",'ORDER ENTRY FORM'!F46)</f>
        <v/>
      </c>
      <c r="I58" s="61" t="str">
        <f>IF(A58="","",ROUNDUP(G58/VLOOKUP(A58,bhpc_data[],9,FALSE),0))</f>
        <v/>
      </c>
      <c r="J58" s="198" t="str">
        <f t="shared" si="1"/>
        <v/>
      </c>
      <c r="K58" s="61" t="str">
        <f t="shared" si="2"/>
        <v/>
      </c>
    </row>
    <row r="59" spans="1:11">
      <c r="A59" s="56" t="str">
        <f>IF('ORDER ENTRY FORM'!C47="","",'ORDER ENTRY FORM'!C47)</f>
        <v/>
      </c>
      <c r="B59" s="49" t="str">
        <f>IF('ORDER ENTRY FORM'!D47="","",'ORDER ENTRY FORM'!D47)</f>
        <v/>
      </c>
      <c r="C59" s="57"/>
      <c r="D59" s="58"/>
      <c r="E59" s="36"/>
      <c r="F59" s="59" t="str">
        <f t="shared" si="0"/>
        <v/>
      </c>
      <c r="G59" s="60" t="str">
        <f>IF('ORDER ENTRY FORM'!E47="","",'ORDER ENTRY FORM'!E47)</f>
        <v/>
      </c>
      <c r="H59" s="194" t="str">
        <f>IF('ORDER ENTRY FORM'!F47="","",'ORDER ENTRY FORM'!F47)</f>
        <v/>
      </c>
      <c r="I59" s="61" t="str">
        <f>IF(A59="","",ROUNDUP(G59/VLOOKUP(A59,bhpc_data[],9,FALSE),0))</f>
        <v/>
      </c>
      <c r="J59" s="198" t="str">
        <f t="shared" si="1"/>
        <v/>
      </c>
      <c r="K59" s="61" t="str">
        <f t="shared" si="2"/>
        <v/>
      </c>
    </row>
    <row r="60" spans="1:11">
      <c r="A60" s="56" t="str">
        <f>IF('ORDER ENTRY FORM'!C48="","",'ORDER ENTRY FORM'!C48)</f>
        <v/>
      </c>
      <c r="B60" s="49" t="str">
        <f>IF('ORDER ENTRY FORM'!D48="","",'ORDER ENTRY FORM'!D48)</f>
        <v/>
      </c>
      <c r="C60" s="57"/>
      <c r="D60" s="58"/>
      <c r="E60" s="36"/>
      <c r="F60" s="59" t="str">
        <f t="shared" si="0"/>
        <v/>
      </c>
      <c r="G60" s="60" t="str">
        <f>IF('ORDER ENTRY FORM'!E48="","",'ORDER ENTRY FORM'!E48)</f>
        <v/>
      </c>
      <c r="H60" s="194" t="str">
        <f>IF('ORDER ENTRY FORM'!F48="","",'ORDER ENTRY FORM'!F48)</f>
        <v/>
      </c>
      <c r="I60" s="61" t="str">
        <f>IF(A60="","",ROUNDUP(G60/VLOOKUP(A60,bhpc_data[],9,FALSE),0))</f>
        <v/>
      </c>
      <c r="J60" s="198" t="str">
        <f t="shared" si="1"/>
        <v/>
      </c>
      <c r="K60" s="61" t="str">
        <f t="shared" si="2"/>
        <v/>
      </c>
    </row>
    <row r="61" spans="1:11">
      <c r="A61" s="56" t="str">
        <f>IF('ORDER ENTRY FORM'!C49="","",'ORDER ENTRY FORM'!C49)</f>
        <v/>
      </c>
      <c r="B61" s="49" t="str">
        <f>IF('ORDER ENTRY FORM'!D49="","",'ORDER ENTRY FORM'!D49)</f>
        <v/>
      </c>
      <c r="C61" s="57"/>
      <c r="D61" s="58"/>
      <c r="E61" s="36"/>
      <c r="F61" s="59" t="str">
        <f t="shared" si="0"/>
        <v/>
      </c>
      <c r="G61" s="60" t="str">
        <f>IF('ORDER ENTRY FORM'!E49="","",'ORDER ENTRY FORM'!E49)</f>
        <v/>
      </c>
      <c r="H61" s="194" t="str">
        <f>IF('ORDER ENTRY FORM'!F49="","",'ORDER ENTRY FORM'!F49)</f>
        <v/>
      </c>
      <c r="I61" s="61" t="str">
        <f>IF(A61="","",ROUNDUP(G61/VLOOKUP(A61,bhpc_data[],9,FALSE),0))</f>
        <v/>
      </c>
      <c r="J61" s="198" t="str">
        <f t="shared" si="1"/>
        <v/>
      </c>
      <c r="K61" s="61" t="str">
        <f t="shared" si="2"/>
        <v/>
      </c>
    </row>
    <row r="62" spans="1:11">
      <c r="A62" s="56" t="str">
        <f>IF('ORDER ENTRY FORM'!C50="","",'ORDER ENTRY FORM'!C50)</f>
        <v/>
      </c>
      <c r="B62" s="49" t="str">
        <f>IF('ORDER ENTRY FORM'!D50="","",'ORDER ENTRY FORM'!D50)</f>
        <v/>
      </c>
      <c r="C62" s="57"/>
      <c r="D62" s="58"/>
      <c r="E62" s="36"/>
      <c r="F62" s="59" t="str">
        <f t="shared" si="0"/>
        <v/>
      </c>
      <c r="G62" s="60" t="str">
        <f>IF('ORDER ENTRY FORM'!E50="","",'ORDER ENTRY FORM'!E50)</f>
        <v/>
      </c>
      <c r="H62" s="194" t="str">
        <f>IF('ORDER ENTRY FORM'!F50="","",'ORDER ENTRY FORM'!F50)</f>
        <v/>
      </c>
      <c r="I62" s="61" t="str">
        <f>IF(A62="","",ROUNDUP(G62/VLOOKUP(A62,bhpc_data[],9,FALSE),0))</f>
        <v/>
      </c>
      <c r="J62" s="198" t="str">
        <f t="shared" si="1"/>
        <v/>
      </c>
      <c r="K62" s="61" t="str">
        <f t="shared" si="2"/>
        <v/>
      </c>
    </row>
    <row r="63" spans="1:11">
      <c r="A63" s="56" t="str">
        <f>IF('ORDER ENTRY FORM'!C51="","",'ORDER ENTRY FORM'!C51)</f>
        <v/>
      </c>
      <c r="B63" s="49" t="str">
        <f>IF('ORDER ENTRY FORM'!D51="","",'ORDER ENTRY FORM'!D51)</f>
        <v/>
      </c>
      <c r="C63" s="57"/>
      <c r="D63" s="58"/>
      <c r="E63" s="36"/>
      <c r="F63" s="59" t="str">
        <f t="shared" si="0"/>
        <v/>
      </c>
      <c r="G63" s="60" t="str">
        <f>IF('ORDER ENTRY FORM'!E51="","",'ORDER ENTRY FORM'!E51)</f>
        <v/>
      </c>
      <c r="H63" s="194" t="str">
        <f>IF('ORDER ENTRY FORM'!F51="","",'ORDER ENTRY FORM'!F51)</f>
        <v/>
      </c>
      <c r="I63" s="61" t="str">
        <f>IF(A63="","",ROUNDUP(G63/VLOOKUP(A63,bhpc_data[],9,FALSE),0))</f>
        <v/>
      </c>
      <c r="J63" s="198" t="str">
        <f t="shared" si="1"/>
        <v/>
      </c>
      <c r="K63" s="61" t="str">
        <f t="shared" si="2"/>
        <v/>
      </c>
    </row>
    <row r="64" spans="1:11">
      <c r="A64" s="56" t="str">
        <f>IF('ORDER ENTRY FORM'!C52="","",'ORDER ENTRY FORM'!C52)</f>
        <v/>
      </c>
      <c r="B64" s="49" t="str">
        <f>IF('ORDER ENTRY FORM'!D52="","",'ORDER ENTRY FORM'!D52)</f>
        <v/>
      </c>
      <c r="C64" s="57"/>
      <c r="D64" s="58"/>
      <c r="E64" s="36"/>
      <c r="F64" s="59" t="str">
        <f t="shared" si="0"/>
        <v/>
      </c>
      <c r="G64" s="60" t="str">
        <f>IF('ORDER ENTRY FORM'!E52="","",'ORDER ENTRY FORM'!E52)</f>
        <v/>
      </c>
      <c r="H64" s="194" t="str">
        <f>IF('ORDER ENTRY FORM'!F52="","",'ORDER ENTRY FORM'!F52)</f>
        <v/>
      </c>
      <c r="I64" s="61" t="str">
        <f>IF(A64="","",ROUNDUP(G64/VLOOKUP(A64,bhpc_data[],9,FALSE),0))</f>
        <v/>
      </c>
      <c r="J64" s="198" t="str">
        <f t="shared" si="1"/>
        <v/>
      </c>
      <c r="K64" s="61" t="str">
        <f t="shared" si="2"/>
        <v/>
      </c>
    </row>
    <row r="65" spans="1:11">
      <c r="A65" s="56" t="str">
        <f>IF('ORDER ENTRY FORM'!C53="","",'ORDER ENTRY FORM'!C53)</f>
        <v/>
      </c>
      <c r="B65" s="49" t="str">
        <f>IF('ORDER ENTRY FORM'!D53="","",'ORDER ENTRY FORM'!D53)</f>
        <v/>
      </c>
      <c r="C65" s="57"/>
      <c r="D65" s="58"/>
      <c r="E65" s="36"/>
      <c r="F65" s="59" t="str">
        <f t="shared" si="0"/>
        <v/>
      </c>
      <c r="G65" s="60" t="str">
        <f>IF('ORDER ENTRY FORM'!E53="","",'ORDER ENTRY FORM'!E53)</f>
        <v/>
      </c>
      <c r="H65" s="194" t="str">
        <f>IF('ORDER ENTRY FORM'!F53="","",'ORDER ENTRY FORM'!F53)</f>
        <v/>
      </c>
      <c r="I65" s="61" t="str">
        <f>IF(A65="","",ROUNDUP(G65/VLOOKUP(A65,bhpc_data[],9,FALSE),0))</f>
        <v/>
      </c>
      <c r="J65" s="198" t="str">
        <f t="shared" si="1"/>
        <v/>
      </c>
      <c r="K65" s="61" t="str">
        <f t="shared" si="2"/>
        <v/>
      </c>
    </row>
    <row r="66" spans="1:11">
      <c r="A66" s="56" t="str">
        <f>IF('ORDER ENTRY FORM'!C54="","",'ORDER ENTRY FORM'!C54)</f>
        <v/>
      </c>
      <c r="B66" s="49" t="str">
        <f>IF('ORDER ENTRY FORM'!D54="","",'ORDER ENTRY FORM'!D54)</f>
        <v/>
      </c>
      <c r="C66" s="57"/>
      <c r="D66" s="58"/>
      <c r="E66" s="36"/>
      <c r="F66" s="59" t="str">
        <f t="shared" si="0"/>
        <v/>
      </c>
      <c r="G66" s="60" t="str">
        <f>IF('ORDER ENTRY FORM'!E54="","",'ORDER ENTRY FORM'!E54)</f>
        <v/>
      </c>
      <c r="H66" s="194" t="str">
        <f>IF('ORDER ENTRY FORM'!F54="","",'ORDER ENTRY FORM'!F54)</f>
        <v/>
      </c>
      <c r="I66" s="61" t="str">
        <f>IF(A66="","",ROUNDUP(G66/VLOOKUP(A66,bhpc_data[],9,FALSE),0))</f>
        <v/>
      </c>
      <c r="J66" s="198" t="str">
        <f t="shared" si="1"/>
        <v/>
      </c>
      <c r="K66" s="61" t="str">
        <f t="shared" si="2"/>
        <v/>
      </c>
    </row>
    <row r="67" spans="1:11">
      <c r="A67" s="56" t="str">
        <f>IF('ORDER ENTRY FORM'!C55="","",'ORDER ENTRY FORM'!C55)</f>
        <v/>
      </c>
      <c r="B67" s="49" t="str">
        <f>IF('ORDER ENTRY FORM'!D55="","",'ORDER ENTRY FORM'!D55)</f>
        <v/>
      </c>
      <c r="C67" s="57"/>
      <c r="D67" s="58"/>
      <c r="E67" s="36"/>
      <c r="F67" s="59" t="str">
        <f t="shared" si="0"/>
        <v/>
      </c>
      <c r="G67" s="60" t="str">
        <f>IF('ORDER ENTRY FORM'!E55="","",'ORDER ENTRY FORM'!E55)</f>
        <v/>
      </c>
      <c r="H67" s="194" t="str">
        <f>IF('ORDER ENTRY FORM'!F55="","",'ORDER ENTRY FORM'!F55)</f>
        <v/>
      </c>
      <c r="I67" s="61" t="str">
        <f>IF(A67="","",ROUNDUP(G67/VLOOKUP(A67,bhpc_data[],9,FALSE),0))</f>
        <v/>
      </c>
      <c r="J67" s="198" t="str">
        <f t="shared" si="1"/>
        <v/>
      </c>
      <c r="K67" s="61" t="str">
        <f t="shared" si="2"/>
        <v/>
      </c>
    </row>
    <row r="68" spans="1:11">
      <c r="A68" s="56" t="str">
        <f>IF('ORDER ENTRY FORM'!C56="","",'ORDER ENTRY FORM'!C56)</f>
        <v/>
      </c>
      <c r="B68" s="49" t="str">
        <f>IF('ORDER ENTRY FORM'!D56="","",'ORDER ENTRY FORM'!D56)</f>
        <v/>
      </c>
      <c r="C68" s="57"/>
      <c r="D68" s="58"/>
      <c r="E68" s="36"/>
      <c r="F68" s="59" t="str">
        <f t="shared" si="0"/>
        <v/>
      </c>
      <c r="G68" s="60" t="str">
        <f>IF('ORDER ENTRY FORM'!E56="","",'ORDER ENTRY FORM'!E56)</f>
        <v/>
      </c>
      <c r="H68" s="194" t="str">
        <f>IF('ORDER ENTRY FORM'!F56="","",'ORDER ENTRY FORM'!F56)</f>
        <v/>
      </c>
      <c r="I68" s="61" t="str">
        <f>IF(A68="","",ROUNDUP(G68/VLOOKUP(A68,bhpc_data[],9,FALSE),0))</f>
        <v/>
      </c>
      <c r="J68" s="198" t="str">
        <f t="shared" si="1"/>
        <v/>
      </c>
      <c r="K68" s="61" t="str">
        <f t="shared" si="2"/>
        <v/>
      </c>
    </row>
    <row r="69" spans="1:11">
      <c r="A69" s="56" t="str">
        <f>IF('ORDER ENTRY FORM'!C57="","",'ORDER ENTRY FORM'!C57)</f>
        <v/>
      </c>
      <c r="B69" s="49" t="str">
        <f>IF('ORDER ENTRY FORM'!D57="","",'ORDER ENTRY FORM'!D57)</f>
        <v/>
      </c>
      <c r="C69" s="57"/>
      <c r="D69" s="58"/>
      <c r="E69" s="36"/>
      <c r="F69" s="59" t="str">
        <f t="shared" si="0"/>
        <v/>
      </c>
      <c r="G69" s="60" t="str">
        <f>IF('ORDER ENTRY FORM'!E57="","",'ORDER ENTRY FORM'!E57)</f>
        <v/>
      </c>
      <c r="H69" s="194" t="str">
        <f>IF('ORDER ENTRY FORM'!F57="","",'ORDER ENTRY FORM'!F57)</f>
        <v/>
      </c>
      <c r="I69" s="61" t="str">
        <f>IF(A69="","",ROUNDUP(G69/VLOOKUP(A69,bhpc_data[],9,FALSE),0))</f>
        <v/>
      </c>
      <c r="J69" s="198" t="str">
        <f t="shared" si="1"/>
        <v/>
      </c>
      <c r="K69" s="61" t="str">
        <f t="shared" si="2"/>
        <v/>
      </c>
    </row>
    <row r="70" spans="1:11">
      <c r="A70" s="56" t="str">
        <f>IF('ORDER ENTRY FORM'!C58="","",'ORDER ENTRY FORM'!C58)</f>
        <v/>
      </c>
      <c r="B70" s="49" t="str">
        <f>IF('ORDER ENTRY FORM'!D58="","",'ORDER ENTRY FORM'!D58)</f>
        <v/>
      </c>
      <c r="C70" s="57"/>
      <c r="D70" s="58"/>
      <c r="E70" s="36"/>
      <c r="F70" s="59" t="str">
        <f t="shared" si="0"/>
        <v/>
      </c>
      <c r="G70" s="60" t="str">
        <f>IF('ORDER ENTRY FORM'!E58="","",'ORDER ENTRY FORM'!E58)</f>
        <v/>
      </c>
      <c r="H70" s="194" t="str">
        <f>IF('ORDER ENTRY FORM'!F58="","",'ORDER ENTRY FORM'!F58)</f>
        <v/>
      </c>
      <c r="I70" s="61" t="str">
        <f>IF(A70="","",ROUNDUP(G70/VLOOKUP(A70,bhpc_data[],9,FALSE),0))</f>
        <v/>
      </c>
      <c r="J70" s="198" t="str">
        <f t="shared" si="1"/>
        <v/>
      </c>
      <c r="K70" s="61" t="str">
        <f t="shared" si="2"/>
        <v/>
      </c>
    </row>
    <row r="71" spans="1:11">
      <c r="A71" s="56" t="str">
        <f>IF('ORDER ENTRY FORM'!C59="","",'ORDER ENTRY FORM'!C59)</f>
        <v/>
      </c>
      <c r="B71" s="49" t="str">
        <f>IF('ORDER ENTRY FORM'!D59="","",'ORDER ENTRY FORM'!D59)</f>
        <v/>
      </c>
      <c r="C71" s="57"/>
      <c r="D71" s="58"/>
      <c r="E71" s="36"/>
      <c r="F71" s="59" t="str">
        <f t="shared" si="0"/>
        <v/>
      </c>
      <c r="G71" s="60" t="str">
        <f>IF('ORDER ENTRY FORM'!E59="","",'ORDER ENTRY FORM'!E59)</f>
        <v/>
      </c>
      <c r="H71" s="194" t="str">
        <f>IF('ORDER ENTRY FORM'!F59="","",'ORDER ENTRY FORM'!F59)</f>
        <v/>
      </c>
      <c r="I71" s="61" t="str">
        <f>IF(A71="","",ROUNDUP(G71/VLOOKUP(A71,bhpc_data[],9,FALSE),0))</f>
        <v/>
      </c>
      <c r="J71" s="198" t="str">
        <f t="shared" si="1"/>
        <v/>
      </c>
      <c r="K71" s="61" t="str">
        <f t="shared" si="2"/>
        <v/>
      </c>
    </row>
    <row r="72" spans="1:11" ht="13">
      <c r="A72" s="56" t="str">
        <f>IF('ORDER ENTRY FORM'!C60="","",'ORDER ENTRY FORM'!C60)</f>
        <v/>
      </c>
      <c r="B72" s="50" t="str">
        <f>IF('ORDER ENTRY FORM'!D60="","",'ORDER ENTRY FORM'!D60)</f>
        <v/>
      </c>
      <c r="C72" s="57"/>
      <c r="D72" s="58"/>
      <c r="E72" s="36"/>
      <c r="F72" s="59" t="str">
        <f t="shared" si="0"/>
        <v/>
      </c>
      <c r="G72" s="60" t="str">
        <f>IF('ORDER ENTRY FORM'!E60="","",'ORDER ENTRY FORM'!E60)</f>
        <v/>
      </c>
      <c r="H72" s="194" t="str">
        <f>IF('ORDER ENTRY FORM'!F60="","",'ORDER ENTRY FORM'!F60)</f>
        <v/>
      </c>
      <c r="I72" s="61" t="str">
        <f>IF(A72="","",ROUNDUP(G72/VLOOKUP(A72,bhpc_data[],9,FALSE),0))</f>
        <v/>
      </c>
      <c r="J72" s="198" t="str">
        <f t="shared" si="1"/>
        <v/>
      </c>
      <c r="K72" s="61" t="str">
        <f t="shared" si="2"/>
        <v/>
      </c>
    </row>
    <row r="73" spans="1:11">
      <c r="A73" s="56" t="str">
        <f>IF('ORDER ENTRY FORM'!C61="","",'ORDER ENTRY FORM'!C61)</f>
        <v/>
      </c>
      <c r="B73" s="49" t="str">
        <f>IF('ORDER ENTRY FORM'!D61="","",'ORDER ENTRY FORM'!D61)</f>
        <v/>
      </c>
      <c r="C73" s="57"/>
      <c r="D73" s="58"/>
      <c r="E73" s="36"/>
      <c r="F73" s="59" t="str">
        <f t="shared" si="0"/>
        <v/>
      </c>
      <c r="G73" s="60" t="str">
        <f>IF('ORDER ENTRY FORM'!E61="","",'ORDER ENTRY FORM'!E61)</f>
        <v/>
      </c>
      <c r="H73" s="194" t="str">
        <f>IF('ORDER ENTRY FORM'!F61="","",'ORDER ENTRY FORM'!F61)</f>
        <v/>
      </c>
      <c r="I73" s="61" t="str">
        <f>IF(A73="","",ROUNDUP(G73/VLOOKUP(A73,bhpc_data[],9,FALSE),0))</f>
        <v/>
      </c>
      <c r="J73" s="198" t="str">
        <f t="shared" si="1"/>
        <v/>
      </c>
      <c r="K73" s="61" t="str">
        <f t="shared" si="2"/>
        <v/>
      </c>
    </row>
    <row r="74" spans="1:11">
      <c r="A74" s="56"/>
      <c r="B74" s="49"/>
      <c r="C74" s="57"/>
      <c r="D74" s="58"/>
      <c r="E74" s="36"/>
      <c r="F74" s="59"/>
      <c r="G74" s="60"/>
      <c r="H74" s="194"/>
      <c r="I74" s="61"/>
      <c r="J74" s="198"/>
      <c r="K74" s="61"/>
    </row>
    <row r="75" spans="1:11" ht="13">
      <c r="A75" s="56"/>
      <c r="B75" s="50" t="s">
        <v>427</v>
      </c>
      <c r="C75" s="57"/>
      <c r="D75" s="58"/>
      <c r="E75" s="36"/>
      <c r="F75" s="59"/>
      <c r="G75" s="60"/>
      <c r="H75" s="194"/>
      <c r="I75" s="61"/>
      <c r="J75" s="198"/>
      <c r="K75" s="61"/>
    </row>
    <row r="76" spans="1:11">
      <c r="A76" s="56"/>
      <c r="B76" s="49"/>
      <c r="C76" s="57"/>
      <c r="D76" s="58"/>
      <c r="E76" s="36"/>
      <c r="F76" s="59"/>
      <c r="G76" s="60"/>
      <c r="H76" s="194"/>
      <c r="I76" s="61"/>
      <c r="J76" s="198"/>
      <c r="K76" s="61"/>
    </row>
    <row r="77" spans="1:11">
      <c r="A77" s="56"/>
      <c r="B77" s="49"/>
      <c r="C77" s="57"/>
      <c r="D77" s="58"/>
      <c r="E77" s="36"/>
      <c r="F77" s="59"/>
      <c r="G77" s="60"/>
      <c r="H77" s="194"/>
      <c r="I77" s="61"/>
      <c r="J77" s="198"/>
      <c r="K77" s="61"/>
    </row>
    <row r="78" spans="1:11">
      <c r="A78" s="56"/>
      <c r="B78" s="49"/>
      <c r="C78" s="57"/>
      <c r="D78" s="58"/>
      <c r="E78" s="36"/>
      <c r="F78" s="59"/>
      <c r="G78" s="60"/>
      <c r="H78" s="194"/>
      <c r="I78" s="61"/>
      <c r="J78" s="198"/>
      <c r="K78" s="61"/>
    </row>
    <row r="79" spans="1:11">
      <c r="A79" s="56"/>
      <c r="B79" s="49"/>
      <c r="C79" s="57"/>
      <c r="D79" s="58"/>
      <c r="E79" s="36"/>
      <c r="F79" s="59"/>
      <c r="G79" s="60"/>
      <c r="H79" s="194"/>
      <c r="I79" s="61"/>
      <c r="J79" s="198"/>
      <c r="K79" s="61"/>
    </row>
    <row r="80" spans="1:11">
      <c r="A80" s="56"/>
      <c r="B80" s="49"/>
      <c r="C80" s="57"/>
      <c r="D80" s="58"/>
      <c r="E80" s="36"/>
      <c r="F80" s="59"/>
      <c r="G80" s="60"/>
      <c r="H80" s="194"/>
      <c r="I80" s="61"/>
      <c r="J80" s="198"/>
      <c r="K80" s="61"/>
    </row>
    <row r="81" spans="1:11">
      <c r="A81" s="56"/>
      <c r="B81" s="49"/>
      <c r="C81" s="57"/>
      <c r="D81" s="58"/>
      <c r="E81" s="36"/>
      <c r="F81" s="59"/>
      <c r="G81" s="60"/>
      <c r="H81" s="194"/>
      <c r="I81" s="61"/>
      <c r="J81" s="198"/>
      <c r="K81" s="61"/>
    </row>
    <row r="82" spans="1:11">
      <c r="A82" s="56"/>
      <c r="B82" s="49"/>
      <c r="C82" s="57"/>
      <c r="D82" s="58"/>
      <c r="E82" s="36"/>
      <c r="F82" s="59"/>
      <c r="G82" s="60"/>
      <c r="H82" s="194"/>
      <c r="I82" s="61"/>
      <c r="J82" s="198"/>
      <c r="K82" s="61"/>
    </row>
    <row r="83" spans="1:11">
      <c r="A83" s="56"/>
      <c r="B83" s="49"/>
      <c r="C83" s="57"/>
      <c r="D83" s="58"/>
      <c r="E83" s="36"/>
      <c r="F83" s="59"/>
      <c r="G83" s="60"/>
      <c r="H83" s="194"/>
      <c r="I83" s="61"/>
      <c r="J83" s="198"/>
      <c r="K83" s="61"/>
    </row>
    <row r="84" spans="1:11">
      <c r="A84" s="56"/>
      <c r="B84" s="49"/>
      <c r="C84" s="57"/>
      <c r="D84" s="58"/>
      <c r="E84" s="36"/>
      <c r="F84" s="59"/>
      <c r="G84" s="60"/>
      <c r="H84" s="194"/>
      <c r="I84" s="61"/>
      <c r="J84" s="198"/>
      <c r="K84" s="61"/>
    </row>
    <row r="85" spans="1:11">
      <c r="A85" s="56"/>
      <c r="B85" s="49"/>
      <c r="C85" s="57"/>
      <c r="D85" s="58"/>
      <c r="E85" s="36"/>
      <c r="F85" s="59"/>
      <c r="G85" s="60"/>
      <c r="H85" s="194"/>
      <c r="I85" s="61"/>
      <c r="J85" s="198"/>
      <c r="K85" s="61"/>
    </row>
    <row r="86" spans="1:11">
      <c r="A86" s="56"/>
      <c r="B86" s="49"/>
      <c r="C86" s="57"/>
      <c r="D86" s="58"/>
      <c r="E86" s="36"/>
      <c r="F86" s="59"/>
      <c r="G86" s="60"/>
      <c r="H86" s="194"/>
      <c r="I86" s="61"/>
      <c r="J86" s="198"/>
      <c r="K86" s="61"/>
    </row>
    <row r="87" spans="1:11">
      <c r="A87" s="56"/>
      <c r="B87" s="49"/>
      <c r="C87" s="57"/>
      <c r="D87" s="58"/>
      <c r="E87" s="36"/>
      <c r="F87" s="59"/>
      <c r="G87" s="60"/>
      <c r="H87" s="194"/>
      <c r="I87" s="61"/>
      <c r="J87" s="198"/>
      <c r="K87" s="61"/>
    </row>
    <row r="88" spans="1:11">
      <c r="A88" s="56"/>
      <c r="B88" s="49"/>
      <c r="C88" s="57"/>
      <c r="D88" s="58"/>
      <c r="E88" s="36"/>
      <c r="F88" s="59"/>
      <c r="G88" s="60"/>
      <c r="H88" s="194"/>
      <c r="I88" s="61"/>
      <c r="J88" s="198"/>
      <c r="K88" s="61"/>
    </row>
    <row r="89" spans="1:11">
      <c r="A89" s="56"/>
      <c r="B89" s="49"/>
      <c r="C89" s="57"/>
      <c r="D89" s="58"/>
      <c r="E89" s="36"/>
      <c r="F89" s="59"/>
      <c r="G89" s="60"/>
      <c r="H89" s="194"/>
      <c r="I89" s="61"/>
      <c r="J89" s="198"/>
      <c r="K89" s="61"/>
    </row>
    <row r="90" spans="1:11">
      <c r="A90" s="56"/>
      <c r="B90" s="49"/>
      <c r="C90" s="57"/>
      <c r="D90" s="58"/>
      <c r="E90" s="36"/>
      <c r="F90" s="59"/>
      <c r="G90" s="60"/>
      <c r="H90" s="194"/>
      <c r="I90" s="61"/>
      <c r="J90" s="198"/>
      <c r="K90" s="61"/>
    </row>
    <row r="91" spans="1:11">
      <c r="A91" s="56"/>
      <c r="B91" s="49"/>
      <c r="C91" s="57"/>
      <c r="D91" s="58"/>
      <c r="E91" s="36"/>
      <c r="F91" s="59"/>
      <c r="G91" s="60"/>
      <c r="H91" s="194"/>
      <c r="I91" s="61"/>
      <c r="J91" s="198"/>
      <c r="K91" s="61"/>
    </row>
    <row r="92" spans="1:11">
      <c r="A92" s="56"/>
      <c r="B92" s="49"/>
      <c r="C92" s="57"/>
      <c r="D92" s="58"/>
      <c r="E92" s="36"/>
      <c r="F92" s="59"/>
      <c r="G92" s="60"/>
      <c r="H92" s="194"/>
      <c r="I92" s="61"/>
      <c r="J92" s="198"/>
      <c r="K92" s="61"/>
    </row>
    <row r="93" spans="1:11">
      <c r="A93" s="56"/>
      <c r="B93" s="49"/>
      <c r="C93" s="57"/>
      <c r="D93" s="58"/>
      <c r="E93" s="36"/>
      <c r="F93" s="59"/>
      <c r="G93" s="60"/>
      <c r="H93" s="194"/>
      <c r="I93" s="61"/>
      <c r="J93" s="198"/>
      <c r="K93" s="61"/>
    </row>
    <row r="94" spans="1:11">
      <c r="A94" s="56"/>
      <c r="B94" s="49"/>
      <c r="C94" s="57"/>
      <c r="D94" s="58"/>
      <c r="E94" s="36"/>
      <c r="F94" s="59"/>
      <c r="G94" s="60"/>
      <c r="H94" s="194"/>
      <c r="I94" s="61"/>
      <c r="J94" s="198"/>
      <c r="K94" s="61"/>
    </row>
    <row r="95" spans="1:11">
      <c r="A95" s="56"/>
      <c r="B95" s="49"/>
      <c r="C95" s="57"/>
      <c r="D95" s="58"/>
      <c r="E95" s="36"/>
      <c r="F95" s="59"/>
      <c r="G95" s="60"/>
      <c r="H95" s="194"/>
      <c r="I95" s="61"/>
      <c r="J95" s="198"/>
      <c r="K95" s="61"/>
    </row>
    <row r="96" spans="1:11">
      <c r="A96" s="56"/>
      <c r="B96" s="49"/>
      <c r="C96" s="57"/>
      <c r="D96" s="58"/>
      <c r="E96" s="36"/>
      <c r="F96" s="59"/>
      <c r="G96" s="60"/>
      <c r="H96" s="194"/>
      <c r="I96" s="61"/>
      <c r="J96" s="198"/>
      <c r="K96" s="61"/>
    </row>
    <row r="97" spans="1:11">
      <c r="A97" s="56"/>
      <c r="B97" s="49"/>
      <c r="C97" s="57"/>
      <c r="D97" s="58"/>
      <c r="E97" s="36"/>
      <c r="F97" s="59"/>
      <c r="G97" s="60"/>
      <c r="H97" s="194"/>
      <c r="I97" s="61"/>
      <c r="J97" s="198"/>
      <c r="K97" s="61"/>
    </row>
    <row r="98" spans="1:11">
      <c r="A98" s="56"/>
      <c r="B98" s="49"/>
      <c r="C98" s="57"/>
      <c r="D98" s="58"/>
      <c r="E98" s="36"/>
      <c r="F98" s="59"/>
      <c r="G98" s="60"/>
      <c r="H98" s="194"/>
      <c r="I98" s="61"/>
      <c r="J98" s="198"/>
      <c r="K98" s="61"/>
    </row>
    <row r="99" spans="1:11">
      <c r="A99" s="56"/>
      <c r="B99" s="49"/>
      <c r="C99" s="57"/>
      <c r="D99" s="58"/>
      <c r="E99" s="36"/>
      <c r="F99" s="59"/>
      <c r="G99" s="60"/>
      <c r="H99" s="194"/>
      <c r="I99" s="61"/>
      <c r="J99" s="198"/>
      <c r="K99" s="61"/>
    </row>
    <row r="100" spans="1:11">
      <c r="A100" s="56"/>
      <c r="B100" s="49"/>
      <c r="C100" s="57"/>
      <c r="D100" s="58"/>
      <c r="E100" s="36"/>
      <c r="F100" s="59"/>
      <c r="G100" s="60"/>
      <c r="H100" s="194"/>
      <c r="I100" s="61"/>
      <c r="J100" s="198"/>
      <c r="K100" s="61"/>
    </row>
    <row r="101" spans="1:11">
      <c r="A101" s="56"/>
      <c r="B101" s="49"/>
      <c r="C101" s="57"/>
      <c r="D101" s="58"/>
      <c r="E101" s="36"/>
      <c r="F101" s="59"/>
      <c r="G101" s="60"/>
      <c r="H101" s="194"/>
      <c r="I101" s="61"/>
      <c r="J101" s="198"/>
      <c r="K101" s="61"/>
    </row>
    <row r="102" spans="1:11">
      <c r="A102" s="56"/>
      <c r="B102" s="49"/>
      <c r="C102" s="57"/>
      <c r="D102" s="58"/>
      <c r="E102" s="36"/>
      <c r="F102" s="59"/>
      <c r="G102" s="60"/>
      <c r="H102" s="194"/>
      <c r="I102" s="61"/>
      <c r="J102" s="198"/>
      <c r="K102" s="61"/>
    </row>
    <row r="103" spans="1:11">
      <c r="A103" s="56"/>
      <c r="B103" s="49"/>
      <c r="C103" s="57"/>
      <c r="D103" s="58"/>
      <c r="E103" s="36"/>
      <c r="F103" s="59"/>
      <c r="G103" s="60"/>
      <c r="H103" s="194"/>
      <c r="I103" s="61"/>
      <c r="J103" s="198"/>
      <c r="K103" s="61"/>
    </row>
    <row r="104" spans="1:11">
      <c r="A104" s="56"/>
      <c r="B104" s="49"/>
      <c r="C104" s="57"/>
      <c r="D104" s="58"/>
      <c r="E104" s="36"/>
      <c r="F104" s="59"/>
      <c r="G104" s="60"/>
      <c r="H104" s="194"/>
      <c r="I104" s="61"/>
      <c r="J104" s="198"/>
      <c r="K104" s="61"/>
    </row>
    <row r="105" spans="1:11">
      <c r="A105" s="56"/>
      <c r="B105" s="49"/>
      <c r="C105" s="57"/>
      <c r="D105" s="58"/>
      <c r="E105" s="36"/>
      <c r="F105" s="59"/>
      <c r="G105" s="60"/>
      <c r="H105" s="194"/>
      <c r="I105" s="61"/>
      <c r="J105" s="198"/>
      <c r="K105" s="61"/>
    </row>
    <row r="106" spans="1:11">
      <c r="A106" s="56"/>
      <c r="B106" s="49"/>
      <c r="C106" s="57"/>
      <c r="D106" s="58"/>
      <c r="E106" s="36"/>
      <c r="F106" s="59"/>
      <c r="G106" s="60"/>
      <c r="H106" s="194"/>
      <c r="I106" s="61"/>
      <c r="J106" s="198"/>
      <c r="K106" s="61"/>
    </row>
    <row r="107" spans="1:11">
      <c r="A107" s="56"/>
      <c r="B107" s="49"/>
      <c r="C107" s="57"/>
      <c r="D107" s="58"/>
      <c r="E107" s="36"/>
      <c r="F107" s="59"/>
      <c r="G107" s="60"/>
      <c r="H107" s="194"/>
      <c r="I107" s="61"/>
      <c r="J107" s="198"/>
      <c r="K107" s="61"/>
    </row>
    <row r="108" spans="1:11">
      <c r="A108" s="56"/>
      <c r="B108" s="49"/>
      <c r="C108" s="57"/>
      <c r="D108" s="58"/>
      <c r="E108" s="36"/>
      <c r="F108" s="59"/>
      <c r="G108" s="60"/>
      <c r="H108" s="194"/>
      <c r="I108" s="61"/>
      <c r="J108" s="198"/>
      <c r="K108" s="61"/>
    </row>
    <row r="109" spans="1:11">
      <c r="A109" s="56"/>
      <c r="B109" s="49"/>
      <c r="C109" s="57"/>
      <c r="D109" s="58"/>
      <c r="E109" s="36"/>
      <c r="F109" s="59"/>
      <c r="G109" s="60"/>
      <c r="H109" s="194"/>
      <c r="I109" s="61"/>
      <c r="J109" s="198"/>
      <c r="K109" s="61"/>
    </row>
    <row r="110" spans="1:11">
      <c r="A110" s="56"/>
      <c r="B110" s="49"/>
      <c r="C110" s="57"/>
      <c r="D110" s="58"/>
      <c r="E110" s="36"/>
      <c r="F110" s="59"/>
      <c r="G110" s="60"/>
      <c r="H110" s="194"/>
      <c r="I110" s="61"/>
      <c r="J110" s="198"/>
      <c r="K110" s="61"/>
    </row>
    <row r="111" spans="1:11">
      <c r="A111" s="56"/>
      <c r="B111" s="49"/>
      <c r="C111" s="57"/>
      <c r="D111" s="58"/>
      <c r="E111" s="36"/>
      <c r="F111" s="59"/>
      <c r="G111" s="60"/>
      <c r="H111" s="194"/>
      <c r="I111" s="61"/>
      <c r="J111" s="198"/>
      <c r="K111" s="61"/>
    </row>
    <row r="112" spans="1:11">
      <c r="A112" s="56"/>
      <c r="B112" s="49"/>
      <c r="C112" s="57"/>
      <c r="D112" s="58"/>
      <c r="E112" s="36"/>
      <c r="F112" s="59"/>
      <c r="G112" s="60"/>
      <c r="H112" s="194"/>
      <c r="I112" s="61"/>
      <c r="J112" s="198"/>
      <c r="K112" s="61"/>
    </row>
    <row r="113" spans="1:11">
      <c r="A113" s="56"/>
      <c r="B113" s="49"/>
      <c r="C113" s="57"/>
      <c r="D113" s="58"/>
      <c r="E113" s="36"/>
      <c r="F113" s="59"/>
      <c r="G113" s="60"/>
      <c r="H113" s="194"/>
      <c r="I113" s="61"/>
      <c r="J113" s="198"/>
      <c r="K113" s="61"/>
    </row>
    <row r="114" spans="1:11">
      <c r="A114" s="56"/>
      <c r="B114" s="49"/>
      <c r="C114" s="57"/>
      <c r="D114" s="58"/>
      <c r="E114" s="36"/>
      <c r="F114" s="59"/>
      <c r="G114" s="60"/>
      <c r="H114" s="194"/>
      <c r="I114" s="61"/>
      <c r="J114" s="198"/>
      <c r="K114" s="61"/>
    </row>
    <row r="115" spans="1:11">
      <c r="A115" s="56"/>
      <c r="B115" s="49"/>
      <c r="C115" s="57"/>
      <c r="D115" s="58"/>
      <c r="E115" s="36"/>
      <c r="F115" s="59"/>
      <c r="G115" s="60"/>
      <c r="H115" s="194"/>
      <c r="I115" s="61"/>
      <c r="J115" s="198"/>
      <c r="K115" s="61"/>
    </row>
    <row r="116" spans="1:11">
      <c r="A116" s="56"/>
      <c r="B116" s="49"/>
      <c r="C116" s="57"/>
      <c r="D116" s="58"/>
      <c r="E116" s="36"/>
      <c r="F116" s="59"/>
      <c r="G116" s="60"/>
      <c r="H116" s="194"/>
      <c r="I116" s="61"/>
      <c r="J116" s="198"/>
      <c r="K116" s="61"/>
    </row>
    <row r="117" spans="1:11" ht="13">
      <c r="A117" s="56"/>
      <c r="B117" s="50" t="s">
        <v>428</v>
      </c>
      <c r="C117" s="57"/>
      <c r="D117" s="58"/>
      <c r="E117" s="36"/>
      <c r="F117" s="59"/>
      <c r="G117" s="60"/>
      <c r="H117" s="194"/>
      <c r="I117" s="61"/>
      <c r="J117" s="198"/>
      <c r="K117" s="61"/>
    </row>
    <row r="118" spans="1:11">
      <c r="A118" s="56"/>
      <c r="B118" s="49"/>
      <c r="C118" s="57"/>
      <c r="D118" s="58"/>
      <c r="E118" s="36"/>
      <c r="F118" s="59"/>
      <c r="G118" s="60"/>
      <c r="H118" s="194"/>
      <c r="I118" s="61"/>
      <c r="J118" s="198"/>
      <c r="K118" s="61"/>
    </row>
    <row r="119" spans="1:11">
      <c r="A119" s="56"/>
      <c r="B119" s="49"/>
      <c r="C119" s="57"/>
      <c r="D119" s="58"/>
      <c r="E119" s="36"/>
      <c r="F119" s="59"/>
      <c r="G119" s="60"/>
      <c r="H119" s="194"/>
      <c r="I119" s="61"/>
      <c r="J119" s="198"/>
      <c r="K119" s="61"/>
    </row>
    <row r="120" spans="1:11">
      <c r="A120" s="56"/>
      <c r="B120" s="49"/>
      <c r="C120" s="57"/>
      <c r="D120" s="58"/>
      <c r="E120" s="36"/>
      <c r="F120" s="59"/>
      <c r="G120" s="60"/>
      <c r="H120" s="194"/>
      <c r="I120" s="61"/>
      <c r="J120" s="198"/>
      <c r="K120" s="61"/>
    </row>
    <row r="121" spans="1:11">
      <c r="A121" s="56"/>
      <c r="B121" s="49"/>
      <c r="C121" s="57"/>
      <c r="D121" s="58"/>
      <c r="E121" s="36"/>
      <c r="F121" s="59"/>
      <c r="G121" s="60"/>
      <c r="H121" s="194"/>
      <c r="I121" s="61"/>
      <c r="J121" s="198"/>
      <c r="K121" s="61"/>
    </row>
    <row r="122" spans="1:11">
      <c r="A122" s="56"/>
      <c r="B122" s="49"/>
      <c r="C122" s="57"/>
      <c r="D122" s="58"/>
      <c r="E122" s="36"/>
      <c r="F122" s="59"/>
      <c r="G122" s="60"/>
      <c r="H122" s="194"/>
      <c r="I122" s="61"/>
      <c r="J122" s="198"/>
      <c r="K122" s="61"/>
    </row>
    <row r="123" spans="1:11">
      <c r="A123" s="56"/>
      <c r="B123" s="49"/>
      <c r="C123" s="57"/>
      <c r="D123" s="58"/>
      <c r="E123" s="36"/>
      <c r="F123" s="59"/>
      <c r="G123" s="60"/>
      <c r="H123" s="194"/>
      <c r="I123" s="61"/>
      <c r="J123" s="198"/>
      <c r="K123" s="61"/>
    </row>
    <row r="124" spans="1:11">
      <c r="A124" s="56"/>
      <c r="B124" s="49"/>
      <c r="C124" s="57"/>
      <c r="D124" s="58"/>
      <c r="E124" s="36"/>
      <c r="F124" s="59"/>
      <c r="G124" s="60"/>
      <c r="H124" s="194"/>
      <c r="I124" s="61"/>
      <c r="J124" s="198"/>
      <c r="K124" s="61"/>
    </row>
    <row r="125" spans="1:11">
      <c r="A125" s="56"/>
      <c r="B125" s="49"/>
      <c r="C125" s="57"/>
      <c r="D125" s="58"/>
      <c r="E125" s="36"/>
      <c r="F125" s="59"/>
      <c r="G125" s="60"/>
      <c r="H125" s="194"/>
      <c r="I125" s="61"/>
      <c r="J125" s="198"/>
      <c r="K125" s="61"/>
    </row>
    <row r="126" spans="1:11">
      <c r="A126" s="56"/>
      <c r="B126" s="49"/>
      <c r="C126" s="57"/>
      <c r="D126" s="58"/>
      <c r="E126" s="36"/>
      <c r="F126" s="59"/>
      <c r="G126" s="60"/>
      <c r="H126" s="194"/>
      <c r="I126" s="61"/>
      <c r="J126" s="198"/>
      <c r="K126" s="61"/>
    </row>
    <row r="127" spans="1:11">
      <c r="A127" s="56"/>
      <c r="B127" s="49"/>
      <c r="C127" s="57"/>
      <c r="D127" s="58"/>
      <c r="E127" s="36"/>
      <c r="F127" s="59"/>
      <c r="G127" s="60"/>
      <c r="H127" s="194"/>
      <c r="I127" s="61"/>
      <c r="J127" s="198"/>
      <c r="K127" s="61"/>
    </row>
    <row r="128" spans="1:11">
      <c r="A128" s="56"/>
      <c r="B128" s="49"/>
      <c r="C128" s="57"/>
      <c r="D128" s="58"/>
      <c r="E128" s="36"/>
      <c r="F128" s="59"/>
      <c r="G128" s="60"/>
      <c r="H128" s="194"/>
      <c r="I128" s="61"/>
      <c r="J128" s="198"/>
      <c r="K128" s="61"/>
    </row>
    <row r="129" spans="1:11">
      <c r="A129" s="56"/>
      <c r="B129" s="49"/>
      <c r="C129" s="57"/>
      <c r="D129" s="58"/>
      <c r="E129" s="36"/>
      <c r="F129" s="59"/>
      <c r="G129" s="60"/>
      <c r="H129" s="194"/>
      <c r="I129" s="61"/>
      <c r="J129" s="198"/>
      <c r="K129" s="61"/>
    </row>
    <row r="130" spans="1:11">
      <c r="A130" s="56"/>
      <c r="B130" s="49"/>
      <c r="C130" s="57"/>
      <c r="D130" s="58"/>
      <c r="E130" s="36"/>
      <c r="F130" s="59"/>
      <c r="G130" s="60"/>
      <c r="H130" s="194"/>
      <c r="I130" s="61"/>
      <c r="J130" s="198"/>
      <c r="K130" s="61"/>
    </row>
    <row r="131" spans="1:11">
      <c r="A131" s="56"/>
      <c r="B131" s="49"/>
      <c r="C131" s="57"/>
      <c r="D131" s="58"/>
      <c r="E131" s="36"/>
      <c r="F131" s="59"/>
      <c r="G131" s="60"/>
      <c r="H131" s="194"/>
      <c r="I131" s="61"/>
      <c r="J131" s="198"/>
      <c r="K131" s="61"/>
    </row>
    <row r="132" spans="1:11">
      <c r="A132" s="56"/>
      <c r="B132" s="49"/>
      <c r="C132" s="57"/>
      <c r="D132" s="58"/>
      <c r="E132" s="36"/>
      <c r="F132" s="59"/>
      <c r="G132" s="60"/>
      <c r="H132" s="194"/>
      <c r="I132" s="61"/>
      <c r="J132" s="198"/>
      <c r="K132" s="61"/>
    </row>
    <row r="133" spans="1:11">
      <c r="A133" s="56"/>
      <c r="B133" s="49"/>
      <c r="C133" s="57"/>
      <c r="D133" s="58"/>
      <c r="E133" s="36"/>
      <c r="F133" s="59"/>
      <c r="G133" s="60"/>
      <c r="H133" s="194"/>
      <c r="I133" s="61"/>
      <c r="J133" s="198"/>
      <c r="K133" s="61"/>
    </row>
    <row r="134" spans="1:11">
      <c r="A134" s="56"/>
      <c r="B134" s="49"/>
      <c r="C134" s="57"/>
      <c r="D134" s="58"/>
      <c r="E134" s="36"/>
      <c r="F134" s="59"/>
      <c r="G134" s="60"/>
      <c r="H134" s="194"/>
      <c r="I134" s="61"/>
      <c r="J134" s="198"/>
      <c r="K134" s="61"/>
    </row>
    <row r="135" spans="1:11">
      <c r="A135" s="56"/>
      <c r="B135" s="49"/>
      <c r="C135" s="57"/>
      <c r="D135" s="58"/>
      <c r="E135" s="36"/>
      <c r="F135" s="59"/>
      <c r="G135" s="60"/>
      <c r="H135" s="194"/>
      <c r="I135" s="61"/>
      <c r="J135" s="198"/>
      <c r="K135" s="61"/>
    </row>
    <row r="136" spans="1:11">
      <c r="A136" s="56"/>
      <c r="B136" s="49"/>
      <c r="C136" s="57"/>
      <c r="D136" s="58"/>
      <c r="E136" s="36"/>
      <c r="F136" s="59"/>
      <c r="G136" s="60"/>
      <c r="H136" s="194"/>
      <c r="I136" s="61"/>
      <c r="J136" s="198"/>
      <c r="K136" s="61"/>
    </row>
    <row r="137" spans="1:11">
      <c r="A137" s="56"/>
      <c r="B137" s="49"/>
      <c r="C137" s="57"/>
      <c r="D137" s="58"/>
      <c r="E137" s="36"/>
      <c r="F137" s="59"/>
      <c r="G137" s="60"/>
      <c r="H137" s="194"/>
      <c r="I137" s="61"/>
      <c r="J137" s="198"/>
      <c r="K137" s="61"/>
    </row>
    <row r="138" spans="1:11">
      <c r="A138" s="56"/>
      <c r="B138" s="49"/>
      <c r="C138" s="57"/>
      <c r="D138" s="58"/>
      <c r="E138" s="36"/>
      <c r="F138" s="59"/>
      <c r="G138" s="60"/>
      <c r="H138" s="194"/>
      <c r="I138" s="61"/>
      <c r="J138" s="198"/>
      <c r="K138" s="61"/>
    </row>
    <row r="139" spans="1:11">
      <c r="A139" s="56"/>
      <c r="B139" s="49"/>
      <c r="C139" s="57"/>
      <c r="D139" s="58"/>
      <c r="E139" s="36"/>
      <c r="F139" s="59"/>
      <c r="G139" s="60"/>
      <c r="H139" s="194"/>
      <c r="I139" s="61"/>
      <c r="J139" s="198"/>
      <c r="K139" s="61"/>
    </row>
    <row r="140" spans="1:11">
      <c r="A140" s="56"/>
      <c r="B140" s="49"/>
      <c r="C140" s="57"/>
      <c r="D140" s="58"/>
      <c r="E140" s="36"/>
      <c r="F140" s="59"/>
      <c r="G140" s="60"/>
      <c r="H140" s="194"/>
      <c r="I140" s="61"/>
      <c r="J140" s="198"/>
      <c r="K140" s="61"/>
    </row>
    <row r="141" spans="1:11">
      <c r="A141" s="56"/>
      <c r="B141" s="49"/>
      <c r="C141" s="57"/>
      <c r="D141" s="58"/>
      <c r="E141" s="36"/>
      <c r="F141" s="59"/>
      <c r="G141" s="60"/>
      <c r="H141" s="194"/>
      <c r="I141" s="61"/>
      <c r="J141" s="198"/>
      <c r="K141" s="61"/>
    </row>
    <row r="142" spans="1:11">
      <c r="A142" s="56"/>
      <c r="B142" s="49"/>
      <c r="C142" s="57"/>
      <c r="D142" s="58"/>
      <c r="E142" s="36"/>
      <c r="F142" s="59"/>
      <c r="G142" s="60"/>
      <c r="H142" s="194"/>
      <c r="I142" s="61"/>
      <c r="J142" s="198"/>
      <c r="K142" s="61"/>
    </row>
    <row r="143" spans="1:11">
      <c r="A143" s="56"/>
      <c r="B143" s="49"/>
      <c r="C143" s="57"/>
      <c r="D143" s="58"/>
      <c r="E143" s="36"/>
      <c r="F143" s="59"/>
      <c r="G143" s="60"/>
      <c r="H143" s="194"/>
      <c r="I143" s="61"/>
      <c r="J143" s="198"/>
      <c r="K143" s="61"/>
    </row>
    <row r="144" spans="1:11">
      <c r="A144" s="56"/>
      <c r="B144" s="49"/>
      <c r="C144" s="57"/>
      <c r="D144" s="58"/>
      <c r="E144" s="36"/>
      <c r="F144" s="59"/>
      <c r="G144" s="60"/>
      <c r="H144" s="194"/>
      <c r="I144" s="61"/>
      <c r="J144" s="198"/>
      <c r="K144" s="61"/>
    </row>
    <row r="145" spans="1:11">
      <c r="A145" s="56"/>
      <c r="B145" s="49"/>
      <c r="C145" s="57"/>
      <c r="D145" s="58"/>
      <c r="E145" s="36"/>
      <c r="F145" s="59"/>
      <c r="G145" s="60"/>
      <c r="H145" s="194"/>
      <c r="I145" s="61"/>
      <c r="J145" s="198"/>
      <c r="K145" s="61"/>
    </row>
    <row r="146" spans="1:11">
      <c r="A146" s="56"/>
      <c r="B146" s="49"/>
      <c r="C146" s="57"/>
      <c r="D146" s="58"/>
      <c r="E146" s="36"/>
      <c r="F146" s="59"/>
      <c r="G146" s="60"/>
      <c r="H146" s="194"/>
      <c r="I146" s="61"/>
      <c r="J146" s="198"/>
      <c r="K146" s="61"/>
    </row>
    <row r="147" spans="1:11">
      <c r="A147" s="56"/>
      <c r="B147" s="49"/>
      <c r="C147" s="57"/>
      <c r="D147" s="58"/>
      <c r="E147" s="36"/>
      <c r="F147" s="59"/>
      <c r="G147" s="60"/>
      <c r="H147" s="194"/>
      <c r="I147" s="61"/>
      <c r="J147" s="198"/>
      <c r="K147" s="61"/>
    </row>
    <row r="148" spans="1:11">
      <c r="A148" s="56"/>
      <c r="B148" s="49"/>
      <c r="C148" s="57"/>
      <c r="D148" s="58"/>
      <c r="E148" s="36"/>
      <c r="F148" s="59"/>
      <c r="G148" s="60"/>
      <c r="H148" s="194"/>
      <c r="I148" s="61"/>
      <c r="J148" s="198"/>
      <c r="K148" s="61"/>
    </row>
    <row r="149" spans="1:11">
      <c r="A149" s="56"/>
      <c r="B149" s="49"/>
      <c r="C149" s="57"/>
      <c r="D149" s="58"/>
      <c r="E149" s="36"/>
      <c r="F149" s="59"/>
      <c r="G149" s="60"/>
      <c r="H149" s="194"/>
      <c r="I149" s="61"/>
      <c r="J149" s="198"/>
      <c r="K149" s="61"/>
    </row>
    <row r="150" spans="1:11">
      <c r="A150" s="56"/>
      <c r="B150" s="49"/>
      <c r="C150" s="57"/>
      <c r="D150" s="58"/>
      <c r="E150" s="36"/>
      <c r="F150" s="59"/>
      <c r="G150" s="60"/>
      <c r="H150" s="194"/>
      <c r="I150" s="61"/>
      <c r="J150" s="198"/>
      <c r="K150" s="61"/>
    </row>
    <row r="151" spans="1:11">
      <c r="A151" s="56"/>
      <c r="B151" s="49"/>
      <c r="C151" s="57"/>
      <c r="D151" s="58"/>
      <c r="E151" s="36"/>
      <c r="F151" s="59"/>
      <c r="G151" s="60"/>
      <c r="H151" s="194"/>
      <c r="I151" s="61"/>
      <c r="J151" s="198"/>
      <c r="K151" s="61"/>
    </row>
    <row r="152" spans="1:11">
      <c r="A152" s="56"/>
      <c r="B152" s="49"/>
      <c r="C152" s="57"/>
      <c r="D152" s="58"/>
      <c r="E152" s="36"/>
      <c r="F152" s="59"/>
      <c r="G152" s="60"/>
      <c r="H152" s="194"/>
      <c r="I152" s="61"/>
      <c r="J152" s="198"/>
      <c r="K152" s="61"/>
    </row>
    <row r="153" spans="1:11">
      <c r="A153" s="56"/>
      <c r="B153" s="49"/>
      <c r="C153" s="57"/>
      <c r="D153" s="58"/>
      <c r="E153" s="36"/>
      <c r="F153" s="59"/>
      <c r="G153" s="60"/>
      <c r="H153" s="194"/>
      <c r="I153" s="61"/>
      <c r="J153" s="198"/>
      <c r="K153" s="61"/>
    </row>
    <row r="154" spans="1:11">
      <c r="A154" s="56"/>
      <c r="B154" s="49"/>
      <c r="C154" s="57"/>
      <c r="D154" s="58"/>
      <c r="E154" s="36"/>
      <c r="F154" s="59"/>
      <c r="G154" s="60"/>
      <c r="H154" s="194"/>
      <c r="I154" s="61"/>
      <c r="J154" s="198"/>
      <c r="K154" s="61"/>
    </row>
    <row r="155" spans="1:11">
      <c r="A155" s="56"/>
      <c r="B155" s="49"/>
      <c r="C155" s="57"/>
      <c r="D155" s="58"/>
      <c r="E155" s="36"/>
      <c r="F155" s="59"/>
      <c r="G155" s="60"/>
      <c r="H155" s="194"/>
      <c r="I155" s="61"/>
      <c r="J155" s="198"/>
      <c r="K155" s="61"/>
    </row>
    <row r="156" spans="1:11">
      <c r="A156" s="56"/>
      <c r="B156" s="49"/>
      <c r="C156" s="57"/>
      <c r="D156" s="58"/>
      <c r="E156" s="36"/>
      <c r="F156" s="62"/>
      <c r="G156" s="60"/>
      <c r="H156" s="195"/>
      <c r="I156" s="60"/>
      <c r="J156" s="198"/>
      <c r="K156" s="61"/>
    </row>
    <row r="157" spans="1:11" ht="13">
      <c r="A157" s="49"/>
      <c r="B157" s="50"/>
      <c r="C157" s="57"/>
      <c r="D157" s="58"/>
      <c r="E157" s="36"/>
      <c r="F157" s="62"/>
      <c r="G157" s="60"/>
      <c r="H157" s="195"/>
      <c r="I157" s="60"/>
      <c r="J157" s="198"/>
      <c r="K157" s="61"/>
    </row>
    <row r="158" spans="1:11">
      <c r="A158" s="56"/>
      <c r="B158" s="49"/>
      <c r="C158" s="57"/>
      <c r="D158" s="58"/>
      <c r="E158" s="36"/>
      <c r="F158" s="59"/>
      <c r="G158" s="60"/>
      <c r="H158" s="194"/>
      <c r="I158" s="55"/>
      <c r="J158" s="198"/>
      <c r="K158" s="61"/>
    </row>
    <row r="159" spans="1:11">
      <c r="A159" s="56"/>
      <c r="B159" s="49"/>
      <c r="C159" s="57"/>
      <c r="D159" s="58"/>
      <c r="E159" s="36"/>
      <c r="F159" s="59"/>
      <c r="G159" s="60"/>
      <c r="H159" s="194"/>
      <c r="I159" s="55"/>
      <c r="J159" s="198"/>
      <c r="K159" s="61"/>
    </row>
    <row r="160" spans="1:11">
      <c r="A160" s="56"/>
      <c r="B160" s="49"/>
      <c r="C160" s="57"/>
      <c r="D160" s="58"/>
      <c r="E160" s="36"/>
      <c r="F160" s="59"/>
      <c r="G160" s="60"/>
      <c r="H160" s="194"/>
      <c r="I160" s="55"/>
      <c r="J160" s="198"/>
      <c r="K160" s="61"/>
    </row>
    <row r="161" spans="1:14">
      <c r="A161" s="56"/>
      <c r="B161" s="49"/>
      <c r="C161" s="57"/>
      <c r="D161" s="58"/>
      <c r="E161" s="36"/>
      <c r="F161" s="59"/>
      <c r="G161" s="60"/>
      <c r="H161" s="194"/>
      <c r="I161" s="55"/>
      <c r="J161" s="198"/>
      <c r="K161" s="61"/>
    </row>
    <row r="162" spans="1:14" ht="13">
      <c r="A162" s="55"/>
      <c r="B162" s="63"/>
      <c r="C162" s="42"/>
      <c r="D162" s="64"/>
      <c r="E162" s="45"/>
      <c r="F162" s="65"/>
      <c r="G162" s="65"/>
      <c r="H162" s="196"/>
      <c r="I162" s="66"/>
      <c r="J162" s="199"/>
      <c r="K162" s="67"/>
    </row>
    <row r="163" spans="1:14">
      <c r="A163" s="426"/>
      <c r="B163" s="428"/>
      <c r="C163" s="426"/>
      <c r="D163" s="428"/>
      <c r="E163" s="426" t="s">
        <v>344</v>
      </c>
      <c r="F163" s="427"/>
      <c r="G163" s="428"/>
      <c r="H163" s="426" t="s">
        <v>345</v>
      </c>
      <c r="I163" s="427"/>
      <c r="J163" s="427"/>
      <c r="K163" s="428"/>
    </row>
    <row r="164" spans="1:14" s="172" customFormat="1" ht="14">
      <c r="A164" s="396"/>
      <c r="B164" s="429"/>
      <c r="C164" s="396"/>
      <c r="D164" s="429"/>
      <c r="E164" s="430"/>
      <c r="F164" s="431"/>
      <c r="G164" s="432"/>
      <c r="H164" s="396"/>
      <c r="I164" s="397"/>
      <c r="J164" s="424">
        <f>SUM(J15:J162)</f>
        <v>5900</v>
      </c>
      <c r="K164" s="425"/>
    </row>
    <row r="165" spans="1:14">
      <c r="A165" s="426" t="s">
        <v>346</v>
      </c>
      <c r="B165" s="428"/>
      <c r="C165" s="69" t="s">
        <v>347</v>
      </c>
      <c r="D165" s="426" t="s">
        <v>348</v>
      </c>
      <c r="E165" s="428"/>
      <c r="F165" s="426" t="s">
        <v>349</v>
      </c>
      <c r="G165" s="428"/>
      <c r="H165" s="426" t="s">
        <v>350</v>
      </c>
      <c r="I165" s="427"/>
      <c r="J165" s="427"/>
      <c r="K165" s="428"/>
    </row>
    <row r="166" spans="1:14" ht="14">
      <c r="A166" s="410" t="s">
        <v>274</v>
      </c>
      <c r="B166" s="411"/>
      <c r="C166" s="414" t="s">
        <v>275</v>
      </c>
      <c r="D166" s="416">
        <f>J164</f>
        <v>5900</v>
      </c>
      <c r="E166" s="417"/>
      <c r="F166" s="420">
        <v>0</v>
      </c>
      <c r="G166" s="421"/>
      <c r="H166" s="396"/>
      <c r="I166" s="397"/>
      <c r="J166" s="424">
        <f>J164</f>
        <v>5900</v>
      </c>
      <c r="K166" s="425"/>
    </row>
    <row r="167" spans="1:14">
      <c r="A167" s="410"/>
      <c r="B167" s="411"/>
      <c r="C167" s="414"/>
      <c r="D167" s="416"/>
      <c r="E167" s="417"/>
      <c r="F167" s="420"/>
      <c r="G167" s="421"/>
      <c r="H167" s="426" t="s">
        <v>351</v>
      </c>
      <c r="I167" s="427"/>
      <c r="J167" s="427"/>
      <c r="K167" s="428"/>
    </row>
    <row r="168" spans="1:14" ht="14">
      <c r="A168" s="410"/>
      <c r="B168" s="411"/>
      <c r="C168" s="414"/>
      <c r="D168" s="416"/>
      <c r="E168" s="417"/>
      <c r="F168" s="420"/>
      <c r="G168" s="421"/>
      <c r="H168" s="396"/>
      <c r="I168" s="397"/>
      <c r="J168" s="424">
        <f>J166*F166</f>
        <v>0</v>
      </c>
      <c r="K168" s="425"/>
    </row>
    <row r="169" spans="1:14">
      <c r="A169" s="410"/>
      <c r="B169" s="411"/>
      <c r="C169" s="414"/>
      <c r="D169" s="416"/>
      <c r="E169" s="417"/>
      <c r="F169" s="420"/>
      <c r="G169" s="421"/>
      <c r="H169" s="426" t="s">
        <v>352</v>
      </c>
      <c r="I169" s="427"/>
      <c r="J169" s="427"/>
      <c r="K169" s="428"/>
    </row>
    <row r="170" spans="1:14" ht="14">
      <c r="A170" s="412"/>
      <c r="B170" s="413"/>
      <c r="C170" s="415"/>
      <c r="D170" s="418"/>
      <c r="E170" s="419"/>
      <c r="F170" s="422"/>
      <c r="G170" s="423"/>
      <c r="H170" s="396"/>
      <c r="I170" s="397"/>
      <c r="J170" s="398">
        <f>J164+J168</f>
        <v>5900</v>
      </c>
      <c r="K170" s="399"/>
    </row>
    <row r="171" spans="1:14">
      <c r="A171" s="400" t="s">
        <v>276</v>
      </c>
      <c r="B171" s="401"/>
      <c r="C171" s="401"/>
      <c r="D171" s="401"/>
      <c r="E171" s="401"/>
      <c r="F171" s="401"/>
      <c r="G171" s="401"/>
      <c r="H171" s="401"/>
      <c r="I171" s="401"/>
      <c r="J171" s="401"/>
      <c r="K171" s="402"/>
    </row>
    <row r="172" spans="1:14" s="68" customFormat="1" ht="10.5" customHeight="1">
      <c r="A172" s="403" t="s">
        <v>277</v>
      </c>
      <c r="B172" s="404"/>
      <c r="C172" s="404"/>
      <c r="D172" s="404"/>
      <c r="E172" s="404"/>
      <c r="F172" s="404"/>
      <c r="G172" s="404"/>
      <c r="H172" s="404"/>
      <c r="I172" s="404"/>
      <c r="J172" s="404"/>
      <c r="K172" s="405"/>
      <c r="M172" s="32"/>
      <c r="N172" s="32"/>
    </row>
    <row r="173" spans="1:14" s="70" customFormat="1" ht="7.5" customHeight="1">
      <c r="A173" s="400" t="s">
        <v>278</v>
      </c>
      <c r="B173" s="406" t="s">
        <v>279</v>
      </c>
      <c r="C173" s="406"/>
      <c r="D173" s="406"/>
      <c r="E173" s="406"/>
      <c r="F173" s="406"/>
      <c r="G173" s="406"/>
      <c r="H173" s="406"/>
      <c r="I173" s="406"/>
      <c r="J173" s="406"/>
      <c r="K173" s="407"/>
      <c r="M173" s="32"/>
      <c r="N173" s="32"/>
    </row>
    <row r="174" spans="1:14">
      <c r="A174" s="403"/>
      <c r="B174" s="408"/>
      <c r="C174" s="408"/>
      <c r="D174" s="408"/>
      <c r="E174" s="408"/>
      <c r="F174" s="408"/>
      <c r="G174" s="408"/>
      <c r="H174" s="408"/>
      <c r="I174" s="408"/>
      <c r="J174" s="408"/>
      <c r="K174" s="409"/>
    </row>
    <row r="175" spans="1:14" s="70" customFormat="1" ht="10">
      <c r="A175" s="394" t="s">
        <v>280</v>
      </c>
      <c r="B175" s="394"/>
      <c r="C175" s="394"/>
      <c r="D175" s="394"/>
      <c r="E175" s="394"/>
      <c r="F175" s="394"/>
      <c r="G175" s="394"/>
      <c r="H175" s="394"/>
      <c r="I175" s="394"/>
      <c r="J175" s="394"/>
      <c r="K175" s="394"/>
    </row>
    <row r="176" spans="1:14">
      <c r="A176" s="394" t="s">
        <v>281</v>
      </c>
      <c r="B176" s="394"/>
      <c r="C176" s="394"/>
      <c r="D176" s="394"/>
      <c r="E176" s="394"/>
      <c r="F176" s="394"/>
      <c r="G176" s="394"/>
      <c r="H176" s="394"/>
      <c r="I176" s="394"/>
      <c r="J176" s="394"/>
      <c r="K176" s="394"/>
    </row>
    <row r="177" spans="1:11">
      <c r="A177" s="394" t="s">
        <v>282</v>
      </c>
      <c r="B177" s="395"/>
      <c r="C177" s="395"/>
      <c r="D177" s="395"/>
      <c r="E177" s="395"/>
      <c r="F177" s="395"/>
      <c r="G177" s="395"/>
      <c r="H177" s="395"/>
      <c r="I177" s="395"/>
      <c r="J177" s="395"/>
      <c r="K177" s="395"/>
    </row>
  </sheetData>
  <mergeCells count="53">
    <mergeCell ref="A10:K10"/>
    <mergeCell ref="A1:B1"/>
    <mergeCell ref="H1:J1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J12:J14"/>
    <mergeCell ref="K12:K14"/>
    <mergeCell ref="A163:B163"/>
    <mergeCell ref="C163:D163"/>
    <mergeCell ref="E163:G163"/>
    <mergeCell ref="H163:K163"/>
    <mergeCell ref="A12:A14"/>
    <mergeCell ref="B12:E14"/>
    <mergeCell ref="F12:F14"/>
    <mergeCell ref="G12:G14"/>
    <mergeCell ref="H12:H14"/>
    <mergeCell ref="I12:I14"/>
    <mergeCell ref="H168:I168"/>
    <mergeCell ref="J168:K168"/>
    <mergeCell ref="H169:K169"/>
    <mergeCell ref="A164:B164"/>
    <mergeCell ref="C164:D164"/>
    <mergeCell ref="E164:G164"/>
    <mergeCell ref="H164:I164"/>
    <mergeCell ref="J164:K164"/>
    <mergeCell ref="A165:B165"/>
    <mergeCell ref="D165:E165"/>
    <mergeCell ref="F165:G165"/>
    <mergeCell ref="H165:K165"/>
    <mergeCell ref="A175:K175"/>
    <mergeCell ref="A176:K176"/>
    <mergeCell ref="A177:K177"/>
    <mergeCell ref="H170:I170"/>
    <mergeCell ref="J170:K170"/>
    <mergeCell ref="A171:K171"/>
    <mergeCell ref="A172:K172"/>
    <mergeCell ref="A173:A174"/>
    <mergeCell ref="B173:K174"/>
    <mergeCell ref="A166:B170"/>
    <mergeCell ref="C166:C170"/>
    <mergeCell ref="D166:E170"/>
    <mergeCell ref="F166:G170"/>
    <mergeCell ref="H166:I166"/>
    <mergeCell ref="J166:K166"/>
    <mergeCell ref="H167:K167"/>
  </mergeCells>
  <conditionalFormatting sqref="A15:K162">
    <cfRule type="expression" dxfId="49" priority="1">
      <formula>MOD(ROW(),2)=0</formula>
    </cfRule>
  </conditionalFormatting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8"/>
  <dimension ref="A1:N179"/>
  <sheetViews>
    <sheetView zoomScaleSheetLayoutView="100" workbookViewId="0">
      <selection activeCell="K6" sqref="K6"/>
    </sheetView>
  </sheetViews>
  <sheetFormatPr defaultColWidth="10.7265625" defaultRowHeight="12.5"/>
  <cols>
    <col min="1" max="1" width="9.1796875" style="32" customWidth="1"/>
    <col min="2" max="2" width="15.453125" style="32" customWidth="1"/>
    <col min="3" max="3" width="12.7265625" style="32" customWidth="1"/>
    <col min="4" max="4" width="9.54296875" style="34" customWidth="1"/>
    <col min="5" max="5" width="18.7265625" style="32" customWidth="1"/>
    <col min="6" max="6" width="3.453125" style="35" customWidth="1"/>
    <col min="7" max="8" width="9.54296875" style="32" customWidth="1"/>
    <col min="9" max="9" width="9.54296875" style="35" customWidth="1"/>
    <col min="10" max="10" width="9.54296875" style="71" customWidth="1"/>
    <col min="11" max="11" width="9.54296875" style="32" customWidth="1"/>
    <col min="12" max="16384" width="10.7265625" style="32"/>
  </cols>
  <sheetData>
    <row r="1" spans="1:14">
      <c r="A1" s="453" t="s">
        <v>264</v>
      </c>
      <c r="B1" s="454"/>
      <c r="C1" s="28"/>
      <c r="D1" s="29"/>
      <c r="E1" s="28"/>
      <c r="F1" s="30"/>
      <c r="G1" s="31"/>
      <c r="H1" s="453" t="s">
        <v>265</v>
      </c>
      <c r="I1" s="454"/>
      <c r="J1" s="454"/>
      <c r="K1" s="31"/>
    </row>
    <row r="2" spans="1:14" ht="13">
      <c r="A2" s="33"/>
      <c r="G2" s="36"/>
      <c r="H2" s="37"/>
      <c r="I2" s="38"/>
      <c r="J2" s="39"/>
      <c r="K2" s="36"/>
    </row>
    <row r="3" spans="1:14" ht="13">
      <c r="A3" s="33"/>
      <c r="G3" s="36"/>
      <c r="H3" s="40"/>
      <c r="I3" s="32"/>
      <c r="J3" s="39"/>
      <c r="K3" s="36"/>
    </row>
    <row r="4" spans="1:14" ht="13">
      <c r="A4" s="33"/>
      <c r="G4" s="36"/>
      <c r="H4" s="40"/>
      <c r="I4" s="32"/>
      <c r="J4" s="39"/>
      <c r="K4" s="36"/>
    </row>
    <row r="5" spans="1:14" ht="13">
      <c r="A5" s="33"/>
      <c r="G5" s="36"/>
      <c r="H5" s="40"/>
      <c r="I5" s="32"/>
      <c r="J5" s="39"/>
      <c r="K5" s="36"/>
    </row>
    <row r="6" spans="1:14" ht="13">
      <c r="A6" s="33"/>
      <c r="G6" s="36"/>
      <c r="H6" s="40"/>
      <c r="J6" s="39"/>
      <c r="K6" s="36"/>
    </row>
    <row r="7" spans="1:14">
      <c r="A7" s="41"/>
      <c r="B7" s="42"/>
      <c r="C7" s="42"/>
      <c r="D7" s="43"/>
      <c r="E7" s="42"/>
      <c r="F7" s="44"/>
      <c r="G7" s="45"/>
      <c r="H7" s="46"/>
      <c r="I7" s="44"/>
      <c r="J7" s="47"/>
      <c r="K7" s="45"/>
    </row>
    <row r="8" spans="1:14">
      <c r="A8" s="453" t="s">
        <v>341</v>
      </c>
      <c r="B8" s="455"/>
      <c r="C8" s="453" t="s">
        <v>340</v>
      </c>
      <c r="D8" s="455"/>
      <c r="E8" s="77" t="s">
        <v>283</v>
      </c>
      <c r="F8" s="48"/>
      <c r="G8" s="453" t="s">
        <v>284</v>
      </c>
      <c r="H8" s="454"/>
      <c r="I8" s="454"/>
      <c r="J8" s="464"/>
      <c r="K8" s="457"/>
      <c r="N8" s="32" t="s">
        <v>356</v>
      </c>
    </row>
    <row r="9" spans="1:14">
      <c r="A9" s="458" t="s">
        <v>285</v>
      </c>
      <c r="B9" s="459"/>
      <c r="C9" s="460"/>
      <c r="D9" s="461"/>
      <c r="E9" s="462"/>
      <c r="F9" s="462"/>
      <c r="G9" s="458"/>
      <c r="H9" s="463"/>
      <c r="I9" s="463"/>
      <c r="J9" s="463"/>
      <c r="K9" s="459"/>
      <c r="N9" s="32" t="s">
        <v>357</v>
      </c>
    </row>
    <row r="10" spans="1:14">
      <c r="A10" s="143"/>
      <c r="B10" s="144"/>
      <c r="C10" s="144"/>
      <c r="D10" s="144"/>
      <c r="E10" s="144"/>
      <c r="F10" s="144"/>
      <c r="G10" s="144"/>
      <c r="H10" s="144"/>
      <c r="I10" s="144"/>
      <c r="J10" s="144"/>
      <c r="K10" s="48"/>
    </row>
    <row r="11" spans="1:14">
      <c r="A11" s="41"/>
      <c r="B11" s="42"/>
      <c r="C11" s="42"/>
      <c r="D11" s="42"/>
      <c r="E11" s="42"/>
      <c r="F11" s="42"/>
      <c r="G11" s="42"/>
      <c r="H11" s="42"/>
      <c r="I11" s="42"/>
      <c r="J11" s="42"/>
      <c r="K11" s="45"/>
    </row>
    <row r="12" spans="1:14" ht="9" customHeight="1">
      <c r="A12" s="439" t="s">
        <v>309</v>
      </c>
      <c r="B12" s="439" t="s">
        <v>310</v>
      </c>
      <c r="C12" s="442"/>
      <c r="D12" s="442"/>
      <c r="E12" s="443"/>
      <c r="F12" s="448" t="s">
        <v>272</v>
      </c>
      <c r="G12" s="436" t="s">
        <v>311</v>
      </c>
      <c r="H12" s="436" t="s">
        <v>353</v>
      </c>
      <c r="I12" s="439" t="s">
        <v>354</v>
      </c>
      <c r="J12" s="433" t="s">
        <v>313</v>
      </c>
      <c r="K12" s="436" t="s">
        <v>355</v>
      </c>
    </row>
    <row r="13" spans="1:14" ht="9" customHeight="1">
      <c r="A13" s="440"/>
      <c r="B13" s="440"/>
      <c r="C13" s="444"/>
      <c r="D13" s="444"/>
      <c r="E13" s="445"/>
      <c r="F13" s="437"/>
      <c r="G13" s="449"/>
      <c r="H13" s="449"/>
      <c r="I13" s="451"/>
      <c r="J13" s="434"/>
      <c r="K13" s="437"/>
    </row>
    <row r="14" spans="1:14" ht="9" customHeight="1">
      <c r="A14" s="441"/>
      <c r="B14" s="441"/>
      <c r="C14" s="446"/>
      <c r="D14" s="446"/>
      <c r="E14" s="447"/>
      <c r="F14" s="438"/>
      <c r="G14" s="450"/>
      <c r="H14" s="450"/>
      <c r="I14" s="452"/>
      <c r="J14" s="435"/>
      <c r="K14" s="438"/>
    </row>
    <row r="15" spans="1:14" ht="13">
      <c r="A15" s="49"/>
      <c r="B15" s="50" t="s">
        <v>316</v>
      </c>
      <c r="C15" s="38"/>
      <c r="D15" s="51"/>
      <c r="E15" s="52"/>
      <c r="F15" s="53"/>
      <c r="G15" s="53"/>
      <c r="H15" s="53"/>
      <c r="I15" s="54"/>
      <c r="J15" s="145"/>
      <c r="K15" s="55"/>
    </row>
    <row r="16" spans="1:14">
      <c r="A16" s="56" t="str">
        <f>IF('ORDER ENTRY FORM'!C4="","",'ORDER ENTRY FORM'!C4)</f>
        <v>P06000</v>
      </c>
      <c r="B16" s="49" t="str">
        <f>IF('ORDER ENTRY FORM'!D4="","",'ORDER ENTRY FORM'!D4)</f>
        <v>BHPC PRESTIGE TROPHY 100ML EDP MEN</v>
      </c>
      <c r="C16" s="57"/>
      <c r="D16" s="58"/>
      <c r="E16" s="36"/>
      <c r="F16" s="59" t="str">
        <f>IF(A16="","","PC")</f>
        <v>PC</v>
      </c>
      <c r="G16" s="60">
        <f>IF('ORDER ENTRY FORM'!E4="","",'ORDER ENTRY FORM'!E4)</f>
        <v>100</v>
      </c>
      <c r="H16" s="154">
        <f>IF(A16="","",G16/VLOOKUP(A16,bhpc_data[],9,FALSE)*VLOOKUP(A16,bhpc_data[],17,FALSE))</f>
        <v>39.500000000000007</v>
      </c>
      <c r="I16" s="148">
        <f>IF(A16="","",G16/VLOOKUP(A16,bhpc_data[],9,FALSE)*VLOOKUP(A16,bhpc_data[],18,FALSE))</f>
        <v>41.250000000000007</v>
      </c>
      <c r="J16" s="146">
        <f>IF(A16="","",ROUNDUP(G16/VLOOKUP(A16,bhpc_data[],9,FALSE),0))</f>
        <v>5</v>
      </c>
      <c r="K16" s="61" t="str">
        <f>IF(A16="","",VLOOKUP(A16,bhpc_data[],26,FALSE))</f>
        <v>SPAIN</v>
      </c>
    </row>
    <row r="17" spans="1:11">
      <c r="A17" s="56" t="str">
        <f>IF('ORDER ENTRY FORM'!C5="","",'ORDER ENTRY FORM'!C5)</f>
        <v>P06001</v>
      </c>
      <c r="B17" s="49" t="str">
        <f>IF('ORDER ENTRY FORM'!D5="","",'ORDER ENTRY FORM'!D5)</f>
        <v>BHPC PRESTIGE HERITAGE OUD 100ML EDP MEN</v>
      </c>
      <c r="C17" s="57"/>
      <c r="D17" s="58"/>
      <c r="E17" s="36"/>
      <c r="F17" s="59" t="str">
        <f t="shared" ref="F17:F73" si="0">IF(A17="","","PC")</f>
        <v>PC</v>
      </c>
      <c r="G17" s="60">
        <f>IF('ORDER ENTRY FORM'!E5="","",'ORDER ENTRY FORM'!E5)</f>
        <v>100</v>
      </c>
      <c r="H17" s="154">
        <f>IF(A17="","",G17/VLOOKUP(A17,bhpc_data[],9,FALSE)*VLOOKUP(A17,bhpc_data[],17,FALSE))</f>
        <v>39.500000000000007</v>
      </c>
      <c r="I17" s="149">
        <f>IF(A17="","",G17/VLOOKUP(A17,bhpc_data[],9,FALSE)*VLOOKUP(A17,bhpc_data[],18,FALSE))</f>
        <v>41.250000000000007</v>
      </c>
      <c r="J17" s="146">
        <f>IF(A17="","",ROUNDUP(G17/VLOOKUP(A17,bhpc_data[],9,FALSE),0))</f>
        <v>5</v>
      </c>
      <c r="K17" s="61" t="str">
        <f>IF(A17="","",VLOOKUP(A17,bhpc_data[],26,FALSE))</f>
        <v>SPAIN</v>
      </c>
    </row>
    <row r="18" spans="1:11">
      <c r="A18" s="56" t="str">
        <f>IF('ORDER ENTRY FORM'!C6="","",'ORDER ENTRY FORM'!C6)</f>
        <v>P06002</v>
      </c>
      <c r="B18" s="49" t="str">
        <f>IF('ORDER ENTRY FORM'!D6="","",'ORDER ENTRY FORM'!D6)</f>
        <v>BHPC PRESTIGE TOUR 100ML EDP MEN</v>
      </c>
      <c r="C18" s="57"/>
      <c r="D18" s="58"/>
      <c r="E18" s="36"/>
      <c r="F18" s="59" t="str">
        <f t="shared" si="0"/>
        <v>PC</v>
      </c>
      <c r="G18" s="60">
        <f>IF('ORDER ENTRY FORM'!E6="","",'ORDER ENTRY FORM'!E6)</f>
        <v>100</v>
      </c>
      <c r="H18" s="154">
        <f>IF(A18="","",G18/VLOOKUP(A18,bhpc_data[],9,FALSE)*VLOOKUP(A18,bhpc_data[],17,FALSE))</f>
        <v>39.500000000000007</v>
      </c>
      <c r="I18" s="149">
        <f>IF(A18="","",G18/VLOOKUP(A18,bhpc_data[],9,FALSE)*VLOOKUP(A18,bhpc_data[],18,FALSE))</f>
        <v>41.250000000000007</v>
      </c>
      <c r="J18" s="146">
        <f>IF(A18="","",ROUNDUP(G18/VLOOKUP(A18,bhpc_data[],9,FALSE),0))</f>
        <v>5</v>
      </c>
      <c r="K18" s="61" t="str">
        <f>IF(A18="","",VLOOKUP(A18,bhpc_data[],26,FALSE))</f>
        <v>SPAIN</v>
      </c>
    </row>
    <row r="19" spans="1:11">
      <c r="A19" s="56" t="str">
        <f>IF('ORDER ENTRY FORM'!C7="","",'ORDER ENTRY FORM'!C7)</f>
        <v>P06003</v>
      </c>
      <c r="B19" s="49" t="str">
        <f>IF('ORDER ENTRY FORM'!D7="","",'ORDER ENTRY FORM'!D7)</f>
        <v>BHPC PRESTIGE TITAN 100ML EDP MEN</v>
      </c>
      <c r="C19" s="57"/>
      <c r="D19" s="58"/>
      <c r="E19" s="36"/>
      <c r="F19" s="59" t="str">
        <f t="shared" si="0"/>
        <v>PC</v>
      </c>
      <c r="G19" s="60">
        <f>IF('ORDER ENTRY FORM'!E7="","",'ORDER ENTRY FORM'!E7)</f>
        <v>100</v>
      </c>
      <c r="H19" s="154">
        <f>IF(A19="","",G19/VLOOKUP(A19,bhpc_data[],9,FALSE)*VLOOKUP(A19,bhpc_data[],17,FALSE))</f>
        <v>39.500000000000007</v>
      </c>
      <c r="I19" s="149">
        <f>IF(A19="","",G19/VLOOKUP(A19,bhpc_data[],9,FALSE)*VLOOKUP(A19,bhpc_data[],18,FALSE))</f>
        <v>41.250000000000007</v>
      </c>
      <c r="J19" s="146">
        <f>IF(A19="","",ROUNDUP(G19/VLOOKUP(A19,bhpc_data[],9,FALSE),0))</f>
        <v>5</v>
      </c>
      <c r="K19" s="61" t="str">
        <f>IF(A19="","",VLOOKUP(A19,bhpc_data[],26,FALSE))</f>
        <v>SPAIN</v>
      </c>
    </row>
    <row r="20" spans="1:11">
      <c r="A20" s="56" t="str">
        <f>IF('ORDER ENTRY FORM'!C8="","",'ORDER ENTRY FORM'!C8)</f>
        <v>GS5004</v>
      </c>
      <c r="B20" s="49" t="str">
        <f>IF('ORDER ENTRY FORM'!D8="","",'ORDER ENTRY FORM'!D8)</f>
        <v>BHPC GIFT SET SPORT MEN 1 EDT 100ML + DEO 175ML</v>
      </c>
      <c r="C20" s="57"/>
      <c r="D20" s="58"/>
      <c r="E20" s="36"/>
      <c r="F20" s="59" t="str">
        <f t="shared" si="0"/>
        <v>PC</v>
      </c>
      <c r="G20" s="60">
        <f>IF('ORDER ENTRY FORM'!E8="","",'ORDER ENTRY FORM'!E8)</f>
        <v>100</v>
      </c>
      <c r="H20" s="154">
        <f>IF(A20="","",G20/VLOOKUP(A20,bhpc_data[],9,FALSE)*VLOOKUP(A20,bhpc_data[],17,FALSE))</f>
        <v>48.75</v>
      </c>
      <c r="I20" s="149">
        <f>IF(A20="","",G20/VLOOKUP(A20,bhpc_data[],9,FALSE)*VLOOKUP(A20,bhpc_data[],18,FALSE))</f>
        <v>55</v>
      </c>
      <c r="J20" s="146">
        <f>IF(A20="","",ROUNDUP(G20/VLOOKUP(A20,bhpc_data[],9,FALSE),0))</f>
        <v>9</v>
      </c>
      <c r="K20" s="61" t="str">
        <f>IF(A20="","",VLOOKUP(A20,bhpc_data[],26,FALSE))</f>
        <v>SPAIN</v>
      </c>
    </row>
    <row r="21" spans="1:11">
      <c r="A21" s="56" t="str">
        <f>IF('ORDER ENTRY FORM'!C9="","",'ORDER ENTRY FORM'!C9)</f>
        <v>GS5005</v>
      </c>
      <c r="B21" s="49" t="str">
        <f>IF('ORDER ENTRY FORM'!D9="","",'ORDER ENTRY FORM'!D9)</f>
        <v>BHPC GIFT SET SPORT MEN 9 EDT 100ML + DEO 175ML</v>
      </c>
      <c r="C21" s="57"/>
      <c r="D21" s="58"/>
      <c r="E21" s="36"/>
      <c r="F21" s="59" t="str">
        <f t="shared" si="0"/>
        <v>PC</v>
      </c>
      <c r="G21" s="60">
        <f>IF('ORDER ENTRY FORM'!E9="","",'ORDER ENTRY FORM'!E9)</f>
        <v>100</v>
      </c>
      <c r="H21" s="154">
        <f>IF(A21="","",G21/VLOOKUP(A21,bhpc_data[],9,FALSE)*VLOOKUP(A21,bhpc_data[],17,FALSE))</f>
        <v>48.75</v>
      </c>
      <c r="I21" s="149">
        <f>IF(A21="","",G21/VLOOKUP(A21,bhpc_data[],9,FALSE)*VLOOKUP(A21,bhpc_data[],18,FALSE))</f>
        <v>55</v>
      </c>
      <c r="J21" s="146">
        <f>IF(A21="","",ROUNDUP(G21/VLOOKUP(A21,bhpc_data[],9,FALSE),0))</f>
        <v>9</v>
      </c>
      <c r="K21" s="61" t="str">
        <f>IF(A21="","",VLOOKUP(A21,bhpc_data[],26,FALSE))</f>
        <v>SPAIN</v>
      </c>
    </row>
    <row r="22" spans="1:11">
      <c r="A22" s="56" t="str">
        <f>IF('ORDER ENTRY FORM'!C10="","",'ORDER ENTRY FORM'!C10)</f>
        <v>GS5006</v>
      </c>
      <c r="B22" s="49" t="str">
        <f>IF('ORDER ENTRY FORM'!D10="","",'ORDER ENTRY FORM'!D10)</f>
        <v>BHPC GIFT SET SPORT MEN 8 EDT 100ML + DEO 175ML</v>
      </c>
      <c r="C22" s="57"/>
      <c r="D22" s="58"/>
      <c r="E22" s="36"/>
      <c r="F22" s="59" t="str">
        <f t="shared" si="0"/>
        <v>PC</v>
      </c>
      <c r="G22" s="60">
        <f>IF('ORDER ENTRY FORM'!E10="","",'ORDER ENTRY FORM'!E10)</f>
        <v>100</v>
      </c>
      <c r="H22" s="154">
        <f>IF(A22="","",G22/VLOOKUP(A22,bhpc_data[],9,FALSE)*VLOOKUP(A22,bhpc_data[],17,FALSE))</f>
        <v>48.75</v>
      </c>
      <c r="I22" s="149">
        <f>IF(A22="","",G22/VLOOKUP(A22,bhpc_data[],9,FALSE)*VLOOKUP(A22,bhpc_data[],18,FALSE))</f>
        <v>55</v>
      </c>
      <c r="J22" s="146">
        <f>IF(A22="","",ROUNDUP(G22/VLOOKUP(A22,bhpc_data[],9,FALSE),0))</f>
        <v>9</v>
      </c>
      <c r="K22" s="61" t="str">
        <f>IF(A22="","",VLOOKUP(A22,bhpc_data[],26,FALSE))</f>
        <v>SPAIN</v>
      </c>
    </row>
    <row r="23" spans="1:11">
      <c r="A23" s="56" t="str">
        <f>IF('ORDER ENTRY FORM'!C11="","",'ORDER ENTRY FORM'!C11)</f>
        <v>GS5007</v>
      </c>
      <c r="B23" s="49" t="str">
        <f>IF('ORDER ENTRY FORM'!D11="","",'ORDER ENTRY FORM'!D11)</f>
        <v>BHPC GIFT SET SPORT MEN 2 EDT 100ML + DEO 175ML</v>
      </c>
      <c r="C23" s="57"/>
      <c r="D23" s="58"/>
      <c r="E23" s="36"/>
      <c r="F23" s="59" t="str">
        <f t="shared" si="0"/>
        <v>PC</v>
      </c>
      <c r="G23" s="60">
        <f>IF('ORDER ENTRY FORM'!E11="","",'ORDER ENTRY FORM'!E11)</f>
        <v>100</v>
      </c>
      <c r="H23" s="154">
        <f>IF(A23="","",G23/VLOOKUP(A23,bhpc_data[],9,FALSE)*VLOOKUP(A23,bhpc_data[],17,FALSE))</f>
        <v>48.75</v>
      </c>
      <c r="I23" s="149">
        <f>IF(A23="","",G23/VLOOKUP(A23,bhpc_data[],9,FALSE)*VLOOKUP(A23,bhpc_data[],18,FALSE))</f>
        <v>55</v>
      </c>
      <c r="J23" s="146">
        <f>IF(A23="","",ROUNDUP(G23/VLOOKUP(A23,bhpc_data[],9,FALSE),0))</f>
        <v>9</v>
      </c>
      <c r="K23" s="61" t="str">
        <f>IF(A23="","",VLOOKUP(A23,bhpc_data[],26,FALSE))</f>
        <v>SPAIN</v>
      </c>
    </row>
    <row r="24" spans="1:11">
      <c r="A24" s="56" t="str">
        <f>IF('ORDER ENTRY FORM'!C12="","",'ORDER ENTRY FORM'!C12)</f>
        <v>GSTRO3</v>
      </c>
      <c r="B24" s="49" t="str">
        <f>IF('ORDER ENTRY FORM'!D12="","",'ORDER ENTRY FORM'!D12)</f>
        <v xml:space="preserve">BHPC GIFTSET PRESTIGE TROPHY EDP100ML + DEO 300ML </v>
      </c>
      <c r="C24" s="57"/>
      <c r="D24" s="58"/>
      <c r="E24" s="36"/>
      <c r="F24" s="59" t="str">
        <f t="shared" si="0"/>
        <v>PC</v>
      </c>
      <c r="G24" s="60">
        <f>IF('ORDER ENTRY FORM'!E12="","",'ORDER ENTRY FORM'!E12)</f>
        <v>100</v>
      </c>
      <c r="H24" s="154">
        <f>IF(A24="","",G24/VLOOKUP(A24,bhpc_data[],9,FALSE)*VLOOKUP(A24,bhpc_data[],17,FALSE))</f>
        <v>73</v>
      </c>
      <c r="I24" s="149">
        <f>IF(A24="","",G24/VLOOKUP(A24,bhpc_data[],9,FALSE)*VLOOKUP(A24,bhpc_data[],18,FALSE))</f>
        <v>85.416666666666671</v>
      </c>
      <c r="J24" s="146">
        <f>IF(A24="","",ROUNDUP(G24/VLOOKUP(A24,bhpc_data[],9,FALSE),0))</f>
        <v>5</v>
      </c>
      <c r="K24" s="61" t="str">
        <f>IF(A24="","",VLOOKUP(A24,bhpc_data[],26,FALSE))</f>
        <v>SPAIN</v>
      </c>
    </row>
    <row r="25" spans="1:11">
      <c r="A25" s="56" t="str">
        <f>IF('ORDER ENTRY FORM'!C13="","",'ORDER ENTRY FORM'!C13)</f>
        <v/>
      </c>
      <c r="B25" s="49" t="str">
        <f>IF('ORDER ENTRY FORM'!D13="","",'ORDER ENTRY FORM'!D13)</f>
        <v/>
      </c>
      <c r="C25" s="57"/>
      <c r="D25" s="58"/>
      <c r="E25" s="36"/>
      <c r="F25" s="59" t="str">
        <f t="shared" si="0"/>
        <v/>
      </c>
      <c r="G25" s="60" t="str">
        <f>IF('ORDER ENTRY FORM'!E13="","",'ORDER ENTRY FORM'!E13)</f>
        <v/>
      </c>
      <c r="H25" s="154" t="str">
        <f>IF(A25="","",G25/VLOOKUP(A25,bhpc_data[],9,FALSE)*VLOOKUP(A25,bhpc_data[],17,FALSE))</f>
        <v/>
      </c>
      <c r="I25" s="149" t="str">
        <f>IF(A25="","",G25/VLOOKUP(A25,bhpc_data[],9,FALSE)*VLOOKUP(A25,bhpc_data[],18,FALSE))</f>
        <v/>
      </c>
      <c r="J25" s="146" t="str">
        <f>IF(A25="","",ROUNDUP(G25/VLOOKUP(A25,bhpc_data[],9,FALSE),0))</f>
        <v/>
      </c>
      <c r="K25" s="61" t="str">
        <f>IF(A25="","",VLOOKUP(A25,bhpc_data[],26,FALSE))</f>
        <v/>
      </c>
    </row>
    <row r="26" spans="1:11">
      <c r="A26" s="56" t="str">
        <f>IF('ORDER ENTRY FORM'!C14="","",'ORDER ENTRY FORM'!C14)</f>
        <v/>
      </c>
      <c r="B26" s="49" t="str">
        <f>IF('ORDER ENTRY FORM'!D14="","",'ORDER ENTRY FORM'!D14)</f>
        <v/>
      </c>
      <c r="C26" s="57"/>
      <c r="D26" s="58"/>
      <c r="E26" s="36"/>
      <c r="F26" s="59" t="str">
        <f t="shared" si="0"/>
        <v/>
      </c>
      <c r="G26" s="60" t="str">
        <f>IF('ORDER ENTRY FORM'!E14="","",'ORDER ENTRY FORM'!E14)</f>
        <v/>
      </c>
      <c r="H26" s="154" t="str">
        <f>IF(A26="","",G26/VLOOKUP(A26,bhpc_data[],9,FALSE)*VLOOKUP(A26,bhpc_data[],17,FALSE))</f>
        <v/>
      </c>
      <c r="I26" s="149" t="str">
        <f>IF(A26="","",G26/VLOOKUP(A26,bhpc_data[],9,FALSE)*VLOOKUP(A26,bhpc_data[],18,FALSE))</f>
        <v/>
      </c>
      <c r="J26" s="146" t="str">
        <f>IF(A26="","",ROUNDUP(G26/VLOOKUP(A26,bhpc_data[],9,FALSE),0))</f>
        <v/>
      </c>
      <c r="K26" s="61" t="str">
        <f>IF(A26="","",VLOOKUP(A26,bhpc_data[],26,FALSE))</f>
        <v/>
      </c>
    </row>
    <row r="27" spans="1:11">
      <c r="A27" s="56" t="str">
        <f>IF('ORDER ENTRY FORM'!C15="","",'ORDER ENTRY FORM'!C15)</f>
        <v/>
      </c>
      <c r="B27" s="49" t="str">
        <f>IF('ORDER ENTRY FORM'!D15="","",'ORDER ENTRY FORM'!D15)</f>
        <v/>
      </c>
      <c r="C27" s="57"/>
      <c r="D27" s="58"/>
      <c r="E27" s="36"/>
      <c r="F27" s="59" t="str">
        <f t="shared" si="0"/>
        <v/>
      </c>
      <c r="G27" s="60" t="str">
        <f>IF('ORDER ENTRY FORM'!E15="","",'ORDER ENTRY FORM'!E15)</f>
        <v/>
      </c>
      <c r="H27" s="154" t="str">
        <f>IF(A27="","",G27/VLOOKUP(A27,bhpc_data[],9,FALSE)*VLOOKUP(A27,bhpc_data[],17,FALSE))</f>
        <v/>
      </c>
      <c r="I27" s="149" t="str">
        <f>IF(A27="","",G27/VLOOKUP(A27,bhpc_data[],9,FALSE)*VLOOKUP(A27,bhpc_data[],18,FALSE))</f>
        <v/>
      </c>
      <c r="J27" s="146" t="str">
        <f>IF(A27="","",ROUNDUP(G27/VLOOKUP(A27,bhpc_data[],9,FALSE),0))</f>
        <v/>
      </c>
      <c r="K27" s="61" t="str">
        <f>IF(A27="","",VLOOKUP(A27,bhpc_data[],26,FALSE))</f>
        <v/>
      </c>
    </row>
    <row r="28" spans="1:11">
      <c r="A28" s="56" t="str">
        <f>IF('ORDER ENTRY FORM'!C16="","",'ORDER ENTRY FORM'!C16)</f>
        <v/>
      </c>
      <c r="B28" s="49" t="str">
        <f>IF('ORDER ENTRY FORM'!D16="","",'ORDER ENTRY FORM'!D16)</f>
        <v/>
      </c>
      <c r="C28" s="57"/>
      <c r="D28" s="58"/>
      <c r="E28" s="36"/>
      <c r="F28" s="59" t="str">
        <f t="shared" si="0"/>
        <v/>
      </c>
      <c r="G28" s="60" t="str">
        <f>IF('ORDER ENTRY FORM'!E16="","",'ORDER ENTRY FORM'!E16)</f>
        <v/>
      </c>
      <c r="H28" s="154" t="str">
        <f>IF(A28="","",G28/VLOOKUP(A28,bhpc_data[],9,FALSE)*VLOOKUP(A28,bhpc_data[],17,FALSE))</f>
        <v/>
      </c>
      <c r="I28" s="149" t="str">
        <f>IF(A28="","",G28/VLOOKUP(A28,bhpc_data[],9,FALSE)*VLOOKUP(A28,bhpc_data[],18,FALSE))</f>
        <v/>
      </c>
      <c r="J28" s="146" t="str">
        <f>IF(A28="","",ROUNDUP(G28/VLOOKUP(A28,bhpc_data[],9,FALSE),0))</f>
        <v/>
      </c>
      <c r="K28" s="61" t="str">
        <f>IF(A28="","",VLOOKUP(A28,bhpc_data[],26,FALSE))</f>
        <v/>
      </c>
    </row>
    <row r="29" spans="1:11">
      <c r="A29" s="56" t="str">
        <f>IF('ORDER ENTRY FORM'!C17="","",'ORDER ENTRY FORM'!C17)</f>
        <v/>
      </c>
      <c r="B29" s="49" t="str">
        <f>IF('ORDER ENTRY FORM'!D17="","",'ORDER ENTRY FORM'!D17)</f>
        <v/>
      </c>
      <c r="C29" s="57"/>
      <c r="D29" s="58"/>
      <c r="E29" s="36"/>
      <c r="F29" s="59" t="str">
        <f t="shared" si="0"/>
        <v/>
      </c>
      <c r="G29" s="60" t="str">
        <f>IF('ORDER ENTRY FORM'!E17="","",'ORDER ENTRY FORM'!E17)</f>
        <v/>
      </c>
      <c r="H29" s="154" t="str">
        <f>IF(A29="","",G29/VLOOKUP(A29,bhpc_data[],9,FALSE)*VLOOKUP(A29,bhpc_data[],17,FALSE))</f>
        <v/>
      </c>
      <c r="I29" s="149" t="str">
        <f>IF(A29="","",G29/VLOOKUP(A29,bhpc_data[],9,FALSE)*VLOOKUP(A29,bhpc_data[],18,FALSE))</f>
        <v/>
      </c>
      <c r="J29" s="146" t="str">
        <f>IF(A29="","",ROUNDUP(G29/VLOOKUP(A29,bhpc_data[],9,FALSE),0))</f>
        <v/>
      </c>
      <c r="K29" s="61" t="str">
        <f>IF(A29="","",VLOOKUP(A29,bhpc_data[],26,FALSE))</f>
        <v/>
      </c>
    </row>
    <row r="30" spans="1:11">
      <c r="A30" s="56" t="str">
        <f>IF('ORDER ENTRY FORM'!C18="","",'ORDER ENTRY FORM'!C18)</f>
        <v/>
      </c>
      <c r="B30" s="49" t="str">
        <f>IF('ORDER ENTRY FORM'!D18="","",'ORDER ENTRY FORM'!D18)</f>
        <v/>
      </c>
      <c r="C30" s="57"/>
      <c r="D30" s="58"/>
      <c r="E30" s="36"/>
      <c r="F30" s="59" t="str">
        <f t="shared" si="0"/>
        <v/>
      </c>
      <c r="G30" s="60" t="str">
        <f>IF('ORDER ENTRY FORM'!E18="","",'ORDER ENTRY FORM'!E18)</f>
        <v/>
      </c>
      <c r="H30" s="154" t="str">
        <f>IF(A30="","",G30/VLOOKUP(A30,bhpc_data[],9,FALSE)*VLOOKUP(A30,bhpc_data[],17,FALSE))</f>
        <v/>
      </c>
      <c r="I30" s="149" t="str">
        <f>IF(A30="","",G30/VLOOKUP(A30,bhpc_data[],9,FALSE)*VLOOKUP(A30,bhpc_data[],18,FALSE))</f>
        <v/>
      </c>
      <c r="J30" s="146" t="str">
        <f>IF(A30="","",ROUNDUP(G30/VLOOKUP(A30,bhpc_data[],9,FALSE),0))</f>
        <v/>
      </c>
      <c r="K30" s="61" t="str">
        <f>IF(A30="","",VLOOKUP(A30,bhpc_data[],26,FALSE))</f>
        <v/>
      </c>
    </row>
    <row r="31" spans="1:11">
      <c r="A31" s="56" t="str">
        <f>IF('ORDER ENTRY FORM'!C19="","",'ORDER ENTRY FORM'!C19)</f>
        <v/>
      </c>
      <c r="B31" s="49" t="str">
        <f>IF('ORDER ENTRY FORM'!D19="","",'ORDER ENTRY FORM'!D19)</f>
        <v/>
      </c>
      <c r="C31" s="57"/>
      <c r="D31" s="58"/>
      <c r="E31" s="36"/>
      <c r="F31" s="59" t="str">
        <f t="shared" si="0"/>
        <v/>
      </c>
      <c r="G31" s="60" t="str">
        <f>IF('ORDER ENTRY FORM'!E19="","",'ORDER ENTRY FORM'!E19)</f>
        <v/>
      </c>
      <c r="H31" s="154" t="str">
        <f>IF(A31="","",G31/VLOOKUP(A31,bhpc_data[],9,FALSE)*VLOOKUP(A31,bhpc_data[],17,FALSE))</f>
        <v/>
      </c>
      <c r="I31" s="149" t="str">
        <f>IF(A31="","",G31/VLOOKUP(A31,bhpc_data[],9,FALSE)*VLOOKUP(A31,bhpc_data[],18,FALSE))</f>
        <v/>
      </c>
      <c r="J31" s="146" t="str">
        <f>IF(A31="","",ROUNDUP(G31/VLOOKUP(A31,bhpc_data[],9,FALSE),0))</f>
        <v/>
      </c>
      <c r="K31" s="61" t="str">
        <f>IF(A31="","",VLOOKUP(A31,bhpc_data[],26,FALSE))</f>
        <v/>
      </c>
    </row>
    <row r="32" spans="1:11">
      <c r="A32" s="56" t="str">
        <f>IF('ORDER ENTRY FORM'!C20="","",'ORDER ENTRY FORM'!C20)</f>
        <v/>
      </c>
      <c r="B32" s="49" t="str">
        <f>IF('ORDER ENTRY FORM'!D20="","",'ORDER ENTRY FORM'!D20)</f>
        <v/>
      </c>
      <c r="C32" s="57"/>
      <c r="D32" s="58"/>
      <c r="E32" s="36"/>
      <c r="F32" s="59" t="str">
        <f t="shared" si="0"/>
        <v/>
      </c>
      <c r="G32" s="60" t="str">
        <f>IF('ORDER ENTRY FORM'!E20="","",'ORDER ENTRY FORM'!E20)</f>
        <v/>
      </c>
      <c r="H32" s="154" t="str">
        <f>IF(A32="","",G32/VLOOKUP(A32,bhpc_data[],9,FALSE)*VLOOKUP(A32,bhpc_data[],17,FALSE))</f>
        <v/>
      </c>
      <c r="I32" s="149" t="str">
        <f>IF(A32="","",G32/VLOOKUP(A32,bhpc_data[],9,FALSE)*VLOOKUP(A32,bhpc_data[],18,FALSE))</f>
        <v/>
      </c>
      <c r="J32" s="146" t="str">
        <f>IF(A32="","",ROUNDUP(G32/VLOOKUP(A32,bhpc_data[],9,FALSE),0))</f>
        <v/>
      </c>
      <c r="K32" s="61" t="str">
        <f>IF(A32="","",VLOOKUP(A32,bhpc_data[],26,FALSE))</f>
        <v/>
      </c>
    </row>
    <row r="33" spans="1:11">
      <c r="A33" s="56" t="str">
        <f>IF('ORDER ENTRY FORM'!C21="","",'ORDER ENTRY FORM'!C21)</f>
        <v/>
      </c>
      <c r="B33" s="49" t="str">
        <f>IF('ORDER ENTRY FORM'!D21="","",'ORDER ENTRY FORM'!D21)</f>
        <v/>
      </c>
      <c r="C33" s="57"/>
      <c r="D33" s="58"/>
      <c r="E33" s="36"/>
      <c r="F33" s="59" t="str">
        <f t="shared" si="0"/>
        <v/>
      </c>
      <c r="G33" s="60" t="str">
        <f>IF('ORDER ENTRY FORM'!E21="","",'ORDER ENTRY FORM'!E21)</f>
        <v/>
      </c>
      <c r="H33" s="154" t="str">
        <f>IF(A33="","",G33/VLOOKUP(A33,bhpc_data[],9,FALSE)*VLOOKUP(A33,bhpc_data[],17,FALSE))</f>
        <v/>
      </c>
      <c r="I33" s="149" t="str">
        <f>IF(A33="","",G33/VLOOKUP(A33,bhpc_data[],9,FALSE)*VLOOKUP(A33,bhpc_data[],18,FALSE))</f>
        <v/>
      </c>
      <c r="J33" s="146" t="str">
        <f>IF(A33="","",ROUNDUP(G33/VLOOKUP(A33,bhpc_data[],9,FALSE),0))</f>
        <v/>
      </c>
      <c r="K33" s="61" t="str">
        <f>IF(A33="","",VLOOKUP(A33,bhpc_data[],26,FALSE))</f>
        <v/>
      </c>
    </row>
    <row r="34" spans="1:11">
      <c r="A34" s="56" t="str">
        <f>IF('ORDER ENTRY FORM'!C22="","",'ORDER ENTRY FORM'!C22)</f>
        <v/>
      </c>
      <c r="B34" s="49" t="str">
        <f>IF('ORDER ENTRY FORM'!D22="","",'ORDER ENTRY FORM'!D22)</f>
        <v/>
      </c>
      <c r="C34" s="57"/>
      <c r="D34" s="58"/>
      <c r="E34" s="36"/>
      <c r="F34" s="59" t="str">
        <f t="shared" si="0"/>
        <v/>
      </c>
      <c r="G34" s="60" t="str">
        <f>IF('ORDER ENTRY FORM'!E22="","",'ORDER ENTRY FORM'!E22)</f>
        <v/>
      </c>
      <c r="H34" s="154" t="str">
        <f>IF(A34="","",G34/VLOOKUP(A34,bhpc_data[],9,FALSE)*VLOOKUP(A34,bhpc_data[],17,FALSE))</f>
        <v/>
      </c>
      <c r="I34" s="149" t="str">
        <f>IF(A34="","",G34/VLOOKUP(A34,bhpc_data[],9,FALSE)*VLOOKUP(A34,bhpc_data[],18,FALSE))</f>
        <v/>
      </c>
      <c r="J34" s="146" t="str">
        <f>IF(A34="","",ROUNDUP(G34/VLOOKUP(A34,bhpc_data[],9,FALSE),0))</f>
        <v/>
      </c>
      <c r="K34" s="61" t="str">
        <f>IF(A34="","",VLOOKUP(A34,bhpc_data[],26,FALSE))</f>
        <v/>
      </c>
    </row>
    <row r="35" spans="1:11">
      <c r="A35" s="56" t="str">
        <f>IF('ORDER ENTRY FORM'!C23="","",'ORDER ENTRY FORM'!C23)</f>
        <v/>
      </c>
      <c r="B35" s="49" t="str">
        <f>IF('ORDER ENTRY FORM'!D23="","",'ORDER ENTRY FORM'!D23)</f>
        <v/>
      </c>
      <c r="C35" s="57"/>
      <c r="D35" s="58"/>
      <c r="E35" s="36"/>
      <c r="F35" s="59" t="str">
        <f t="shared" si="0"/>
        <v/>
      </c>
      <c r="G35" s="60" t="str">
        <f>IF('ORDER ENTRY FORM'!E23="","",'ORDER ENTRY FORM'!E23)</f>
        <v/>
      </c>
      <c r="H35" s="154" t="str">
        <f>IF(A35="","",G35/VLOOKUP(A35,bhpc_data[],9,FALSE)*VLOOKUP(A35,bhpc_data[],17,FALSE))</f>
        <v/>
      </c>
      <c r="I35" s="149" t="str">
        <f>IF(A35="","",G35/VLOOKUP(A35,bhpc_data[],9,FALSE)*VLOOKUP(A35,bhpc_data[],18,FALSE))</f>
        <v/>
      </c>
      <c r="J35" s="146" t="str">
        <f>IF(A35="","",ROUNDUP(G35/VLOOKUP(A35,bhpc_data[],9,FALSE),0))</f>
        <v/>
      </c>
      <c r="K35" s="61" t="str">
        <f>IF(A35="","",VLOOKUP(A35,bhpc_data[],26,FALSE))</f>
        <v/>
      </c>
    </row>
    <row r="36" spans="1:11">
      <c r="A36" s="56" t="str">
        <f>IF('ORDER ENTRY FORM'!C24="","",'ORDER ENTRY FORM'!C24)</f>
        <v/>
      </c>
      <c r="B36" s="49" t="str">
        <f>IF('ORDER ENTRY FORM'!D24="","",'ORDER ENTRY FORM'!D24)</f>
        <v/>
      </c>
      <c r="C36" s="57"/>
      <c r="D36" s="58"/>
      <c r="E36" s="36"/>
      <c r="F36" s="59" t="str">
        <f t="shared" si="0"/>
        <v/>
      </c>
      <c r="G36" s="60" t="str">
        <f>IF('ORDER ENTRY FORM'!E24="","",'ORDER ENTRY FORM'!E24)</f>
        <v/>
      </c>
      <c r="H36" s="154" t="str">
        <f>IF(A36="","",G36/VLOOKUP(A36,bhpc_data[],9,FALSE)*VLOOKUP(A36,bhpc_data[],17,FALSE))</f>
        <v/>
      </c>
      <c r="I36" s="149" t="str">
        <f>IF(A36="","",G36/VLOOKUP(A36,bhpc_data[],9,FALSE)*VLOOKUP(A36,bhpc_data[],18,FALSE))</f>
        <v/>
      </c>
      <c r="J36" s="146" t="str">
        <f>IF(A36="","",ROUNDUP(G36/VLOOKUP(A36,bhpc_data[],9,FALSE),0))</f>
        <v/>
      </c>
      <c r="K36" s="61" t="str">
        <f>IF(A36="","",VLOOKUP(A36,bhpc_data[],26,FALSE))</f>
        <v/>
      </c>
    </row>
    <row r="37" spans="1:11">
      <c r="A37" s="56" t="str">
        <f>IF('ORDER ENTRY FORM'!C25="","",'ORDER ENTRY FORM'!C25)</f>
        <v/>
      </c>
      <c r="B37" s="49" t="str">
        <f>IF('ORDER ENTRY FORM'!D25="","",'ORDER ENTRY FORM'!D25)</f>
        <v/>
      </c>
      <c r="C37" s="57"/>
      <c r="D37" s="58"/>
      <c r="E37" s="36"/>
      <c r="F37" s="59" t="str">
        <f t="shared" si="0"/>
        <v/>
      </c>
      <c r="G37" s="60" t="str">
        <f>IF('ORDER ENTRY FORM'!E25="","",'ORDER ENTRY FORM'!E25)</f>
        <v/>
      </c>
      <c r="H37" s="154" t="str">
        <f>IF(A37="","",G37/VLOOKUP(A37,bhpc_data[],9,FALSE)*VLOOKUP(A37,bhpc_data[],17,FALSE))</f>
        <v/>
      </c>
      <c r="I37" s="149" t="str">
        <f>IF(A37="","",G37/VLOOKUP(A37,bhpc_data[],9,FALSE)*VLOOKUP(A37,bhpc_data[],18,FALSE))</f>
        <v/>
      </c>
      <c r="J37" s="146" t="str">
        <f>IF(A37="","",ROUNDUP(G37/VLOOKUP(A37,bhpc_data[],9,FALSE),0))</f>
        <v/>
      </c>
      <c r="K37" s="61" t="str">
        <f>IF(A37="","",VLOOKUP(A37,bhpc_data[],26,FALSE))</f>
        <v/>
      </c>
    </row>
    <row r="38" spans="1:11">
      <c r="A38" s="56" t="str">
        <f>IF('ORDER ENTRY FORM'!C26="","",'ORDER ENTRY FORM'!C26)</f>
        <v/>
      </c>
      <c r="B38" s="49" t="str">
        <f>IF('ORDER ENTRY FORM'!D26="","",'ORDER ENTRY FORM'!D26)</f>
        <v/>
      </c>
      <c r="C38" s="57"/>
      <c r="D38" s="58"/>
      <c r="E38" s="36"/>
      <c r="F38" s="59" t="str">
        <f t="shared" si="0"/>
        <v/>
      </c>
      <c r="G38" s="60" t="str">
        <f>IF('ORDER ENTRY FORM'!E26="","",'ORDER ENTRY FORM'!E26)</f>
        <v/>
      </c>
      <c r="H38" s="154" t="str">
        <f>IF(A38="","",G38/VLOOKUP(A38,bhpc_data[],9,FALSE)*VLOOKUP(A38,bhpc_data[],17,FALSE))</f>
        <v/>
      </c>
      <c r="I38" s="149" t="str">
        <f>IF(A38="","",G38/VLOOKUP(A38,bhpc_data[],9,FALSE)*VLOOKUP(A38,bhpc_data[],18,FALSE))</f>
        <v/>
      </c>
      <c r="J38" s="146" t="str">
        <f>IF(A38="","",ROUNDUP(G38/VLOOKUP(A38,bhpc_data[],9,FALSE),0))</f>
        <v/>
      </c>
      <c r="K38" s="61" t="str">
        <f>IF(A38="","",VLOOKUP(A38,bhpc_data[],26,FALSE))</f>
        <v/>
      </c>
    </row>
    <row r="39" spans="1:11">
      <c r="A39" s="56" t="str">
        <f>IF('ORDER ENTRY FORM'!C27="","",'ORDER ENTRY FORM'!C27)</f>
        <v/>
      </c>
      <c r="B39" s="49" t="str">
        <f>IF('ORDER ENTRY FORM'!D27="","",'ORDER ENTRY FORM'!D27)</f>
        <v/>
      </c>
      <c r="C39" s="57"/>
      <c r="D39" s="58"/>
      <c r="E39" s="36"/>
      <c r="F39" s="59" t="str">
        <f t="shared" si="0"/>
        <v/>
      </c>
      <c r="G39" s="60" t="str">
        <f>IF('ORDER ENTRY FORM'!E27="","",'ORDER ENTRY FORM'!E27)</f>
        <v/>
      </c>
      <c r="H39" s="154" t="str">
        <f>IF(A39="","",G39/VLOOKUP(A39,bhpc_data[],9,FALSE)*VLOOKUP(A39,bhpc_data[],17,FALSE))</f>
        <v/>
      </c>
      <c r="I39" s="149" t="str">
        <f>IF(A39="","",G39/VLOOKUP(A39,bhpc_data[],9,FALSE)*VLOOKUP(A39,bhpc_data[],18,FALSE))</f>
        <v/>
      </c>
      <c r="J39" s="146" t="str">
        <f>IF(A39="","",ROUNDUP(G39/VLOOKUP(A39,bhpc_data[],9,FALSE),0))</f>
        <v/>
      </c>
      <c r="K39" s="61" t="str">
        <f>IF(A39="","",VLOOKUP(A39,bhpc_data[],26,FALSE))</f>
        <v/>
      </c>
    </row>
    <row r="40" spans="1:11">
      <c r="A40" s="56" t="str">
        <f>IF('ORDER ENTRY FORM'!C28="","",'ORDER ENTRY FORM'!C28)</f>
        <v/>
      </c>
      <c r="B40" s="49" t="str">
        <f>IF('ORDER ENTRY FORM'!D28="","",'ORDER ENTRY FORM'!D28)</f>
        <v/>
      </c>
      <c r="C40" s="57"/>
      <c r="D40" s="58"/>
      <c r="E40" s="36"/>
      <c r="F40" s="59" t="str">
        <f t="shared" si="0"/>
        <v/>
      </c>
      <c r="G40" s="60" t="str">
        <f>IF('ORDER ENTRY FORM'!E28="","",'ORDER ENTRY FORM'!E28)</f>
        <v/>
      </c>
      <c r="H40" s="154" t="str">
        <f>IF(A40="","",G40/VLOOKUP(A40,bhpc_data[],9,FALSE)*VLOOKUP(A40,bhpc_data[],17,FALSE))</f>
        <v/>
      </c>
      <c r="I40" s="149" t="str">
        <f>IF(A40="","",G40/VLOOKUP(A40,bhpc_data[],9,FALSE)*VLOOKUP(A40,bhpc_data[],18,FALSE))</f>
        <v/>
      </c>
      <c r="J40" s="146" t="str">
        <f>IF(A40="","",ROUNDUP(G40/VLOOKUP(A40,bhpc_data[],9,FALSE),0))</f>
        <v/>
      </c>
      <c r="K40" s="61" t="str">
        <f>IF(A40="","",VLOOKUP(A40,bhpc_data[],26,FALSE))</f>
        <v/>
      </c>
    </row>
    <row r="41" spans="1:11">
      <c r="A41" s="56" t="str">
        <f>IF('ORDER ENTRY FORM'!C29="","",'ORDER ENTRY FORM'!C29)</f>
        <v/>
      </c>
      <c r="B41" s="49" t="str">
        <f>IF('ORDER ENTRY FORM'!D29="","",'ORDER ENTRY FORM'!D29)</f>
        <v/>
      </c>
      <c r="C41" s="57"/>
      <c r="D41" s="58"/>
      <c r="E41" s="36"/>
      <c r="F41" s="59" t="str">
        <f t="shared" si="0"/>
        <v/>
      </c>
      <c r="G41" s="60" t="str">
        <f>IF('ORDER ENTRY FORM'!E29="","",'ORDER ENTRY FORM'!E29)</f>
        <v/>
      </c>
      <c r="H41" s="154" t="str">
        <f>IF(A41="","",G41/VLOOKUP(A41,bhpc_data[],9,FALSE)*VLOOKUP(A41,bhpc_data[],17,FALSE))</f>
        <v/>
      </c>
      <c r="I41" s="149" t="str">
        <f>IF(A41="","",G41/VLOOKUP(A41,bhpc_data[],9,FALSE)*VLOOKUP(A41,bhpc_data[],18,FALSE))</f>
        <v/>
      </c>
      <c r="J41" s="146" t="str">
        <f>IF(A41="","",ROUNDUP(G41/VLOOKUP(A41,bhpc_data[],9,FALSE),0))</f>
        <v/>
      </c>
      <c r="K41" s="61" t="str">
        <f>IF(A41="","",VLOOKUP(A41,bhpc_data[],26,FALSE))</f>
        <v/>
      </c>
    </row>
    <row r="42" spans="1:11">
      <c r="A42" s="56" t="str">
        <f>IF('ORDER ENTRY FORM'!C30="","",'ORDER ENTRY FORM'!C30)</f>
        <v/>
      </c>
      <c r="B42" s="49" t="str">
        <f>IF('ORDER ENTRY FORM'!D30="","",'ORDER ENTRY FORM'!D30)</f>
        <v/>
      </c>
      <c r="C42" s="57"/>
      <c r="D42" s="58"/>
      <c r="E42" s="36"/>
      <c r="F42" s="59" t="str">
        <f t="shared" si="0"/>
        <v/>
      </c>
      <c r="G42" s="60" t="str">
        <f>IF('ORDER ENTRY FORM'!E30="","",'ORDER ENTRY FORM'!E30)</f>
        <v/>
      </c>
      <c r="H42" s="154" t="str">
        <f>IF(A42="","",G42/VLOOKUP(A42,bhpc_data[],9,FALSE)*VLOOKUP(A42,bhpc_data[],17,FALSE))</f>
        <v/>
      </c>
      <c r="I42" s="149" t="str">
        <f>IF(A42="","",G42/VLOOKUP(A42,bhpc_data[],9,FALSE)*VLOOKUP(A42,bhpc_data[],18,FALSE))</f>
        <v/>
      </c>
      <c r="J42" s="146" t="str">
        <f>IF(A42="","",ROUNDUP(G42/VLOOKUP(A42,bhpc_data[],9,FALSE),0))</f>
        <v/>
      </c>
      <c r="K42" s="61" t="str">
        <f>IF(A42="","",VLOOKUP(A42,bhpc_data[],26,FALSE))</f>
        <v/>
      </c>
    </row>
    <row r="43" spans="1:11">
      <c r="A43" s="56" t="str">
        <f>IF('ORDER ENTRY FORM'!C31="","",'ORDER ENTRY FORM'!C31)</f>
        <v/>
      </c>
      <c r="B43" s="49" t="str">
        <f>IF('ORDER ENTRY FORM'!D31="","",'ORDER ENTRY FORM'!D31)</f>
        <v/>
      </c>
      <c r="C43" s="57"/>
      <c r="D43" s="58"/>
      <c r="E43" s="36"/>
      <c r="F43" s="59" t="str">
        <f t="shared" si="0"/>
        <v/>
      </c>
      <c r="G43" s="60" t="str">
        <f>IF('ORDER ENTRY FORM'!E31="","",'ORDER ENTRY FORM'!E31)</f>
        <v/>
      </c>
      <c r="H43" s="154" t="str">
        <f>IF(A43="","",G43/VLOOKUP(A43,bhpc_data[],9,FALSE)*VLOOKUP(A43,bhpc_data[],17,FALSE))</f>
        <v/>
      </c>
      <c r="I43" s="149" t="str">
        <f>IF(A43="","",G43/VLOOKUP(A43,bhpc_data[],9,FALSE)*VLOOKUP(A43,bhpc_data[],18,FALSE))</f>
        <v/>
      </c>
      <c r="J43" s="146" t="str">
        <f>IF(A43="","",ROUNDUP(G43/VLOOKUP(A43,bhpc_data[],9,FALSE),0))</f>
        <v/>
      </c>
      <c r="K43" s="61" t="str">
        <f>IF(A43="","",VLOOKUP(A43,bhpc_data[],26,FALSE))</f>
        <v/>
      </c>
    </row>
    <row r="44" spans="1:11">
      <c r="A44" s="56" t="str">
        <f>IF('ORDER ENTRY FORM'!C32="","",'ORDER ENTRY FORM'!C32)</f>
        <v/>
      </c>
      <c r="B44" s="49" t="str">
        <f>IF('ORDER ENTRY FORM'!D32="","",'ORDER ENTRY FORM'!D32)</f>
        <v/>
      </c>
      <c r="C44" s="57"/>
      <c r="D44" s="58"/>
      <c r="E44" s="36"/>
      <c r="F44" s="59" t="str">
        <f t="shared" si="0"/>
        <v/>
      </c>
      <c r="G44" s="60" t="str">
        <f>IF('ORDER ENTRY FORM'!E32="","",'ORDER ENTRY FORM'!E32)</f>
        <v/>
      </c>
      <c r="H44" s="154" t="str">
        <f>IF(A44="","",G44/VLOOKUP(A44,bhpc_data[],9,FALSE)*VLOOKUP(A44,bhpc_data[],17,FALSE))</f>
        <v/>
      </c>
      <c r="I44" s="149" t="str">
        <f>IF(A44="","",G44/VLOOKUP(A44,bhpc_data[],9,FALSE)*VLOOKUP(A44,bhpc_data[],18,FALSE))</f>
        <v/>
      </c>
      <c r="J44" s="146" t="str">
        <f>IF(A44="","",ROUNDUP(G44/VLOOKUP(A44,bhpc_data[],9,FALSE),0))</f>
        <v/>
      </c>
      <c r="K44" s="61" t="str">
        <f>IF(A44="","",VLOOKUP(A44,bhpc_data[],26,FALSE))</f>
        <v/>
      </c>
    </row>
    <row r="45" spans="1:11">
      <c r="A45" s="56" t="str">
        <f>IF('ORDER ENTRY FORM'!C33="","",'ORDER ENTRY FORM'!C33)</f>
        <v/>
      </c>
      <c r="B45" s="49" t="str">
        <f>IF('ORDER ENTRY FORM'!D33="","",'ORDER ENTRY FORM'!D33)</f>
        <v/>
      </c>
      <c r="C45" s="57"/>
      <c r="D45" s="58"/>
      <c r="E45" s="36"/>
      <c r="F45" s="59" t="str">
        <f t="shared" si="0"/>
        <v/>
      </c>
      <c r="G45" s="60" t="str">
        <f>IF('ORDER ENTRY FORM'!E33="","",'ORDER ENTRY FORM'!E33)</f>
        <v/>
      </c>
      <c r="H45" s="154" t="str">
        <f>IF(A45="","",G45/VLOOKUP(A45,bhpc_data[],9,FALSE)*VLOOKUP(A45,bhpc_data[],17,FALSE))</f>
        <v/>
      </c>
      <c r="I45" s="149" t="str">
        <f>IF(A45="","",G45/VLOOKUP(A45,bhpc_data[],9,FALSE)*VLOOKUP(A45,bhpc_data[],18,FALSE))</f>
        <v/>
      </c>
      <c r="J45" s="146" t="str">
        <f>IF(A45="","",ROUNDUP(G45/VLOOKUP(A45,bhpc_data[],9,FALSE),0))</f>
        <v/>
      </c>
      <c r="K45" s="61" t="str">
        <f>IF(A45="","",VLOOKUP(A45,bhpc_data[],26,FALSE))</f>
        <v/>
      </c>
    </row>
    <row r="46" spans="1:11">
      <c r="A46" s="56" t="str">
        <f>IF('ORDER ENTRY FORM'!C34="","",'ORDER ENTRY FORM'!C34)</f>
        <v/>
      </c>
      <c r="B46" s="49" t="str">
        <f>IF('ORDER ENTRY FORM'!D34="","",'ORDER ENTRY FORM'!D34)</f>
        <v/>
      </c>
      <c r="C46" s="57"/>
      <c r="D46" s="58"/>
      <c r="E46" s="36"/>
      <c r="F46" s="59" t="str">
        <f t="shared" si="0"/>
        <v/>
      </c>
      <c r="G46" s="60" t="str">
        <f>IF('ORDER ENTRY FORM'!E34="","",'ORDER ENTRY FORM'!E34)</f>
        <v/>
      </c>
      <c r="H46" s="154" t="str">
        <f>IF(A46="","",G46/VLOOKUP(A46,bhpc_data[],9,FALSE)*VLOOKUP(A46,bhpc_data[],17,FALSE))</f>
        <v/>
      </c>
      <c r="I46" s="149" t="str">
        <f>IF(A46="","",G46/VLOOKUP(A46,bhpc_data[],9,FALSE)*VLOOKUP(A46,bhpc_data[],18,FALSE))</f>
        <v/>
      </c>
      <c r="J46" s="146" t="str">
        <f>IF(A46="","",ROUNDUP(G46/VLOOKUP(A46,bhpc_data[],9,FALSE),0))</f>
        <v/>
      </c>
      <c r="K46" s="61" t="str">
        <f>IF(A46="","",VLOOKUP(A46,bhpc_data[],26,FALSE))</f>
        <v/>
      </c>
    </row>
    <row r="47" spans="1:11">
      <c r="A47" s="56" t="str">
        <f>IF('ORDER ENTRY FORM'!C35="","",'ORDER ENTRY FORM'!C35)</f>
        <v/>
      </c>
      <c r="B47" s="49" t="str">
        <f>IF('ORDER ENTRY FORM'!D35="","",'ORDER ENTRY FORM'!D35)</f>
        <v/>
      </c>
      <c r="C47" s="57"/>
      <c r="D47" s="58"/>
      <c r="E47" s="36"/>
      <c r="F47" s="59" t="str">
        <f t="shared" si="0"/>
        <v/>
      </c>
      <c r="G47" s="60" t="str">
        <f>IF('ORDER ENTRY FORM'!E35="","",'ORDER ENTRY FORM'!E35)</f>
        <v/>
      </c>
      <c r="H47" s="154" t="str">
        <f>IF(A47="","",G47/VLOOKUP(A47,bhpc_data[],9,FALSE)*VLOOKUP(A47,bhpc_data[],17,FALSE))</f>
        <v/>
      </c>
      <c r="I47" s="149" t="str">
        <f>IF(A47="","",G47/VLOOKUP(A47,bhpc_data[],9,FALSE)*VLOOKUP(A47,bhpc_data[],18,FALSE))</f>
        <v/>
      </c>
      <c r="J47" s="146" t="str">
        <f>IF(A47="","",ROUNDUP(G47/VLOOKUP(A47,bhpc_data[],9,FALSE),0))</f>
        <v/>
      </c>
      <c r="K47" s="61" t="str">
        <f>IF(A47="","",VLOOKUP(A47,bhpc_data[],26,FALSE))</f>
        <v/>
      </c>
    </row>
    <row r="48" spans="1:11">
      <c r="A48" s="56" t="str">
        <f>IF('ORDER ENTRY FORM'!C36="","",'ORDER ENTRY FORM'!C36)</f>
        <v/>
      </c>
      <c r="B48" s="49" t="str">
        <f>IF('ORDER ENTRY FORM'!D36="","",'ORDER ENTRY FORM'!D36)</f>
        <v/>
      </c>
      <c r="C48" s="57"/>
      <c r="D48" s="58"/>
      <c r="E48" s="36"/>
      <c r="F48" s="59" t="str">
        <f t="shared" si="0"/>
        <v/>
      </c>
      <c r="G48" s="60" t="str">
        <f>IF('ORDER ENTRY FORM'!E36="","",'ORDER ENTRY FORM'!E36)</f>
        <v/>
      </c>
      <c r="H48" s="154" t="str">
        <f>IF(A48="","",G48/VLOOKUP(A48,bhpc_data[],9,FALSE)*VLOOKUP(A48,bhpc_data[],17,FALSE))</f>
        <v/>
      </c>
      <c r="I48" s="149" t="str">
        <f>IF(A48="","",G48/VLOOKUP(A48,bhpc_data[],9,FALSE)*VLOOKUP(A48,bhpc_data[],18,FALSE))</f>
        <v/>
      </c>
      <c r="J48" s="146" t="str">
        <f>IF(A48="","",ROUNDUP(G48/VLOOKUP(A48,bhpc_data[],9,FALSE),0))</f>
        <v/>
      </c>
      <c r="K48" s="61" t="str">
        <f>IF(A48="","",VLOOKUP(A48,bhpc_data[],26,FALSE))</f>
        <v/>
      </c>
    </row>
    <row r="49" spans="1:11">
      <c r="A49" s="56" t="str">
        <f>IF('ORDER ENTRY FORM'!C37="","",'ORDER ENTRY FORM'!C37)</f>
        <v/>
      </c>
      <c r="B49" s="49" t="str">
        <f>IF('ORDER ENTRY FORM'!D37="","",'ORDER ENTRY FORM'!D37)</f>
        <v/>
      </c>
      <c r="C49" s="57"/>
      <c r="D49" s="58"/>
      <c r="E49" s="36"/>
      <c r="F49" s="59" t="str">
        <f t="shared" si="0"/>
        <v/>
      </c>
      <c r="G49" s="60" t="str">
        <f>IF('ORDER ENTRY FORM'!E37="","",'ORDER ENTRY FORM'!E37)</f>
        <v/>
      </c>
      <c r="H49" s="154" t="str">
        <f>IF(A49="","",G49/VLOOKUP(A49,bhpc_data[],9,FALSE)*VLOOKUP(A49,bhpc_data[],17,FALSE))</f>
        <v/>
      </c>
      <c r="I49" s="149" t="str">
        <f>IF(A49="","",G49/VLOOKUP(A49,bhpc_data[],9,FALSE)*VLOOKUP(A49,bhpc_data[],18,FALSE))</f>
        <v/>
      </c>
      <c r="J49" s="146" t="str">
        <f>IF(A49="","",ROUNDUP(G49/VLOOKUP(A49,bhpc_data[],9,FALSE),0))</f>
        <v/>
      </c>
      <c r="K49" s="61" t="str">
        <f>IF(A49="","",VLOOKUP(A49,bhpc_data[],26,FALSE))</f>
        <v/>
      </c>
    </row>
    <row r="50" spans="1:11">
      <c r="A50" s="56" t="str">
        <f>IF('ORDER ENTRY FORM'!C38="","",'ORDER ENTRY FORM'!C38)</f>
        <v/>
      </c>
      <c r="B50" s="49" t="str">
        <f>IF('ORDER ENTRY FORM'!D38="","",'ORDER ENTRY FORM'!D38)</f>
        <v/>
      </c>
      <c r="C50" s="57"/>
      <c r="D50" s="58"/>
      <c r="E50" s="36"/>
      <c r="F50" s="59" t="str">
        <f t="shared" si="0"/>
        <v/>
      </c>
      <c r="G50" s="60" t="str">
        <f>IF('ORDER ENTRY FORM'!E38="","",'ORDER ENTRY FORM'!E38)</f>
        <v/>
      </c>
      <c r="H50" s="154" t="str">
        <f>IF(A50="","",G50/VLOOKUP(A50,bhpc_data[],9,FALSE)*VLOOKUP(A50,bhpc_data[],17,FALSE))</f>
        <v/>
      </c>
      <c r="I50" s="149" t="str">
        <f>IF(A50="","",G50/VLOOKUP(A50,bhpc_data[],9,FALSE)*VLOOKUP(A50,bhpc_data[],18,FALSE))</f>
        <v/>
      </c>
      <c r="J50" s="146" t="str">
        <f>IF(A50="","",ROUNDUP(G50/VLOOKUP(A50,bhpc_data[],9,FALSE),0))</f>
        <v/>
      </c>
      <c r="K50" s="61" t="str">
        <f>IF(A50="","",VLOOKUP(A50,bhpc_data[],26,FALSE))</f>
        <v/>
      </c>
    </row>
    <row r="51" spans="1:11">
      <c r="A51" s="56" t="str">
        <f>IF('ORDER ENTRY FORM'!C39="","",'ORDER ENTRY FORM'!C39)</f>
        <v/>
      </c>
      <c r="B51" s="49" t="str">
        <f>IF('ORDER ENTRY FORM'!D39="","",'ORDER ENTRY FORM'!D39)</f>
        <v/>
      </c>
      <c r="C51" s="57"/>
      <c r="D51" s="58"/>
      <c r="E51" s="36"/>
      <c r="F51" s="59" t="str">
        <f t="shared" si="0"/>
        <v/>
      </c>
      <c r="G51" s="60" t="str">
        <f>IF('ORDER ENTRY FORM'!E39="","",'ORDER ENTRY FORM'!E39)</f>
        <v/>
      </c>
      <c r="H51" s="154" t="str">
        <f>IF(A51="","",G51/VLOOKUP(A51,bhpc_data[],9,FALSE)*VLOOKUP(A51,bhpc_data[],17,FALSE))</f>
        <v/>
      </c>
      <c r="I51" s="149" t="str">
        <f>IF(A51="","",G51/VLOOKUP(A51,bhpc_data[],9,FALSE)*VLOOKUP(A51,bhpc_data[],18,FALSE))</f>
        <v/>
      </c>
      <c r="J51" s="146" t="str">
        <f>IF(A51="","",ROUNDUP(G51/VLOOKUP(A51,bhpc_data[],9,FALSE),0))</f>
        <v/>
      </c>
      <c r="K51" s="61" t="str">
        <f>IF(A51="","",VLOOKUP(A51,bhpc_data[],26,FALSE))</f>
        <v/>
      </c>
    </row>
    <row r="52" spans="1:11">
      <c r="A52" s="56" t="str">
        <f>IF('ORDER ENTRY FORM'!C40="","",'ORDER ENTRY FORM'!C40)</f>
        <v/>
      </c>
      <c r="B52" s="49" t="str">
        <f>IF('ORDER ENTRY FORM'!D40="","",'ORDER ENTRY FORM'!D40)</f>
        <v/>
      </c>
      <c r="C52" s="57"/>
      <c r="D52" s="58"/>
      <c r="E52" s="36"/>
      <c r="F52" s="59" t="str">
        <f t="shared" si="0"/>
        <v/>
      </c>
      <c r="G52" s="60" t="str">
        <f>IF('ORDER ENTRY FORM'!E40="","",'ORDER ENTRY FORM'!E40)</f>
        <v/>
      </c>
      <c r="H52" s="154" t="str">
        <f>IF(A52="","",G52/VLOOKUP(A52,bhpc_data[],9,FALSE)*VLOOKUP(A52,bhpc_data[],17,FALSE))</f>
        <v/>
      </c>
      <c r="I52" s="149" t="str">
        <f>IF(A52="","",G52/VLOOKUP(A52,bhpc_data[],9,FALSE)*VLOOKUP(A52,bhpc_data[],18,FALSE))</f>
        <v/>
      </c>
      <c r="J52" s="146" t="str">
        <f>IF(A52="","",ROUNDUP(G52/VLOOKUP(A52,bhpc_data[],9,FALSE),0))</f>
        <v/>
      </c>
      <c r="K52" s="61" t="str">
        <f>IF(A52="","",VLOOKUP(A52,bhpc_data[],26,FALSE))</f>
        <v/>
      </c>
    </row>
    <row r="53" spans="1:11">
      <c r="A53" s="56" t="str">
        <f>IF('ORDER ENTRY FORM'!C41="","",'ORDER ENTRY FORM'!C41)</f>
        <v/>
      </c>
      <c r="B53" s="49" t="str">
        <f>IF('ORDER ENTRY FORM'!D41="","",'ORDER ENTRY FORM'!D41)</f>
        <v/>
      </c>
      <c r="C53" s="57"/>
      <c r="D53" s="58"/>
      <c r="E53" s="36"/>
      <c r="F53" s="59" t="str">
        <f t="shared" si="0"/>
        <v/>
      </c>
      <c r="G53" s="60" t="str">
        <f>IF('ORDER ENTRY FORM'!E41="","",'ORDER ENTRY FORM'!E41)</f>
        <v/>
      </c>
      <c r="H53" s="154" t="str">
        <f>IF(A53="","",G53/VLOOKUP(A53,bhpc_data[],9,FALSE)*VLOOKUP(A53,bhpc_data[],17,FALSE))</f>
        <v/>
      </c>
      <c r="I53" s="149" t="str">
        <f>IF(A53="","",G53/VLOOKUP(A53,bhpc_data[],9,FALSE)*VLOOKUP(A53,bhpc_data[],18,FALSE))</f>
        <v/>
      </c>
      <c r="J53" s="146" t="str">
        <f>IF(A53="","",ROUNDUP(G53/VLOOKUP(A53,bhpc_data[],9,FALSE),0))</f>
        <v/>
      </c>
      <c r="K53" s="61" t="str">
        <f>IF(A53="","",VLOOKUP(A53,bhpc_data[],26,FALSE))</f>
        <v/>
      </c>
    </row>
    <row r="54" spans="1:11">
      <c r="A54" s="56" t="str">
        <f>IF('ORDER ENTRY FORM'!C42="","",'ORDER ENTRY FORM'!C42)</f>
        <v/>
      </c>
      <c r="B54" s="49" t="str">
        <f>IF('ORDER ENTRY FORM'!D42="","",'ORDER ENTRY FORM'!D42)</f>
        <v/>
      </c>
      <c r="C54" s="57"/>
      <c r="D54" s="58"/>
      <c r="E54" s="36"/>
      <c r="F54" s="59" t="str">
        <f t="shared" si="0"/>
        <v/>
      </c>
      <c r="G54" s="60" t="str">
        <f>IF('ORDER ENTRY FORM'!E42="","",'ORDER ENTRY FORM'!E42)</f>
        <v/>
      </c>
      <c r="H54" s="154" t="str">
        <f>IF(A54="","",G54/VLOOKUP(A54,bhpc_data[],9,FALSE)*VLOOKUP(A54,bhpc_data[],17,FALSE))</f>
        <v/>
      </c>
      <c r="I54" s="149" t="str">
        <f>IF(A54="","",G54/VLOOKUP(A54,bhpc_data[],9,FALSE)*VLOOKUP(A54,bhpc_data[],18,FALSE))</f>
        <v/>
      </c>
      <c r="J54" s="146" t="str">
        <f>IF(A54="","",ROUNDUP(G54/VLOOKUP(A54,bhpc_data[],9,FALSE),0))</f>
        <v/>
      </c>
      <c r="K54" s="61" t="str">
        <f>IF(A54="","",VLOOKUP(A54,bhpc_data[],26,FALSE))</f>
        <v/>
      </c>
    </row>
    <row r="55" spans="1:11">
      <c r="A55" s="56" t="str">
        <f>IF('ORDER ENTRY FORM'!C43="","",'ORDER ENTRY FORM'!C43)</f>
        <v/>
      </c>
      <c r="B55" s="49" t="str">
        <f>IF('ORDER ENTRY FORM'!D43="","",'ORDER ENTRY FORM'!D43)</f>
        <v/>
      </c>
      <c r="C55" s="57"/>
      <c r="D55" s="58"/>
      <c r="E55" s="36"/>
      <c r="F55" s="59" t="str">
        <f t="shared" si="0"/>
        <v/>
      </c>
      <c r="G55" s="60" t="str">
        <f>IF('ORDER ENTRY FORM'!E43="","",'ORDER ENTRY FORM'!E43)</f>
        <v/>
      </c>
      <c r="H55" s="154" t="str">
        <f>IF(A55="","",G55/VLOOKUP(A55,bhpc_data[],9,FALSE)*VLOOKUP(A55,bhpc_data[],17,FALSE))</f>
        <v/>
      </c>
      <c r="I55" s="149" t="str">
        <f>IF(A55="","",G55/VLOOKUP(A55,bhpc_data[],9,FALSE)*VLOOKUP(A55,bhpc_data[],18,FALSE))</f>
        <v/>
      </c>
      <c r="J55" s="146" t="str">
        <f>IF(A55="","",ROUNDUP(G55/VLOOKUP(A55,bhpc_data[],9,FALSE),0))</f>
        <v/>
      </c>
      <c r="K55" s="61" t="str">
        <f>IF(A55="","",VLOOKUP(A55,bhpc_data[],26,FALSE))</f>
        <v/>
      </c>
    </row>
    <row r="56" spans="1:11">
      <c r="A56" s="56" t="str">
        <f>IF('ORDER ENTRY FORM'!C44="","",'ORDER ENTRY FORM'!C44)</f>
        <v/>
      </c>
      <c r="B56" s="49" t="str">
        <f>IF('ORDER ENTRY FORM'!D44="","",'ORDER ENTRY FORM'!D44)</f>
        <v/>
      </c>
      <c r="C56" s="57"/>
      <c r="D56" s="58"/>
      <c r="E56" s="36"/>
      <c r="F56" s="59" t="str">
        <f t="shared" si="0"/>
        <v/>
      </c>
      <c r="G56" s="60" t="str">
        <f>IF('ORDER ENTRY FORM'!E44="","",'ORDER ENTRY FORM'!E44)</f>
        <v/>
      </c>
      <c r="H56" s="154" t="str">
        <f>IF(A56="","",G56/VLOOKUP(A56,bhpc_data[],9,FALSE)*VLOOKUP(A56,bhpc_data[],17,FALSE))</f>
        <v/>
      </c>
      <c r="I56" s="149" t="str">
        <f>IF(A56="","",G56/VLOOKUP(A56,bhpc_data[],9,FALSE)*VLOOKUP(A56,bhpc_data[],18,FALSE))</f>
        <v/>
      </c>
      <c r="J56" s="146" t="str">
        <f>IF(A56="","",ROUNDUP(G56/VLOOKUP(A56,bhpc_data[],9,FALSE),0))</f>
        <v/>
      </c>
      <c r="K56" s="61" t="str">
        <f>IF(A56="","",VLOOKUP(A56,bhpc_data[],26,FALSE))</f>
        <v/>
      </c>
    </row>
    <row r="57" spans="1:11">
      <c r="A57" s="56" t="str">
        <f>IF('ORDER ENTRY FORM'!C45="","",'ORDER ENTRY FORM'!C45)</f>
        <v/>
      </c>
      <c r="B57" s="49" t="str">
        <f>IF('ORDER ENTRY FORM'!D45="","",'ORDER ENTRY FORM'!D45)</f>
        <v/>
      </c>
      <c r="C57" s="57"/>
      <c r="D57" s="58"/>
      <c r="E57" s="36"/>
      <c r="F57" s="59" t="str">
        <f t="shared" si="0"/>
        <v/>
      </c>
      <c r="G57" s="60" t="str">
        <f>IF('ORDER ENTRY FORM'!E45="","",'ORDER ENTRY FORM'!E45)</f>
        <v/>
      </c>
      <c r="H57" s="154" t="str">
        <f>IF(A57="","",G57/VLOOKUP(A57,bhpc_data[],9,FALSE)*VLOOKUP(A57,bhpc_data[],17,FALSE))</f>
        <v/>
      </c>
      <c r="I57" s="149" t="str">
        <f>IF(A57="","",G57/VLOOKUP(A57,bhpc_data[],9,FALSE)*VLOOKUP(A57,bhpc_data[],18,FALSE))</f>
        <v/>
      </c>
      <c r="J57" s="146" t="str">
        <f>IF(A57="","",ROUNDUP(G57/VLOOKUP(A57,bhpc_data[],9,FALSE),0))</f>
        <v/>
      </c>
      <c r="K57" s="61" t="str">
        <f>IF(A57="","",VLOOKUP(A57,bhpc_data[],26,FALSE))</f>
        <v/>
      </c>
    </row>
    <row r="58" spans="1:11">
      <c r="A58" s="56" t="str">
        <f>IF('ORDER ENTRY FORM'!C46="","",'ORDER ENTRY FORM'!C46)</f>
        <v/>
      </c>
      <c r="B58" s="49" t="str">
        <f>IF('ORDER ENTRY FORM'!D46="","",'ORDER ENTRY FORM'!D46)</f>
        <v/>
      </c>
      <c r="C58" s="57"/>
      <c r="D58" s="58"/>
      <c r="E58" s="36"/>
      <c r="F58" s="59" t="str">
        <f t="shared" si="0"/>
        <v/>
      </c>
      <c r="G58" s="60" t="str">
        <f>IF('ORDER ENTRY FORM'!E46="","",'ORDER ENTRY FORM'!E46)</f>
        <v/>
      </c>
      <c r="H58" s="154" t="str">
        <f>IF(A58="","",G58/VLOOKUP(A58,bhpc_data[],9,FALSE)*VLOOKUP(A58,bhpc_data[],17,FALSE))</f>
        <v/>
      </c>
      <c r="I58" s="149" t="str">
        <f>IF(A58="","",G58/VLOOKUP(A58,bhpc_data[],9,FALSE)*VLOOKUP(A58,bhpc_data[],18,FALSE))</f>
        <v/>
      </c>
      <c r="J58" s="146" t="str">
        <f>IF(A58="","",ROUNDUP(G58/VLOOKUP(A58,bhpc_data[],9,FALSE),0))</f>
        <v/>
      </c>
      <c r="K58" s="61" t="str">
        <f>IF(A58="","",VLOOKUP(A58,bhpc_data[],26,FALSE))</f>
        <v/>
      </c>
    </row>
    <row r="59" spans="1:11">
      <c r="A59" s="56" t="str">
        <f>IF('ORDER ENTRY FORM'!C47="","",'ORDER ENTRY FORM'!C47)</f>
        <v/>
      </c>
      <c r="B59" s="49" t="str">
        <f>IF('ORDER ENTRY FORM'!D47="","",'ORDER ENTRY FORM'!D47)</f>
        <v/>
      </c>
      <c r="C59" s="57"/>
      <c r="D59" s="58"/>
      <c r="E59" s="36"/>
      <c r="F59" s="59" t="str">
        <f t="shared" si="0"/>
        <v/>
      </c>
      <c r="G59" s="60" t="str">
        <f>IF('ORDER ENTRY FORM'!E47="","",'ORDER ENTRY FORM'!E47)</f>
        <v/>
      </c>
      <c r="H59" s="154" t="str">
        <f>IF(A59="","",G59/VLOOKUP(A59,bhpc_data[],9,FALSE)*VLOOKUP(A59,bhpc_data[],17,FALSE))</f>
        <v/>
      </c>
      <c r="I59" s="149" t="str">
        <f>IF(A59="","",G59/VLOOKUP(A59,bhpc_data[],9,FALSE)*VLOOKUP(A59,bhpc_data[],18,FALSE))</f>
        <v/>
      </c>
      <c r="J59" s="146" t="str">
        <f>IF(A59="","",ROUNDUP(G59/VLOOKUP(A59,bhpc_data[],9,FALSE),0))</f>
        <v/>
      </c>
      <c r="K59" s="61" t="str">
        <f>IF(A59="","",VLOOKUP(A59,bhpc_data[],26,FALSE))</f>
        <v/>
      </c>
    </row>
    <row r="60" spans="1:11">
      <c r="A60" s="56" t="str">
        <f>IF('ORDER ENTRY FORM'!C48="","",'ORDER ENTRY FORM'!C48)</f>
        <v/>
      </c>
      <c r="B60" s="49" t="str">
        <f>IF('ORDER ENTRY FORM'!D48="","",'ORDER ENTRY FORM'!D48)</f>
        <v/>
      </c>
      <c r="C60" s="57"/>
      <c r="D60" s="58"/>
      <c r="E60" s="36"/>
      <c r="F60" s="59" t="str">
        <f t="shared" si="0"/>
        <v/>
      </c>
      <c r="G60" s="60" t="str">
        <f>IF('ORDER ENTRY FORM'!E48="","",'ORDER ENTRY FORM'!E48)</f>
        <v/>
      </c>
      <c r="H60" s="154" t="str">
        <f>IF(A60="","",G60/VLOOKUP(A60,bhpc_data[],9,FALSE)*VLOOKUP(A60,bhpc_data[],17,FALSE))</f>
        <v/>
      </c>
      <c r="I60" s="149" t="str">
        <f>IF(A60="","",G60/VLOOKUP(A60,bhpc_data[],9,FALSE)*VLOOKUP(A60,bhpc_data[],18,FALSE))</f>
        <v/>
      </c>
      <c r="J60" s="146" t="str">
        <f>IF(A60="","",ROUNDUP(G60/VLOOKUP(A60,bhpc_data[],9,FALSE),0))</f>
        <v/>
      </c>
      <c r="K60" s="61" t="str">
        <f>IF(A60="","",VLOOKUP(A60,bhpc_data[],26,FALSE))</f>
        <v/>
      </c>
    </row>
    <row r="61" spans="1:11">
      <c r="A61" s="56" t="str">
        <f>IF('ORDER ENTRY FORM'!C49="","",'ORDER ENTRY FORM'!C49)</f>
        <v/>
      </c>
      <c r="B61" s="49" t="str">
        <f>IF('ORDER ENTRY FORM'!D49="","",'ORDER ENTRY FORM'!D49)</f>
        <v/>
      </c>
      <c r="C61" s="57"/>
      <c r="D61" s="58"/>
      <c r="E61" s="36"/>
      <c r="F61" s="59" t="str">
        <f t="shared" si="0"/>
        <v/>
      </c>
      <c r="G61" s="60" t="str">
        <f>IF('ORDER ENTRY FORM'!E49="","",'ORDER ENTRY FORM'!E49)</f>
        <v/>
      </c>
      <c r="H61" s="154" t="str">
        <f>IF(A61="","",G61/VLOOKUP(A61,bhpc_data[],9,FALSE)*VLOOKUP(A61,bhpc_data[],17,FALSE))</f>
        <v/>
      </c>
      <c r="I61" s="149" t="str">
        <f>IF(A61="","",G61/VLOOKUP(A61,bhpc_data[],9,FALSE)*VLOOKUP(A61,bhpc_data[],18,FALSE))</f>
        <v/>
      </c>
      <c r="J61" s="146" t="str">
        <f>IF(A61="","",ROUNDUP(G61/VLOOKUP(A61,bhpc_data[],9,FALSE),0))</f>
        <v/>
      </c>
      <c r="K61" s="61" t="str">
        <f>IF(A61="","",VLOOKUP(A61,bhpc_data[],26,FALSE))</f>
        <v/>
      </c>
    </row>
    <row r="62" spans="1:11">
      <c r="A62" s="56" t="str">
        <f>IF('ORDER ENTRY FORM'!C50="","",'ORDER ENTRY FORM'!C50)</f>
        <v/>
      </c>
      <c r="B62" s="49" t="str">
        <f>IF('ORDER ENTRY FORM'!D50="","",'ORDER ENTRY FORM'!D50)</f>
        <v/>
      </c>
      <c r="C62" s="57"/>
      <c r="D62" s="58"/>
      <c r="E62" s="36"/>
      <c r="F62" s="59" t="str">
        <f t="shared" si="0"/>
        <v/>
      </c>
      <c r="G62" s="60" t="str">
        <f>IF('ORDER ENTRY FORM'!E50="","",'ORDER ENTRY FORM'!E50)</f>
        <v/>
      </c>
      <c r="H62" s="154" t="str">
        <f>IF(A62="","",G62/VLOOKUP(A62,bhpc_data[],9,FALSE)*VLOOKUP(A62,bhpc_data[],17,FALSE))</f>
        <v/>
      </c>
      <c r="I62" s="149" t="str">
        <f>IF(A62="","",G62/VLOOKUP(A62,bhpc_data[],9,FALSE)*VLOOKUP(A62,bhpc_data[],18,FALSE))</f>
        <v/>
      </c>
      <c r="J62" s="146" t="str">
        <f>IF(A62="","",ROUNDUP(G62/VLOOKUP(A62,bhpc_data[],9,FALSE),0))</f>
        <v/>
      </c>
      <c r="K62" s="61" t="str">
        <f>IF(A62="","",VLOOKUP(A62,bhpc_data[],26,FALSE))</f>
        <v/>
      </c>
    </row>
    <row r="63" spans="1:11">
      <c r="A63" s="56" t="str">
        <f>IF('ORDER ENTRY FORM'!C51="","",'ORDER ENTRY FORM'!C51)</f>
        <v/>
      </c>
      <c r="B63" s="49" t="str">
        <f>IF('ORDER ENTRY FORM'!D51="","",'ORDER ENTRY FORM'!D51)</f>
        <v/>
      </c>
      <c r="C63" s="57"/>
      <c r="D63" s="58"/>
      <c r="E63" s="36"/>
      <c r="F63" s="59" t="str">
        <f t="shared" si="0"/>
        <v/>
      </c>
      <c r="G63" s="60" t="str">
        <f>IF('ORDER ENTRY FORM'!E51="","",'ORDER ENTRY FORM'!E51)</f>
        <v/>
      </c>
      <c r="H63" s="154" t="str">
        <f>IF(A63="","",G63/VLOOKUP(A63,bhpc_data[],9,FALSE)*VLOOKUP(A63,bhpc_data[],17,FALSE))</f>
        <v/>
      </c>
      <c r="I63" s="149" t="str">
        <f>IF(A63="","",G63/VLOOKUP(A63,bhpc_data[],9,FALSE)*VLOOKUP(A63,bhpc_data[],18,FALSE))</f>
        <v/>
      </c>
      <c r="J63" s="146" t="str">
        <f>IF(A63="","",ROUNDUP(G63/VLOOKUP(A63,bhpc_data[],9,FALSE),0))</f>
        <v/>
      </c>
      <c r="K63" s="61" t="str">
        <f>IF(A63="","",VLOOKUP(A63,bhpc_data[],26,FALSE))</f>
        <v/>
      </c>
    </row>
    <row r="64" spans="1:11">
      <c r="A64" s="56" t="str">
        <f>IF('ORDER ENTRY FORM'!C52="","",'ORDER ENTRY FORM'!C52)</f>
        <v/>
      </c>
      <c r="B64" s="49" t="str">
        <f>IF('ORDER ENTRY FORM'!D52="","",'ORDER ENTRY FORM'!D52)</f>
        <v/>
      </c>
      <c r="C64" s="57"/>
      <c r="D64" s="58"/>
      <c r="E64" s="36"/>
      <c r="F64" s="59" t="str">
        <f t="shared" si="0"/>
        <v/>
      </c>
      <c r="G64" s="60" t="str">
        <f>IF('ORDER ENTRY FORM'!E52="","",'ORDER ENTRY FORM'!E52)</f>
        <v/>
      </c>
      <c r="H64" s="154" t="str">
        <f>IF(A64="","",G64/VLOOKUP(A64,bhpc_data[],9,FALSE)*VLOOKUP(A64,bhpc_data[],17,FALSE))</f>
        <v/>
      </c>
      <c r="I64" s="149" t="str">
        <f>IF(A64="","",G64/VLOOKUP(A64,bhpc_data[],9,FALSE)*VLOOKUP(A64,bhpc_data[],18,FALSE))</f>
        <v/>
      </c>
      <c r="J64" s="146" t="str">
        <f>IF(A64="","",ROUNDUP(G64/VLOOKUP(A64,bhpc_data[],9,FALSE),0))</f>
        <v/>
      </c>
      <c r="K64" s="61" t="str">
        <f>IF(A64="","",VLOOKUP(A64,bhpc_data[],26,FALSE))</f>
        <v/>
      </c>
    </row>
    <row r="65" spans="1:11">
      <c r="A65" s="56" t="str">
        <f>IF('ORDER ENTRY FORM'!C53="","",'ORDER ENTRY FORM'!C53)</f>
        <v/>
      </c>
      <c r="B65" s="49" t="str">
        <f>IF('ORDER ENTRY FORM'!D53="","",'ORDER ENTRY FORM'!D53)</f>
        <v/>
      </c>
      <c r="C65" s="57"/>
      <c r="D65" s="58"/>
      <c r="E65" s="36"/>
      <c r="F65" s="59" t="str">
        <f t="shared" si="0"/>
        <v/>
      </c>
      <c r="G65" s="60" t="str">
        <f>IF('ORDER ENTRY FORM'!E53="","",'ORDER ENTRY FORM'!E53)</f>
        <v/>
      </c>
      <c r="H65" s="154" t="str">
        <f>IF(A65="","",G65/VLOOKUP(A65,bhpc_data[],9,FALSE)*VLOOKUP(A65,bhpc_data[],17,FALSE))</f>
        <v/>
      </c>
      <c r="I65" s="149" t="str">
        <f>IF(A65="","",G65/VLOOKUP(A65,bhpc_data[],9,FALSE)*VLOOKUP(A65,bhpc_data[],18,FALSE))</f>
        <v/>
      </c>
      <c r="J65" s="146" t="str">
        <f>IF(A65="","",ROUNDUP(G65/VLOOKUP(A65,bhpc_data[],9,FALSE),0))</f>
        <v/>
      </c>
      <c r="K65" s="61" t="str">
        <f>IF(A65="","",VLOOKUP(A65,bhpc_data[],26,FALSE))</f>
        <v/>
      </c>
    </row>
    <row r="66" spans="1:11">
      <c r="A66" s="56" t="str">
        <f>IF('ORDER ENTRY FORM'!C54="","",'ORDER ENTRY FORM'!C54)</f>
        <v/>
      </c>
      <c r="B66" s="49" t="str">
        <f>IF('ORDER ENTRY FORM'!D54="","",'ORDER ENTRY FORM'!D54)</f>
        <v/>
      </c>
      <c r="C66" s="57"/>
      <c r="D66" s="58"/>
      <c r="E66" s="36"/>
      <c r="F66" s="59" t="str">
        <f t="shared" si="0"/>
        <v/>
      </c>
      <c r="G66" s="60" t="str">
        <f>IF('ORDER ENTRY FORM'!E54="","",'ORDER ENTRY FORM'!E54)</f>
        <v/>
      </c>
      <c r="H66" s="154" t="str">
        <f>IF(A66="","",G66/VLOOKUP(A66,bhpc_data[],9,FALSE)*VLOOKUP(A66,bhpc_data[],17,FALSE))</f>
        <v/>
      </c>
      <c r="I66" s="149" t="str">
        <f>IF(A66="","",G66/VLOOKUP(A66,bhpc_data[],9,FALSE)*VLOOKUP(A66,bhpc_data[],18,FALSE))</f>
        <v/>
      </c>
      <c r="J66" s="146" t="str">
        <f>IF(A66="","",ROUNDUP(G66/VLOOKUP(A66,bhpc_data[],9,FALSE),0))</f>
        <v/>
      </c>
      <c r="K66" s="61" t="str">
        <f>IF(A66="","",VLOOKUP(A66,bhpc_data[],26,FALSE))</f>
        <v/>
      </c>
    </row>
    <row r="67" spans="1:11">
      <c r="A67" s="56" t="str">
        <f>IF('ORDER ENTRY FORM'!C55="","",'ORDER ENTRY FORM'!C55)</f>
        <v/>
      </c>
      <c r="B67" s="49" t="str">
        <f>IF('ORDER ENTRY FORM'!D55="","",'ORDER ENTRY FORM'!D55)</f>
        <v/>
      </c>
      <c r="C67" s="57"/>
      <c r="D67" s="58"/>
      <c r="E67" s="36"/>
      <c r="F67" s="59" t="str">
        <f t="shared" si="0"/>
        <v/>
      </c>
      <c r="G67" s="60" t="str">
        <f>IF('ORDER ENTRY FORM'!E55="","",'ORDER ENTRY FORM'!E55)</f>
        <v/>
      </c>
      <c r="H67" s="154" t="str">
        <f>IF(A67="","",G67/VLOOKUP(A67,bhpc_data[],9,FALSE)*VLOOKUP(A67,bhpc_data[],17,FALSE))</f>
        <v/>
      </c>
      <c r="I67" s="149" t="str">
        <f>IF(A67="","",G67/VLOOKUP(A67,bhpc_data[],9,FALSE)*VLOOKUP(A67,bhpc_data[],18,FALSE))</f>
        <v/>
      </c>
      <c r="J67" s="146" t="str">
        <f>IF(A67="","",ROUNDUP(G67/VLOOKUP(A67,bhpc_data[],9,FALSE),0))</f>
        <v/>
      </c>
      <c r="K67" s="61" t="str">
        <f>IF(A67="","",VLOOKUP(A67,bhpc_data[],26,FALSE))</f>
        <v/>
      </c>
    </row>
    <row r="68" spans="1:11">
      <c r="A68" s="56" t="str">
        <f>IF('ORDER ENTRY FORM'!C56="","",'ORDER ENTRY FORM'!C56)</f>
        <v/>
      </c>
      <c r="B68" s="49" t="str">
        <f>IF('ORDER ENTRY FORM'!D56="","",'ORDER ENTRY FORM'!D56)</f>
        <v/>
      </c>
      <c r="C68" s="57"/>
      <c r="D68" s="58"/>
      <c r="E68" s="36"/>
      <c r="F68" s="59" t="str">
        <f t="shared" si="0"/>
        <v/>
      </c>
      <c r="G68" s="60" t="str">
        <f>IF('ORDER ENTRY FORM'!E56="","",'ORDER ENTRY FORM'!E56)</f>
        <v/>
      </c>
      <c r="H68" s="154" t="str">
        <f>IF(A68="","",G68/VLOOKUP(A68,bhpc_data[],9,FALSE)*VLOOKUP(A68,bhpc_data[],17,FALSE))</f>
        <v/>
      </c>
      <c r="I68" s="149" t="str">
        <f>IF(A68="","",G68/VLOOKUP(A68,bhpc_data[],9,FALSE)*VLOOKUP(A68,bhpc_data[],18,FALSE))</f>
        <v/>
      </c>
      <c r="J68" s="146" t="str">
        <f>IF(A68="","",ROUNDUP(G68/VLOOKUP(A68,bhpc_data[],9,FALSE),0))</f>
        <v/>
      </c>
      <c r="K68" s="61" t="str">
        <f>IF(A68="","",VLOOKUP(A68,bhpc_data[],26,FALSE))</f>
        <v/>
      </c>
    </row>
    <row r="69" spans="1:11">
      <c r="A69" s="56" t="str">
        <f>IF('ORDER ENTRY FORM'!C57="","",'ORDER ENTRY FORM'!C57)</f>
        <v/>
      </c>
      <c r="B69" s="49" t="str">
        <f>IF('ORDER ENTRY FORM'!D57="","",'ORDER ENTRY FORM'!D57)</f>
        <v/>
      </c>
      <c r="C69" s="57"/>
      <c r="D69" s="58"/>
      <c r="E69" s="36"/>
      <c r="F69" s="59" t="str">
        <f t="shared" si="0"/>
        <v/>
      </c>
      <c r="G69" s="60" t="str">
        <f>IF('ORDER ENTRY FORM'!E57="","",'ORDER ENTRY FORM'!E57)</f>
        <v/>
      </c>
      <c r="H69" s="154" t="str">
        <f>IF(A69="","",G69/VLOOKUP(A69,bhpc_data[],9,FALSE)*VLOOKUP(A69,bhpc_data[],17,FALSE))</f>
        <v/>
      </c>
      <c r="I69" s="149" t="str">
        <f>IF(A69="","",G69/VLOOKUP(A69,bhpc_data[],9,FALSE)*VLOOKUP(A69,bhpc_data[],18,FALSE))</f>
        <v/>
      </c>
      <c r="J69" s="146" t="str">
        <f>IF(A69="","",ROUNDUP(G69/VLOOKUP(A69,bhpc_data[],9,FALSE),0))</f>
        <v/>
      </c>
      <c r="K69" s="61" t="str">
        <f>IF(A69="","",VLOOKUP(A69,bhpc_data[],26,FALSE))</f>
        <v/>
      </c>
    </row>
    <row r="70" spans="1:11">
      <c r="A70" s="56" t="str">
        <f>IF('ORDER ENTRY FORM'!C58="","",'ORDER ENTRY FORM'!C58)</f>
        <v/>
      </c>
      <c r="B70" s="49" t="str">
        <f>IF('ORDER ENTRY FORM'!D58="","",'ORDER ENTRY FORM'!D58)</f>
        <v/>
      </c>
      <c r="C70" s="57"/>
      <c r="D70" s="58"/>
      <c r="E70" s="36"/>
      <c r="F70" s="59" t="str">
        <f t="shared" si="0"/>
        <v/>
      </c>
      <c r="G70" s="60" t="str">
        <f>IF('ORDER ENTRY FORM'!E58="","",'ORDER ENTRY FORM'!E58)</f>
        <v/>
      </c>
      <c r="H70" s="154" t="str">
        <f>IF(A70="","",G70/VLOOKUP(A70,bhpc_data[],9,FALSE)*VLOOKUP(A70,bhpc_data[],17,FALSE))</f>
        <v/>
      </c>
      <c r="I70" s="149" t="str">
        <f>IF(A70="","",G70/VLOOKUP(A70,bhpc_data[],9,FALSE)*VLOOKUP(A70,bhpc_data[],18,FALSE))</f>
        <v/>
      </c>
      <c r="J70" s="146" t="str">
        <f>IF(A70="","",ROUNDUP(G70/VLOOKUP(A70,bhpc_data[],9,FALSE),0))</f>
        <v/>
      </c>
      <c r="K70" s="61" t="str">
        <f>IF(A70="","",VLOOKUP(A70,bhpc_data[],26,FALSE))</f>
        <v/>
      </c>
    </row>
    <row r="71" spans="1:11">
      <c r="A71" s="56" t="str">
        <f>IF('ORDER ENTRY FORM'!C59="","",'ORDER ENTRY FORM'!C59)</f>
        <v/>
      </c>
      <c r="B71" s="49" t="str">
        <f>IF('ORDER ENTRY FORM'!D59="","",'ORDER ENTRY FORM'!D59)</f>
        <v/>
      </c>
      <c r="C71" s="57"/>
      <c r="D71" s="58"/>
      <c r="E71" s="36"/>
      <c r="F71" s="59" t="str">
        <f t="shared" si="0"/>
        <v/>
      </c>
      <c r="G71" s="60" t="str">
        <f>IF('ORDER ENTRY FORM'!E59="","",'ORDER ENTRY FORM'!E59)</f>
        <v/>
      </c>
      <c r="H71" s="154" t="str">
        <f>IF(A71="","",G71/VLOOKUP(A71,bhpc_data[],9,FALSE)*VLOOKUP(A71,bhpc_data[],17,FALSE))</f>
        <v/>
      </c>
      <c r="I71" s="149" t="str">
        <f>IF(A71="","",G71/VLOOKUP(A71,bhpc_data[],9,FALSE)*VLOOKUP(A71,bhpc_data[],18,FALSE))</f>
        <v/>
      </c>
      <c r="J71" s="146" t="str">
        <f>IF(A71="","",ROUNDUP(G71/VLOOKUP(A71,bhpc_data[],9,FALSE),0))</f>
        <v/>
      </c>
      <c r="K71" s="61" t="str">
        <f>IF(A71="","",VLOOKUP(A71,bhpc_data[],26,FALSE))</f>
        <v/>
      </c>
    </row>
    <row r="72" spans="1:11" ht="13">
      <c r="A72" s="56" t="str">
        <f>IF('ORDER ENTRY FORM'!C60="","",'ORDER ENTRY FORM'!C60)</f>
        <v/>
      </c>
      <c r="B72" s="50" t="str">
        <f>IF('ORDER ENTRY FORM'!D60="","",'ORDER ENTRY FORM'!D60)</f>
        <v/>
      </c>
      <c r="C72" s="57"/>
      <c r="D72" s="58"/>
      <c r="E72" s="36"/>
      <c r="F72" s="59" t="str">
        <f t="shared" si="0"/>
        <v/>
      </c>
      <c r="G72" s="60" t="str">
        <f>IF('ORDER ENTRY FORM'!E60="","",'ORDER ENTRY FORM'!E60)</f>
        <v/>
      </c>
      <c r="H72" s="154" t="str">
        <f>IF(A72="","",G72/VLOOKUP(A72,bhpc_data[],9,FALSE)*VLOOKUP(A72,bhpc_data[],17,FALSE))</f>
        <v/>
      </c>
      <c r="I72" s="149" t="str">
        <f>IF(A72="","",G72/VLOOKUP(A72,bhpc_data[],9,FALSE)*VLOOKUP(A72,bhpc_data[],18,FALSE))</f>
        <v/>
      </c>
      <c r="J72" s="146" t="str">
        <f>IF(A72="","",ROUNDUP(G72/VLOOKUP(A72,bhpc_data[],9,FALSE),0))</f>
        <v/>
      </c>
      <c r="K72" s="61" t="str">
        <f>IF(A72="","",VLOOKUP(A72,bhpc_data[],26,FALSE))</f>
        <v/>
      </c>
    </row>
    <row r="73" spans="1:11">
      <c r="A73" s="56" t="str">
        <f>IF('ORDER ENTRY FORM'!C61="","",'ORDER ENTRY FORM'!C61)</f>
        <v/>
      </c>
      <c r="B73" s="49" t="str">
        <f>IF('ORDER ENTRY FORM'!D61="","",'ORDER ENTRY FORM'!D61)</f>
        <v/>
      </c>
      <c r="C73" s="57"/>
      <c r="D73" s="58"/>
      <c r="E73" s="36"/>
      <c r="F73" s="59" t="str">
        <f t="shared" si="0"/>
        <v/>
      </c>
      <c r="G73" s="60" t="str">
        <f>IF('ORDER ENTRY FORM'!E61="","",'ORDER ENTRY FORM'!E61)</f>
        <v/>
      </c>
      <c r="H73" s="154" t="str">
        <f>IF(A73="","",G73/VLOOKUP(A73,bhpc_data[],9,FALSE)*VLOOKUP(A73,bhpc_data[],17,FALSE))</f>
        <v/>
      </c>
      <c r="I73" s="149" t="str">
        <f>IF(A73="","",G73/VLOOKUP(A73,bhpc_data[],9,FALSE)*VLOOKUP(A73,bhpc_data[],18,FALSE))</f>
        <v/>
      </c>
      <c r="J73" s="146" t="str">
        <f>IF(A73="","",ROUNDUP(G73/VLOOKUP(A73,bhpc_data[],9,FALSE),0))</f>
        <v/>
      </c>
      <c r="K73" s="61" t="str">
        <f>IF(A73="","",VLOOKUP(A73,bhpc_data[],26,FALSE))</f>
        <v/>
      </c>
    </row>
    <row r="74" spans="1:11">
      <c r="A74" s="56"/>
      <c r="B74" s="49"/>
      <c r="C74" s="57"/>
      <c r="D74" s="58"/>
      <c r="E74" s="36"/>
      <c r="F74" s="59"/>
      <c r="G74" s="60"/>
      <c r="H74" s="154"/>
      <c r="I74" s="149"/>
      <c r="J74" s="146"/>
      <c r="K74" s="61"/>
    </row>
    <row r="75" spans="1:11" ht="13">
      <c r="A75" s="56"/>
      <c r="B75" s="50" t="s">
        <v>273</v>
      </c>
      <c r="C75" s="57"/>
      <c r="D75" s="58"/>
      <c r="E75" s="36"/>
      <c r="F75" s="59"/>
      <c r="G75" s="60"/>
      <c r="H75" s="154"/>
      <c r="I75" s="149"/>
      <c r="J75" s="146"/>
      <c r="K75" s="61"/>
    </row>
    <row r="76" spans="1:11">
      <c r="A76" s="56"/>
      <c r="B76" s="49"/>
      <c r="C76" s="57"/>
      <c r="D76" s="58"/>
      <c r="E76" s="36"/>
      <c r="F76" s="59"/>
      <c r="G76" s="60"/>
      <c r="H76" s="154"/>
      <c r="I76" s="149"/>
      <c r="J76" s="146"/>
      <c r="K76" s="61"/>
    </row>
    <row r="77" spans="1:11">
      <c r="A77" s="56"/>
      <c r="B77" s="49"/>
      <c r="C77" s="57"/>
      <c r="D77" s="58"/>
      <c r="E77" s="36"/>
      <c r="F77" s="59"/>
      <c r="G77" s="60"/>
      <c r="H77" s="154"/>
      <c r="I77" s="149"/>
      <c r="J77" s="146"/>
      <c r="K77" s="61"/>
    </row>
    <row r="78" spans="1:11">
      <c r="A78" s="56"/>
      <c r="B78" s="49"/>
      <c r="C78" s="57"/>
      <c r="D78" s="58"/>
      <c r="E78" s="36"/>
      <c r="F78" s="59"/>
      <c r="G78" s="60"/>
      <c r="H78" s="154"/>
      <c r="I78" s="149"/>
      <c r="J78" s="146"/>
      <c r="K78" s="61"/>
    </row>
    <row r="79" spans="1:11">
      <c r="A79" s="56"/>
      <c r="B79" s="49"/>
      <c r="C79" s="57"/>
      <c r="D79" s="58"/>
      <c r="E79" s="36"/>
      <c r="F79" s="59"/>
      <c r="G79" s="60"/>
      <c r="H79" s="154"/>
      <c r="I79" s="149"/>
      <c r="J79" s="146"/>
      <c r="K79" s="61"/>
    </row>
    <row r="80" spans="1:11">
      <c r="A80" s="56"/>
      <c r="B80" s="49"/>
      <c r="C80" s="57"/>
      <c r="D80" s="58"/>
      <c r="E80" s="36"/>
      <c r="F80" s="59"/>
      <c r="G80" s="60"/>
      <c r="H80" s="154"/>
      <c r="I80" s="149"/>
      <c r="J80" s="146"/>
      <c r="K80" s="61"/>
    </row>
    <row r="81" spans="1:11">
      <c r="A81" s="56"/>
      <c r="B81" s="49"/>
      <c r="C81" s="57"/>
      <c r="D81" s="58"/>
      <c r="E81" s="36"/>
      <c r="F81" s="59"/>
      <c r="G81" s="60"/>
      <c r="H81" s="154"/>
      <c r="I81" s="149"/>
      <c r="J81" s="146"/>
      <c r="K81" s="61"/>
    </row>
    <row r="82" spans="1:11">
      <c r="A82" s="56"/>
      <c r="B82" s="49"/>
      <c r="C82" s="57"/>
      <c r="D82" s="58"/>
      <c r="E82" s="36"/>
      <c r="F82" s="59"/>
      <c r="G82" s="60"/>
      <c r="H82" s="154"/>
      <c r="I82" s="149"/>
      <c r="J82" s="146"/>
      <c r="K82" s="61"/>
    </row>
    <row r="83" spans="1:11">
      <c r="A83" s="56"/>
      <c r="B83" s="49"/>
      <c r="C83" s="57"/>
      <c r="D83" s="58"/>
      <c r="E83" s="36"/>
      <c r="F83" s="59"/>
      <c r="G83" s="60"/>
      <c r="H83" s="154"/>
      <c r="I83" s="149"/>
      <c r="J83" s="146"/>
      <c r="K83" s="61"/>
    </row>
    <row r="84" spans="1:11">
      <c r="A84" s="56"/>
      <c r="B84" s="49"/>
      <c r="C84" s="57"/>
      <c r="D84" s="58"/>
      <c r="E84" s="36"/>
      <c r="F84" s="59"/>
      <c r="G84" s="60"/>
      <c r="H84" s="154"/>
      <c r="I84" s="149"/>
      <c r="J84" s="146"/>
      <c r="K84" s="61"/>
    </row>
    <row r="85" spans="1:11">
      <c r="A85" s="56"/>
      <c r="B85" s="49"/>
      <c r="C85" s="57"/>
      <c r="D85" s="58"/>
      <c r="E85" s="36"/>
      <c r="F85" s="59"/>
      <c r="G85" s="60"/>
      <c r="H85" s="154"/>
      <c r="I85" s="149"/>
      <c r="J85" s="146"/>
      <c r="K85" s="61"/>
    </row>
    <row r="86" spans="1:11">
      <c r="A86" s="56"/>
      <c r="B86" s="49"/>
      <c r="C86" s="57"/>
      <c r="D86" s="58"/>
      <c r="E86" s="36"/>
      <c r="F86" s="59"/>
      <c r="G86" s="60"/>
      <c r="H86" s="154"/>
      <c r="I86" s="149"/>
      <c r="J86" s="146"/>
      <c r="K86" s="61"/>
    </row>
    <row r="87" spans="1:11">
      <c r="A87" s="56"/>
      <c r="B87" s="49"/>
      <c r="C87" s="57"/>
      <c r="D87" s="58"/>
      <c r="E87" s="36"/>
      <c r="F87" s="59"/>
      <c r="G87" s="60"/>
      <c r="H87" s="154"/>
      <c r="I87" s="149"/>
      <c r="J87" s="146"/>
      <c r="K87" s="61"/>
    </row>
    <row r="88" spans="1:11">
      <c r="A88" s="56"/>
      <c r="B88" s="49"/>
      <c r="C88" s="57"/>
      <c r="D88" s="58"/>
      <c r="E88" s="36"/>
      <c r="F88" s="59"/>
      <c r="G88" s="60"/>
      <c r="H88" s="154"/>
      <c r="I88" s="149"/>
      <c r="J88" s="146"/>
      <c r="K88" s="61"/>
    </row>
    <row r="89" spans="1:11">
      <c r="A89" s="56"/>
      <c r="B89" s="49"/>
      <c r="C89" s="57"/>
      <c r="D89" s="58"/>
      <c r="E89" s="36"/>
      <c r="F89" s="59"/>
      <c r="G89" s="60"/>
      <c r="H89" s="154"/>
      <c r="I89" s="149"/>
      <c r="J89" s="146"/>
      <c r="K89" s="61"/>
    </row>
    <row r="90" spans="1:11">
      <c r="A90" s="56"/>
      <c r="B90" s="49"/>
      <c r="C90" s="57"/>
      <c r="D90" s="58"/>
      <c r="E90" s="36"/>
      <c r="F90" s="59"/>
      <c r="G90" s="60"/>
      <c r="H90" s="154"/>
      <c r="I90" s="149"/>
      <c r="J90" s="146"/>
      <c r="K90" s="61"/>
    </row>
    <row r="91" spans="1:11">
      <c r="A91" s="56"/>
      <c r="B91" s="49"/>
      <c r="C91" s="57"/>
      <c r="D91" s="58"/>
      <c r="E91" s="36"/>
      <c r="F91" s="59"/>
      <c r="G91" s="60"/>
      <c r="H91" s="154"/>
      <c r="I91" s="149"/>
      <c r="J91" s="146"/>
      <c r="K91" s="61"/>
    </row>
    <row r="92" spans="1:11">
      <c r="A92" s="56"/>
      <c r="B92" s="49"/>
      <c r="C92" s="57"/>
      <c r="D92" s="58"/>
      <c r="E92" s="36"/>
      <c r="F92" s="59"/>
      <c r="G92" s="60"/>
      <c r="H92" s="154"/>
      <c r="I92" s="149"/>
      <c r="J92" s="146"/>
      <c r="K92" s="61"/>
    </row>
    <row r="93" spans="1:11">
      <c r="A93" s="56"/>
      <c r="B93" s="49"/>
      <c r="C93" s="57"/>
      <c r="D93" s="58"/>
      <c r="E93" s="36"/>
      <c r="F93" s="59"/>
      <c r="G93" s="60"/>
      <c r="H93" s="154"/>
      <c r="I93" s="149"/>
      <c r="J93" s="146"/>
      <c r="K93" s="61"/>
    </row>
    <row r="94" spans="1:11">
      <c r="A94" s="56"/>
      <c r="B94" s="49"/>
      <c r="C94" s="57"/>
      <c r="D94" s="58"/>
      <c r="E94" s="36"/>
      <c r="F94" s="59"/>
      <c r="G94" s="60"/>
      <c r="H94" s="154"/>
      <c r="I94" s="149"/>
      <c r="J94" s="146"/>
      <c r="K94" s="61"/>
    </row>
    <row r="95" spans="1:11">
      <c r="A95" s="56"/>
      <c r="B95" s="49"/>
      <c r="C95" s="57"/>
      <c r="D95" s="58"/>
      <c r="E95" s="36"/>
      <c r="F95" s="59"/>
      <c r="G95" s="60"/>
      <c r="H95" s="154"/>
      <c r="I95" s="149"/>
      <c r="J95" s="146"/>
      <c r="K95" s="61"/>
    </row>
    <row r="96" spans="1:11">
      <c r="A96" s="56"/>
      <c r="B96" s="49"/>
      <c r="C96" s="57"/>
      <c r="D96" s="58"/>
      <c r="E96" s="36"/>
      <c r="F96" s="59"/>
      <c r="G96" s="60"/>
      <c r="H96" s="154"/>
      <c r="I96" s="149"/>
      <c r="J96" s="146"/>
      <c r="K96" s="61"/>
    </row>
    <row r="97" spans="1:11">
      <c r="A97" s="56"/>
      <c r="B97" s="49"/>
      <c r="C97" s="57"/>
      <c r="D97" s="58"/>
      <c r="E97" s="36"/>
      <c r="F97" s="59"/>
      <c r="G97" s="60"/>
      <c r="H97" s="154"/>
      <c r="I97" s="149"/>
      <c r="J97" s="146"/>
      <c r="K97" s="61"/>
    </row>
    <row r="98" spans="1:11">
      <c r="A98" s="56"/>
      <c r="B98" s="49"/>
      <c r="C98" s="57"/>
      <c r="D98" s="58"/>
      <c r="E98" s="36"/>
      <c r="F98" s="59"/>
      <c r="G98" s="60"/>
      <c r="H98" s="154"/>
      <c r="I98" s="149"/>
      <c r="J98" s="146"/>
      <c r="K98" s="61"/>
    </row>
    <row r="99" spans="1:11">
      <c r="A99" s="56"/>
      <c r="B99" s="49"/>
      <c r="C99" s="57"/>
      <c r="D99" s="58"/>
      <c r="E99" s="36"/>
      <c r="F99" s="59"/>
      <c r="G99" s="60"/>
      <c r="H99" s="154"/>
      <c r="I99" s="149"/>
      <c r="J99" s="146"/>
      <c r="K99" s="61"/>
    </row>
    <row r="100" spans="1:11">
      <c r="A100" s="56"/>
      <c r="B100" s="49"/>
      <c r="C100" s="57"/>
      <c r="D100" s="58"/>
      <c r="E100" s="36"/>
      <c r="F100" s="59"/>
      <c r="G100" s="60"/>
      <c r="H100" s="154"/>
      <c r="I100" s="149"/>
      <c r="J100" s="146"/>
      <c r="K100" s="61"/>
    </row>
    <row r="101" spans="1:11">
      <c r="A101" s="56"/>
      <c r="B101" s="49"/>
      <c r="C101" s="57"/>
      <c r="D101" s="58"/>
      <c r="E101" s="36"/>
      <c r="F101" s="59"/>
      <c r="G101" s="60"/>
      <c r="H101" s="154"/>
      <c r="I101" s="149"/>
      <c r="J101" s="146"/>
      <c r="K101" s="61"/>
    </row>
    <row r="102" spans="1:11">
      <c r="A102" s="56"/>
      <c r="B102" s="49"/>
      <c r="C102" s="57"/>
      <c r="D102" s="58"/>
      <c r="E102" s="36"/>
      <c r="F102" s="59"/>
      <c r="G102" s="60"/>
      <c r="H102" s="154"/>
      <c r="I102" s="149"/>
      <c r="J102" s="146"/>
      <c r="K102" s="61"/>
    </row>
    <row r="103" spans="1:11">
      <c r="A103" s="56"/>
      <c r="B103" s="49"/>
      <c r="C103" s="57"/>
      <c r="D103" s="58"/>
      <c r="E103" s="36"/>
      <c r="F103" s="59"/>
      <c r="G103" s="60"/>
      <c r="H103" s="154"/>
      <c r="I103" s="149"/>
      <c r="J103" s="146"/>
      <c r="K103" s="61"/>
    </row>
    <row r="104" spans="1:11">
      <c r="A104" s="56"/>
      <c r="B104" s="49"/>
      <c r="C104" s="57"/>
      <c r="D104" s="58"/>
      <c r="E104" s="36"/>
      <c r="F104" s="59"/>
      <c r="G104" s="60"/>
      <c r="H104" s="154"/>
      <c r="I104" s="149"/>
      <c r="J104" s="146"/>
      <c r="K104" s="61"/>
    </row>
    <row r="105" spans="1:11">
      <c r="A105" s="56"/>
      <c r="B105" s="49"/>
      <c r="C105" s="57"/>
      <c r="D105" s="58"/>
      <c r="E105" s="36"/>
      <c r="F105" s="59"/>
      <c r="G105" s="60"/>
      <c r="H105" s="154"/>
      <c r="I105" s="149"/>
      <c r="J105" s="146"/>
      <c r="K105" s="61"/>
    </row>
    <row r="106" spans="1:11">
      <c r="A106" s="56"/>
      <c r="B106" s="49"/>
      <c r="C106" s="57"/>
      <c r="D106" s="58"/>
      <c r="E106" s="36"/>
      <c r="F106" s="59"/>
      <c r="G106" s="60"/>
      <c r="H106" s="154"/>
      <c r="I106" s="149"/>
      <c r="J106" s="146"/>
      <c r="K106" s="61"/>
    </row>
    <row r="107" spans="1:11">
      <c r="A107" s="56"/>
      <c r="B107" s="49"/>
      <c r="C107" s="57"/>
      <c r="D107" s="58"/>
      <c r="E107" s="36"/>
      <c r="F107" s="59"/>
      <c r="G107" s="60"/>
      <c r="H107" s="154"/>
      <c r="I107" s="149"/>
      <c r="J107" s="146"/>
      <c r="K107" s="61"/>
    </row>
    <row r="108" spans="1:11">
      <c r="A108" s="56"/>
      <c r="B108" s="49"/>
      <c r="C108" s="57"/>
      <c r="D108" s="58"/>
      <c r="E108" s="36"/>
      <c r="F108" s="59"/>
      <c r="G108" s="60"/>
      <c r="H108" s="154"/>
      <c r="I108" s="149"/>
      <c r="J108" s="146"/>
      <c r="K108" s="61"/>
    </row>
    <row r="109" spans="1:11">
      <c r="A109" s="56"/>
      <c r="B109" s="49"/>
      <c r="C109" s="57"/>
      <c r="D109" s="58"/>
      <c r="E109" s="36"/>
      <c r="F109" s="59"/>
      <c r="G109" s="60"/>
      <c r="H109" s="154"/>
      <c r="I109" s="149"/>
      <c r="J109" s="146"/>
      <c r="K109" s="61"/>
    </row>
    <row r="110" spans="1:11">
      <c r="A110" s="56"/>
      <c r="B110" s="49"/>
      <c r="C110" s="57"/>
      <c r="D110" s="58"/>
      <c r="E110" s="36"/>
      <c r="F110" s="59"/>
      <c r="G110" s="60"/>
      <c r="H110" s="154"/>
      <c r="I110" s="149"/>
      <c r="J110" s="146"/>
      <c r="K110" s="61"/>
    </row>
    <row r="111" spans="1:11">
      <c r="A111" s="56"/>
      <c r="B111" s="49"/>
      <c r="C111" s="57"/>
      <c r="D111" s="58"/>
      <c r="E111" s="36"/>
      <c r="F111" s="59"/>
      <c r="G111" s="60"/>
      <c r="H111" s="154"/>
      <c r="I111" s="149"/>
      <c r="J111" s="146"/>
      <c r="K111" s="61"/>
    </row>
    <row r="112" spans="1:11">
      <c r="A112" s="56"/>
      <c r="B112" s="49"/>
      <c r="C112" s="57"/>
      <c r="D112" s="58"/>
      <c r="E112" s="36"/>
      <c r="F112" s="59"/>
      <c r="G112" s="60"/>
      <c r="H112" s="154"/>
      <c r="I112" s="149"/>
      <c r="J112" s="146"/>
      <c r="K112" s="61"/>
    </row>
    <row r="113" spans="1:11">
      <c r="A113" s="56"/>
      <c r="B113" s="49"/>
      <c r="C113" s="57"/>
      <c r="D113" s="58"/>
      <c r="E113" s="36"/>
      <c r="F113" s="59"/>
      <c r="G113" s="60"/>
      <c r="H113" s="154"/>
      <c r="I113" s="149"/>
      <c r="J113" s="146"/>
      <c r="K113" s="61"/>
    </row>
    <row r="114" spans="1:11">
      <c r="A114" s="56"/>
      <c r="B114" s="49"/>
      <c r="C114" s="57"/>
      <c r="D114" s="58"/>
      <c r="E114" s="36"/>
      <c r="F114" s="59"/>
      <c r="G114" s="60"/>
      <c r="H114" s="154"/>
      <c r="I114" s="149"/>
      <c r="J114" s="146"/>
      <c r="K114" s="61"/>
    </row>
    <row r="115" spans="1:11">
      <c r="A115" s="56"/>
      <c r="B115" s="49"/>
      <c r="C115" s="57"/>
      <c r="D115" s="58"/>
      <c r="E115" s="36"/>
      <c r="F115" s="59"/>
      <c r="G115" s="60"/>
      <c r="H115" s="154"/>
      <c r="I115" s="149"/>
      <c r="J115" s="146"/>
      <c r="K115" s="61"/>
    </row>
    <row r="116" spans="1:11">
      <c r="A116" s="56"/>
      <c r="B116" s="49"/>
      <c r="C116" s="57"/>
      <c r="D116" s="58"/>
      <c r="E116" s="36"/>
      <c r="F116" s="59"/>
      <c r="G116" s="60"/>
      <c r="H116" s="154"/>
      <c r="I116" s="149"/>
      <c r="J116" s="146"/>
      <c r="K116" s="61"/>
    </row>
    <row r="117" spans="1:11" ht="13">
      <c r="A117" s="56"/>
      <c r="B117" s="50" t="s">
        <v>343</v>
      </c>
      <c r="C117" s="57"/>
      <c r="D117" s="58"/>
      <c r="E117" s="36"/>
      <c r="F117" s="59"/>
      <c r="G117" s="60"/>
      <c r="H117" s="154"/>
      <c r="I117" s="149"/>
      <c r="J117" s="146"/>
      <c r="K117" s="61"/>
    </row>
    <row r="118" spans="1:11">
      <c r="A118" s="56"/>
      <c r="B118" s="49"/>
      <c r="C118" s="57"/>
      <c r="D118" s="58"/>
      <c r="E118" s="36"/>
      <c r="F118" s="59"/>
      <c r="G118" s="60"/>
      <c r="H118" s="154"/>
      <c r="I118" s="149"/>
      <c r="J118" s="146"/>
      <c r="K118" s="61"/>
    </row>
    <row r="119" spans="1:11">
      <c r="A119" s="56"/>
      <c r="B119" s="49"/>
      <c r="C119" s="57"/>
      <c r="D119" s="58"/>
      <c r="E119" s="36"/>
      <c r="F119" s="59"/>
      <c r="G119" s="60"/>
      <c r="H119" s="154"/>
      <c r="I119" s="149"/>
      <c r="J119" s="146"/>
      <c r="K119" s="61"/>
    </row>
    <row r="120" spans="1:11">
      <c r="A120" s="56"/>
      <c r="B120" s="49"/>
      <c r="C120" s="57"/>
      <c r="D120" s="58"/>
      <c r="E120" s="36"/>
      <c r="F120" s="59"/>
      <c r="G120" s="60"/>
      <c r="H120" s="154"/>
      <c r="I120" s="149"/>
      <c r="J120" s="146"/>
      <c r="K120" s="61"/>
    </row>
    <row r="121" spans="1:11">
      <c r="A121" s="56"/>
      <c r="B121" s="49"/>
      <c r="C121" s="57"/>
      <c r="D121" s="58"/>
      <c r="E121" s="36"/>
      <c r="F121" s="59"/>
      <c r="G121" s="60"/>
      <c r="H121" s="154"/>
      <c r="I121" s="149"/>
      <c r="J121" s="146"/>
      <c r="K121" s="61"/>
    </row>
    <row r="122" spans="1:11">
      <c r="A122" s="56"/>
      <c r="B122" s="49"/>
      <c r="C122" s="57"/>
      <c r="D122" s="58"/>
      <c r="E122" s="36"/>
      <c r="F122" s="59"/>
      <c r="G122" s="60"/>
      <c r="H122" s="154"/>
      <c r="I122" s="149"/>
      <c r="J122" s="146"/>
      <c r="K122" s="61"/>
    </row>
    <row r="123" spans="1:11">
      <c r="A123" s="56"/>
      <c r="B123" s="49"/>
      <c r="C123" s="57"/>
      <c r="D123" s="58"/>
      <c r="E123" s="36"/>
      <c r="F123" s="59"/>
      <c r="G123" s="60"/>
      <c r="H123" s="154"/>
      <c r="I123" s="149"/>
      <c r="J123" s="146"/>
      <c r="K123" s="61"/>
    </row>
    <row r="124" spans="1:11">
      <c r="A124" s="56"/>
      <c r="B124" s="49"/>
      <c r="C124" s="57"/>
      <c r="D124" s="58"/>
      <c r="E124" s="36"/>
      <c r="F124" s="59"/>
      <c r="G124" s="60"/>
      <c r="H124" s="154"/>
      <c r="I124" s="149"/>
      <c r="J124" s="146"/>
      <c r="K124" s="61"/>
    </row>
    <row r="125" spans="1:11">
      <c r="A125" s="56"/>
      <c r="B125" s="49"/>
      <c r="C125" s="57"/>
      <c r="D125" s="58"/>
      <c r="E125" s="36"/>
      <c r="F125" s="59"/>
      <c r="G125" s="60"/>
      <c r="H125" s="154"/>
      <c r="I125" s="149"/>
      <c r="J125" s="146"/>
      <c r="K125" s="61"/>
    </row>
    <row r="126" spans="1:11">
      <c r="A126" s="56"/>
      <c r="B126" s="49"/>
      <c r="C126" s="57"/>
      <c r="D126" s="58"/>
      <c r="E126" s="36"/>
      <c r="F126" s="59"/>
      <c r="G126" s="60"/>
      <c r="H126" s="154"/>
      <c r="I126" s="149"/>
      <c r="J126" s="146"/>
      <c r="K126" s="61"/>
    </row>
    <row r="127" spans="1:11">
      <c r="A127" s="56"/>
      <c r="B127" s="49"/>
      <c r="C127" s="57"/>
      <c r="D127" s="58"/>
      <c r="E127" s="36"/>
      <c r="F127" s="59"/>
      <c r="G127" s="60"/>
      <c r="H127" s="154"/>
      <c r="I127" s="149"/>
      <c r="J127" s="146"/>
      <c r="K127" s="61"/>
    </row>
    <row r="128" spans="1:11">
      <c r="A128" s="56"/>
      <c r="B128" s="49"/>
      <c r="C128" s="57"/>
      <c r="D128" s="58"/>
      <c r="E128" s="36"/>
      <c r="F128" s="59"/>
      <c r="G128" s="60"/>
      <c r="H128" s="154"/>
      <c r="I128" s="149"/>
      <c r="J128" s="146"/>
      <c r="K128" s="61"/>
    </row>
    <row r="129" spans="1:11">
      <c r="A129" s="56"/>
      <c r="B129" s="49"/>
      <c r="C129" s="57"/>
      <c r="D129" s="58"/>
      <c r="E129" s="36"/>
      <c r="F129" s="59"/>
      <c r="G129" s="60"/>
      <c r="H129" s="154"/>
      <c r="I129" s="149"/>
      <c r="J129" s="146"/>
      <c r="K129" s="61"/>
    </row>
    <row r="130" spans="1:11">
      <c r="A130" s="56"/>
      <c r="B130" s="49"/>
      <c r="C130" s="57"/>
      <c r="D130" s="58"/>
      <c r="E130" s="36"/>
      <c r="F130" s="59"/>
      <c r="G130" s="60"/>
      <c r="H130" s="154"/>
      <c r="I130" s="149"/>
      <c r="J130" s="146"/>
      <c r="K130" s="61"/>
    </row>
    <row r="131" spans="1:11">
      <c r="A131" s="56"/>
      <c r="B131" s="49"/>
      <c r="C131" s="57"/>
      <c r="D131" s="58"/>
      <c r="E131" s="36"/>
      <c r="F131" s="59"/>
      <c r="G131" s="60"/>
      <c r="H131" s="154"/>
      <c r="I131" s="149"/>
      <c r="J131" s="146"/>
      <c r="K131" s="61"/>
    </row>
    <row r="132" spans="1:11">
      <c r="A132" s="56"/>
      <c r="B132" s="49"/>
      <c r="C132" s="57"/>
      <c r="D132" s="58"/>
      <c r="E132" s="36"/>
      <c r="F132" s="59"/>
      <c r="G132" s="60"/>
      <c r="H132" s="154"/>
      <c r="I132" s="149"/>
      <c r="J132" s="146"/>
      <c r="K132" s="61"/>
    </row>
    <row r="133" spans="1:11">
      <c r="A133" s="56"/>
      <c r="B133" s="49"/>
      <c r="C133" s="57"/>
      <c r="D133" s="58"/>
      <c r="E133" s="36"/>
      <c r="F133" s="59"/>
      <c r="G133" s="60"/>
      <c r="H133" s="154"/>
      <c r="I133" s="149"/>
      <c r="J133" s="146"/>
      <c r="K133" s="61"/>
    </row>
    <row r="134" spans="1:11">
      <c r="A134" s="56"/>
      <c r="B134" s="49"/>
      <c r="C134" s="57"/>
      <c r="D134" s="58"/>
      <c r="E134" s="36"/>
      <c r="F134" s="59"/>
      <c r="G134" s="60"/>
      <c r="H134" s="154"/>
      <c r="I134" s="149"/>
      <c r="J134" s="146"/>
      <c r="K134" s="61"/>
    </row>
    <row r="135" spans="1:11">
      <c r="A135" s="56"/>
      <c r="B135" s="49"/>
      <c r="C135" s="57"/>
      <c r="D135" s="58"/>
      <c r="E135" s="36"/>
      <c r="F135" s="59"/>
      <c r="G135" s="60"/>
      <c r="H135" s="154"/>
      <c r="I135" s="149"/>
      <c r="J135" s="146"/>
      <c r="K135" s="61"/>
    </row>
    <row r="136" spans="1:11">
      <c r="A136" s="56"/>
      <c r="B136" s="49"/>
      <c r="C136" s="57"/>
      <c r="D136" s="58"/>
      <c r="E136" s="36"/>
      <c r="F136" s="59"/>
      <c r="G136" s="60"/>
      <c r="H136" s="154"/>
      <c r="I136" s="149"/>
      <c r="J136" s="146"/>
      <c r="K136" s="61"/>
    </row>
    <row r="137" spans="1:11">
      <c r="A137" s="56"/>
      <c r="B137" s="49"/>
      <c r="C137" s="57"/>
      <c r="D137" s="58"/>
      <c r="E137" s="36"/>
      <c r="F137" s="59"/>
      <c r="G137" s="60"/>
      <c r="H137" s="154"/>
      <c r="I137" s="149"/>
      <c r="J137" s="146"/>
      <c r="K137" s="61"/>
    </row>
    <row r="138" spans="1:11">
      <c r="A138" s="56"/>
      <c r="B138" s="49"/>
      <c r="C138" s="57"/>
      <c r="D138" s="58"/>
      <c r="E138" s="36"/>
      <c r="F138" s="59"/>
      <c r="G138" s="60"/>
      <c r="H138" s="154"/>
      <c r="I138" s="149"/>
      <c r="J138" s="146"/>
      <c r="K138" s="61"/>
    </row>
    <row r="139" spans="1:11">
      <c r="A139" s="56"/>
      <c r="B139" s="49"/>
      <c r="C139" s="57"/>
      <c r="D139" s="58"/>
      <c r="E139" s="36"/>
      <c r="F139" s="59"/>
      <c r="G139" s="60"/>
      <c r="H139" s="154"/>
      <c r="I139" s="149"/>
      <c r="J139" s="146"/>
      <c r="K139" s="61"/>
    </row>
    <row r="140" spans="1:11">
      <c r="A140" s="56"/>
      <c r="B140" s="49"/>
      <c r="C140" s="57"/>
      <c r="D140" s="58"/>
      <c r="E140" s="36"/>
      <c r="F140" s="59"/>
      <c r="G140" s="60"/>
      <c r="H140" s="154"/>
      <c r="I140" s="149"/>
      <c r="J140" s="146"/>
      <c r="K140" s="61"/>
    </row>
    <row r="141" spans="1:11">
      <c r="A141" s="56"/>
      <c r="B141" s="49"/>
      <c r="C141" s="57"/>
      <c r="D141" s="58"/>
      <c r="E141" s="36"/>
      <c r="F141" s="59"/>
      <c r="G141" s="60"/>
      <c r="H141" s="154"/>
      <c r="I141" s="149"/>
      <c r="J141" s="146"/>
      <c r="K141" s="61"/>
    </row>
    <row r="142" spans="1:11">
      <c r="A142" s="56"/>
      <c r="B142" s="49"/>
      <c r="C142" s="57"/>
      <c r="D142" s="58"/>
      <c r="E142" s="36"/>
      <c r="F142" s="59"/>
      <c r="G142" s="60"/>
      <c r="H142" s="154"/>
      <c r="I142" s="149"/>
      <c r="J142" s="146"/>
      <c r="K142" s="61"/>
    </row>
    <row r="143" spans="1:11">
      <c r="A143" s="56"/>
      <c r="B143" s="49"/>
      <c r="C143" s="57"/>
      <c r="D143" s="58"/>
      <c r="E143" s="36"/>
      <c r="F143" s="59"/>
      <c r="G143" s="60"/>
      <c r="H143" s="154"/>
      <c r="I143" s="149"/>
      <c r="J143" s="146"/>
      <c r="K143" s="61"/>
    </row>
    <row r="144" spans="1:11">
      <c r="A144" s="56"/>
      <c r="B144" s="49"/>
      <c r="C144" s="57"/>
      <c r="D144" s="58"/>
      <c r="E144" s="36"/>
      <c r="F144" s="59"/>
      <c r="G144" s="60"/>
      <c r="H144" s="154"/>
      <c r="I144" s="149"/>
      <c r="J144" s="146"/>
      <c r="K144" s="61"/>
    </row>
    <row r="145" spans="1:11">
      <c r="A145" s="56"/>
      <c r="B145" s="49"/>
      <c r="C145" s="57"/>
      <c r="D145" s="58"/>
      <c r="E145" s="36"/>
      <c r="F145" s="59"/>
      <c r="G145" s="60"/>
      <c r="H145" s="154"/>
      <c r="I145" s="149"/>
      <c r="J145" s="146"/>
      <c r="K145" s="61"/>
    </row>
    <row r="146" spans="1:11">
      <c r="A146" s="56"/>
      <c r="B146" s="49"/>
      <c r="C146" s="57"/>
      <c r="D146" s="58"/>
      <c r="E146" s="36"/>
      <c r="F146" s="59"/>
      <c r="G146" s="60"/>
      <c r="H146" s="154"/>
      <c r="I146" s="149"/>
      <c r="J146" s="146"/>
      <c r="K146" s="61"/>
    </row>
    <row r="147" spans="1:11">
      <c r="A147" s="56"/>
      <c r="B147" s="49"/>
      <c r="C147" s="57"/>
      <c r="D147" s="58"/>
      <c r="E147" s="36"/>
      <c r="F147" s="59"/>
      <c r="G147" s="60"/>
      <c r="H147" s="154"/>
      <c r="I147" s="149"/>
      <c r="J147" s="146"/>
      <c r="K147" s="61"/>
    </row>
    <row r="148" spans="1:11">
      <c r="A148" s="56"/>
      <c r="B148" s="49"/>
      <c r="C148" s="57"/>
      <c r="D148" s="58"/>
      <c r="E148" s="36"/>
      <c r="F148" s="59"/>
      <c r="G148" s="60"/>
      <c r="H148" s="154"/>
      <c r="I148" s="149"/>
      <c r="J148" s="146"/>
      <c r="K148" s="61"/>
    </row>
    <row r="149" spans="1:11">
      <c r="A149" s="56"/>
      <c r="B149" s="49"/>
      <c r="C149" s="57"/>
      <c r="D149" s="58"/>
      <c r="E149" s="36"/>
      <c r="F149" s="59"/>
      <c r="G149" s="60"/>
      <c r="H149" s="154"/>
      <c r="I149" s="149"/>
      <c r="J149" s="146"/>
      <c r="K149" s="61"/>
    </row>
    <row r="150" spans="1:11">
      <c r="A150" s="56"/>
      <c r="B150" s="49"/>
      <c r="C150" s="57"/>
      <c r="D150" s="58"/>
      <c r="E150" s="36"/>
      <c r="F150" s="59"/>
      <c r="G150" s="60"/>
      <c r="H150" s="154"/>
      <c r="I150" s="149"/>
      <c r="J150" s="146"/>
      <c r="K150" s="61"/>
    </row>
    <row r="151" spans="1:11">
      <c r="A151" s="56"/>
      <c r="B151" s="49"/>
      <c r="C151" s="57"/>
      <c r="D151" s="58"/>
      <c r="E151" s="36"/>
      <c r="F151" s="59"/>
      <c r="G151" s="60"/>
      <c r="H151" s="154"/>
      <c r="I151" s="149"/>
      <c r="J151" s="146"/>
      <c r="K151" s="61"/>
    </row>
    <row r="152" spans="1:11">
      <c r="A152" s="56"/>
      <c r="B152" s="49"/>
      <c r="C152" s="57"/>
      <c r="D152" s="58"/>
      <c r="E152" s="36"/>
      <c r="F152" s="59"/>
      <c r="G152" s="60"/>
      <c r="H152" s="154"/>
      <c r="I152" s="149"/>
      <c r="J152" s="146"/>
      <c r="K152" s="61"/>
    </row>
    <row r="153" spans="1:11">
      <c r="A153" s="56"/>
      <c r="B153" s="49"/>
      <c r="C153" s="57"/>
      <c r="D153" s="58"/>
      <c r="E153" s="36"/>
      <c r="F153" s="59"/>
      <c r="G153" s="60"/>
      <c r="H153" s="154"/>
      <c r="I153" s="149"/>
      <c r="J153" s="146"/>
      <c r="K153" s="61"/>
    </row>
    <row r="154" spans="1:11">
      <c r="A154" s="56"/>
      <c r="B154" s="49"/>
      <c r="C154" s="57"/>
      <c r="D154" s="58"/>
      <c r="E154" s="36"/>
      <c r="F154" s="59"/>
      <c r="G154" s="60"/>
      <c r="H154" s="154"/>
      <c r="I154" s="149"/>
      <c r="J154" s="146"/>
      <c r="K154" s="61"/>
    </row>
    <row r="155" spans="1:11">
      <c r="A155" s="56"/>
      <c r="B155" s="49"/>
      <c r="C155" s="57"/>
      <c r="D155" s="58"/>
      <c r="E155" s="36"/>
      <c r="F155" s="59"/>
      <c r="G155" s="60"/>
      <c r="H155" s="154"/>
      <c r="I155" s="149"/>
      <c r="J155" s="146"/>
      <c r="K155" s="61"/>
    </row>
    <row r="156" spans="1:11">
      <c r="A156" s="56"/>
      <c r="B156" s="49"/>
      <c r="C156" s="57"/>
      <c r="D156" s="58"/>
      <c r="E156" s="36"/>
      <c r="F156" s="62"/>
      <c r="G156" s="60"/>
      <c r="H156" s="150"/>
      <c r="I156" s="148"/>
      <c r="J156" s="146"/>
      <c r="K156" s="61"/>
    </row>
    <row r="157" spans="1:11" ht="13">
      <c r="A157" s="49"/>
      <c r="B157" s="50"/>
      <c r="C157" s="57"/>
      <c r="D157" s="58"/>
      <c r="E157" s="36"/>
      <c r="F157" s="62"/>
      <c r="G157" s="60"/>
      <c r="H157" s="150"/>
      <c r="I157" s="148"/>
      <c r="J157" s="146"/>
      <c r="K157" s="61"/>
    </row>
    <row r="158" spans="1:11">
      <c r="A158" s="56"/>
      <c r="B158" s="49"/>
      <c r="C158" s="57"/>
      <c r="D158" s="58"/>
      <c r="E158" s="36"/>
      <c r="F158" s="59"/>
      <c r="G158" s="60"/>
      <c r="H158" s="154"/>
      <c r="I158" s="151"/>
      <c r="J158" s="146"/>
      <c r="K158" s="61"/>
    </row>
    <row r="159" spans="1:11">
      <c r="A159" s="56"/>
      <c r="B159" s="49"/>
      <c r="C159" s="57"/>
      <c r="D159" s="58"/>
      <c r="E159" s="36"/>
      <c r="F159" s="59"/>
      <c r="G159" s="60"/>
      <c r="H159" s="154"/>
      <c r="I159" s="151"/>
      <c r="J159" s="146"/>
      <c r="K159" s="61"/>
    </row>
    <row r="160" spans="1:11">
      <c r="A160" s="56"/>
      <c r="B160" s="49"/>
      <c r="C160" s="57"/>
      <c r="D160" s="58"/>
      <c r="E160" s="36"/>
      <c r="F160" s="59"/>
      <c r="G160" s="60"/>
      <c r="H160" s="154"/>
      <c r="I160" s="151"/>
      <c r="J160" s="146"/>
      <c r="K160" s="61"/>
    </row>
    <row r="161" spans="1:14">
      <c r="A161" s="56"/>
      <c r="B161" s="49"/>
      <c r="C161" s="57"/>
      <c r="D161" s="58"/>
      <c r="E161" s="36"/>
      <c r="F161" s="59"/>
      <c r="G161" s="60"/>
      <c r="H161" s="154"/>
      <c r="I161" s="151"/>
      <c r="J161" s="146"/>
      <c r="K161" s="61"/>
    </row>
    <row r="162" spans="1:14" ht="13">
      <c r="A162" s="55"/>
      <c r="B162" s="63"/>
      <c r="C162" s="42"/>
      <c r="D162" s="64"/>
      <c r="E162" s="45"/>
      <c r="F162" s="65"/>
      <c r="G162" s="65"/>
      <c r="H162" s="152"/>
      <c r="I162" s="153"/>
      <c r="J162" s="147"/>
      <c r="K162" s="67"/>
    </row>
    <row r="163" spans="1:14">
      <c r="A163" s="73" t="s">
        <v>286</v>
      </c>
      <c r="B163" s="74"/>
      <c r="C163" s="77"/>
      <c r="D163" s="75"/>
      <c r="E163" s="77"/>
      <c r="F163" s="137"/>
      <c r="G163" s="73" t="s">
        <v>287</v>
      </c>
      <c r="H163" s="74"/>
      <c r="I163" s="73" t="s">
        <v>288</v>
      </c>
      <c r="J163" s="74"/>
      <c r="K163" s="79"/>
    </row>
    <row r="164" spans="1:14" s="200" customFormat="1" ht="15" customHeight="1">
      <c r="A164" s="208"/>
      <c r="B164" s="209"/>
      <c r="C164" s="209"/>
      <c r="D164" s="210"/>
      <c r="E164" s="209"/>
      <c r="F164" s="211"/>
      <c r="G164" s="465"/>
      <c r="H164" s="467"/>
      <c r="I164" s="465"/>
      <c r="J164" s="466"/>
      <c r="K164" s="467"/>
    </row>
    <row r="165" spans="1:14" s="68" customFormat="1">
      <c r="A165" s="138" t="s">
        <v>289</v>
      </c>
      <c r="B165" s="139"/>
      <c r="C165" s="140" t="s">
        <v>290</v>
      </c>
      <c r="D165" s="141"/>
      <c r="E165" s="76" t="s">
        <v>291</v>
      </c>
      <c r="F165" s="142"/>
      <c r="G165" s="76" t="s">
        <v>292</v>
      </c>
      <c r="H165" s="77"/>
      <c r="I165" s="76" t="s">
        <v>293</v>
      </c>
      <c r="J165" s="77"/>
      <c r="K165" s="78"/>
      <c r="M165" s="32"/>
      <c r="N165" s="32"/>
    </row>
    <row r="166" spans="1:14" s="200" customFormat="1" ht="15" customHeight="1">
      <c r="A166" s="465">
        <f>SUM($G$15:$G$162)</f>
        <v>900</v>
      </c>
      <c r="B166" s="467"/>
      <c r="C166" s="470">
        <f>SUM($J$15:$J$162)</f>
        <v>61</v>
      </c>
      <c r="D166" s="467"/>
      <c r="E166" s="465">
        <v>8</v>
      </c>
      <c r="F166" s="467"/>
      <c r="G166" s="465" t="s">
        <v>432</v>
      </c>
      <c r="H166" s="467"/>
      <c r="I166" s="465"/>
      <c r="J166" s="466"/>
      <c r="K166" s="467"/>
    </row>
    <row r="167" spans="1:14" s="68" customFormat="1">
      <c r="A167" s="73" t="s">
        <v>294</v>
      </c>
      <c r="B167" s="79"/>
      <c r="C167" s="76" t="s">
        <v>295</v>
      </c>
      <c r="D167" s="80"/>
      <c r="E167" s="140" t="s">
        <v>386</v>
      </c>
      <c r="G167" s="76" t="s">
        <v>296</v>
      </c>
      <c r="H167" s="77"/>
      <c r="I167" s="77"/>
      <c r="J167" s="74"/>
      <c r="K167" s="79"/>
      <c r="M167" s="32"/>
      <c r="N167" s="32"/>
    </row>
    <row r="168" spans="1:14" s="200" customFormat="1" ht="15" customHeight="1">
      <c r="A168" s="468">
        <f>SUM(H15:$H$162)</f>
        <v>426</v>
      </c>
      <c r="B168" s="469"/>
      <c r="C168" s="468">
        <f>SUM($I$15:$I$162)</f>
        <v>470.41666666666669</v>
      </c>
      <c r="D168" s="469"/>
      <c r="E168" s="468">
        <f>SUM(I13:I59)+IF($G$166="80X120",20*$E$166,25*$E$166)</f>
        <v>670.41666666666674</v>
      </c>
      <c r="F168" s="469"/>
      <c r="G168" s="201"/>
      <c r="H168" s="202"/>
      <c r="I168" s="202"/>
      <c r="J168" s="202"/>
      <c r="K168" s="203"/>
    </row>
    <row r="169" spans="1:14" ht="15.5">
      <c r="A169" s="76" t="s">
        <v>297</v>
      </c>
      <c r="B169" s="77"/>
      <c r="C169" s="77"/>
      <c r="D169" s="77"/>
      <c r="E169" s="72"/>
      <c r="F169" s="31"/>
      <c r="G169" s="201"/>
      <c r="H169" s="202"/>
      <c r="I169" s="202"/>
      <c r="J169" s="212"/>
      <c r="K169" s="213"/>
    </row>
    <row r="170" spans="1:14" ht="15.5">
      <c r="A170" s="204"/>
      <c r="B170" s="205"/>
      <c r="C170" s="202"/>
      <c r="D170" s="202"/>
      <c r="E170" s="202"/>
      <c r="F170" s="206"/>
      <c r="G170" s="201"/>
      <c r="H170" s="202"/>
      <c r="I170" s="202"/>
      <c r="J170" s="202"/>
      <c r="K170" s="213"/>
    </row>
    <row r="171" spans="1:14" ht="15.5">
      <c r="A171" s="204"/>
      <c r="B171" s="202"/>
      <c r="C171" s="202"/>
      <c r="D171" s="207"/>
      <c r="E171" s="202"/>
      <c r="F171" s="206"/>
      <c r="G171" s="201"/>
      <c r="H171" s="202"/>
      <c r="I171" s="202"/>
      <c r="J171" s="202"/>
      <c r="K171" s="213"/>
    </row>
    <row r="172" spans="1:14" ht="15.5">
      <c r="A172" s="208"/>
      <c r="B172" s="209"/>
      <c r="C172" s="209"/>
      <c r="D172" s="210"/>
      <c r="E172" s="209"/>
      <c r="F172" s="211"/>
      <c r="G172" s="214"/>
      <c r="H172" s="209"/>
      <c r="I172" s="209"/>
      <c r="J172" s="209"/>
      <c r="K172" s="215"/>
    </row>
    <row r="173" spans="1:14">
      <c r="A173" s="400" t="s">
        <v>276</v>
      </c>
      <c r="B173" s="401"/>
      <c r="C173" s="401"/>
      <c r="D173" s="401"/>
      <c r="E173" s="401"/>
      <c r="F173" s="401"/>
      <c r="G173" s="401"/>
      <c r="H173" s="401"/>
      <c r="I173" s="401"/>
      <c r="J173" s="401"/>
      <c r="K173" s="402"/>
    </row>
    <row r="174" spans="1:14" s="68" customFormat="1" ht="10.5" customHeight="1">
      <c r="A174" s="403" t="s">
        <v>277</v>
      </c>
      <c r="B174" s="404"/>
      <c r="C174" s="404"/>
      <c r="D174" s="404"/>
      <c r="E174" s="404"/>
      <c r="F174" s="404"/>
      <c r="G174" s="404"/>
      <c r="H174" s="404"/>
      <c r="I174" s="404"/>
      <c r="J174" s="404"/>
      <c r="K174" s="405"/>
      <c r="M174" s="32"/>
      <c r="N174" s="32"/>
    </row>
    <row r="175" spans="1:14" s="70" customFormat="1" ht="7.5" customHeight="1">
      <c r="A175" s="400" t="s">
        <v>278</v>
      </c>
      <c r="B175" s="406" t="s">
        <v>279</v>
      </c>
      <c r="C175" s="406"/>
      <c r="D175" s="406"/>
      <c r="E175" s="406"/>
      <c r="F175" s="406"/>
      <c r="G175" s="406"/>
      <c r="H175" s="406"/>
      <c r="I175" s="406"/>
      <c r="J175" s="406"/>
      <c r="K175" s="407"/>
      <c r="M175" s="32"/>
      <c r="N175" s="32"/>
    </row>
    <row r="176" spans="1:14">
      <c r="A176" s="403"/>
      <c r="B176" s="408"/>
      <c r="C176" s="408"/>
      <c r="D176" s="408"/>
      <c r="E176" s="408"/>
      <c r="F176" s="408"/>
      <c r="G176" s="408"/>
      <c r="H176" s="408"/>
      <c r="I176" s="408"/>
      <c r="J176" s="408"/>
      <c r="K176" s="409"/>
    </row>
    <row r="177" spans="1:11" s="70" customFormat="1" ht="10">
      <c r="A177" s="394" t="s">
        <v>280</v>
      </c>
      <c r="B177" s="394"/>
      <c r="C177" s="394"/>
      <c r="D177" s="394"/>
      <c r="E177" s="394"/>
      <c r="F177" s="394"/>
      <c r="G177" s="394"/>
      <c r="H177" s="394"/>
      <c r="I177" s="394"/>
      <c r="J177" s="394"/>
      <c r="K177" s="394"/>
    </row>
    <row r="178" spans="1:11">
      <c r="A178" s="394" t="s">
        <v>281</v>
      </c>
      <c r="B178" s="394"/>
      <c r="C178" s="394"/>
      <c r="D178" s="394"/>
      <c r="E178" s="394"/>
      <c r="F178" s="394"/>
      <c r="G178" s="394"/>
      <c r="H178" s="394"/>
      <c r="I178" s="394"/>
      <c r="J178" s="394"/>
      <c r="K178" s="394"/>
    </row>
    <row r="179" spans="1:11">
      <c r="A179" s="394" t="s">
        <v>282</v>
      </c>
      <c r="B179" s="395"/>
      <c r="C179" s="395"/>
      <c r="D179" s="395"/>
      <c r="E179" s="395"/>
      <c r="F179" s="395"/>
      <c r="G179" s="395"/>
      <c r="H179" s="395"/>
      <c r="I179" s="395"/>
      <c r="J179" s="395"/>
      <c r="K179" s="395"/>
    </row>
  </sheetData>
  <mergeCells count="36">
    <mergeCell ref="I166:K166"/>
    <mergeCell ref="I164:K164"/>
    <mergeCell ref="G164:H164"/>
    <mergeCell ref="A168:B168"/>
    <mergeCell ref="G166:H166"/>
    <mergeCell ref="C168:D168"/>
    <mergeCell ref="E168:F168"/>
    <mergeCell ref="E166:F166"/>
    <mergeCell ref="C166:D166"/>
    <mergeCell ref="A166:B166"/>
    <mergeCell ref="A177:K177"/>
    <mergeCell ref="A178:K178"/>
    <mergeCell ref="A179:K179"/>
    <mergeCell ref="A173:K173"/>
    <mergeCell ref="A174:K174"/>
    <mergeCell ref="A175:A176"/>
    <mergeCell ref="B175:K176"/>
    <mergeCell ref="J12:J14"/>
    <mergeCell ref="K12:K14"/>
    <mergeCell ref="A12:A14"/>
    <mergeCell ref="B12:E14"/>
    <mergeCell ref="F12:F14"/>
    <mergeCell ref="G12:G14"/>
    <mergeCell ref="H12:H14"/>
    <mergeCell ref="I12:I14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conditionalFormatting sqref="A15:K162">
    <cfRule type="expression" dxfId="48" priority="1">
      <formula>MOD(ROW(),2)=0</formula>
    </cfRule>
  </conditionalFormatting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166:H166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K71"/>
  <sheetViews>
    <sheetView topLeftCell="A19" workbookViewId="0">
      <selection activeCell="K6" sqref="K6"/>
    </sheetView>
  </sheetViews>
  <sheetFormatPr defaultColWidth="9.1796875" defaultRowHeight="14.5"/>
  <cols>
    <col min="1" max="1" width="8.26953125" style="83" customWidth="1"/>
    <col min="2" max="2" width="31.81640625" style="83" customWidth="1"/>
    <col min="3" max="3" width="19.54296875" style="83" customWidth="1"/>
    <col min="4" max="4" width="10" style="83" customWidth="1"/>
    <col min="5" max="6" width="8.81640625" style="83" customWidth="1"/>
    <col min="7" max="7" width="15.81640625" style="83" customWidth="1"/>
    <col min="8" max="9" width="16.7265625" style="83" customWidth="1"/>
    <col min="10" max="10" width="5.7265625" style="83" customWidth="1"/>
    <col min="11" max="16384" width="9.1796875" style="83"/>
  </cols>
  <sheetData>
    <row r="1" spans="1:11" ht="20">
      <c r="A1" s="81"/>
      <c r="B1" s="82"/>
      <c r="C1" s="82"/>
      <c r="D1" s="82"/>
      <c r="E1" s="544" t="s">
        <v>68</v>
      </c>
      <c r="F1" s="545"/>
      <c r="G1" s="545"/>
      <c r="H1" s="545"/>
      <c r="I1" s="545"/>
      <c r="J1" s="82"/>
      <c r="K1" s="82"/>
    </row>
    <row r="2" spans="1:11" ht="12.75" customHeight="1">
      <c r="A2" s="81"/>
      <c r="B2" s="82" t="s">
        <v>69</v>
      </c>
      <c r="C2" s="82"/>
      <c r="D2" s="82"/>
      <c r="E2" s="84"/>
      <c r="F2" s="85"/>
      <c r="G2" s="85"/>
      <c r="H2" s="85"/>
      <c r="I2" s="85"/>
      <c r="J2" s="82"/>
      <c r="K2" s="82"/>
    </row>
    <row r="3" spans="1:11" ht="12.75" customHeight="1">
      <c r="A3" s="81"/>
      <c r="B3" s="477" t="s">
        <v>70</v>
      </c>
      <c r="C3" s="479"/>
      <c r="D3" s="478"/>
      <c r="E3" s="477" t="s">
        <v>71</v>
      </c>
      <c r="F3" s="479"/>
      <c r="G3" s="479"/>
      <c r="H3" s="479"/>
      <c r="I3" s="478"/>
      <c r="J3" s="546" t="s">
        <v>72</v>
      </c>
      <c r="K3" s="82"/>
    </row>
    <row r="4" spans="1:11" ht="20.5">
      <c r="A4" s="81"/>
      <c r="B4" s="86" t="s">
        <v>73</v>
      </c>
      <c r="C4" s="87"/>
      <c r="D4" s="88"/>
      <c r="E4" s="515"/>
      <c r="F4" s="523"/>
      <c r="G4" s="523"/>
      <c r="H4" s="523"/>
      <c r="I4" s="516"/>
      <c r="J4" s="546"/>
      <c r="K4" s="82"/>
    </row>
    <row r="5" spans="1:11" ht="20.5">
      <c r="A5" s="81"/>
      <c r="B5" s="86" t="s">
        <v>136</v>
      </c>
      <c r="C5" s="87"/>
      <c r="D5" s="88"/>
      <c r="E5" s="549" t="s">
        <v>74</v>
      </c>
      <c r="F5" s="479"/>
      <c r="G5" s="478"/>
      <c r="H5" s="89" t="s">
        <v>75</v>
      </c>
      <c r="I5" s="90"/>
      <c r="J5" s="546"/>
      <c r="K5" s="82"/>
    </row>
    <row r="6" spans="1:11" ht="20.5">
      <c r="A6" s="81"/>
      <c r="B6" s="86" t="s">
        <v>137</v>
      </c>
      <c r="C6" s="87"/>
      <c r="D6" s="88"/>
      <c r="E6" s="91" t="s">
        <v>76</v>
      </c>
      <c r="F6" s="92">
        <v>1</v>
      </c>
      <c r="G6" s="93" t="s">
        <v>77</v>
      </c>
      <c r="H6" s="491"/>
      <c r="I6" s="487"/>
      <c r="J6" s="546"/>
      <c r="K6" s="82"/>
    </row>
    <row r="7" spans="1:11" ht="20.5">
      <c r="A7" s="81"/>
      <c r="B7" s="86" t="s">
        <v>138</v>
      </c>
      <c r="C7" s="87"/>
      <c r="D7" s="88"/>
      <c r="E7" s="477" t="s">
        <v>78</v>
      </c>
      <c r="F7" s="479"/>
      <c r="G7" s="478"/>
      <c r="H7" s="89" t="s">
        <v>79</v>
      </c>
      <c r="I7" s="90"/>
      <c r="J7" s="546"/>
      <c r="K7" s="82"/>
    </row>
    <row r="8" spans="1:11">
      <c r="A8" s="81"/>
      <c r="B8" s="477" t="s">
        <v>80</v>
      </c>
      <c r="C8" s="479"/>
      <c r="D8" s="478"/>
      <c r="E8" s="477" t="s">
        <v>81</v>
      </c>
      <c r="F8" s="479"/>
      <c r="G8" s="479"/>
      <c r="H8" s="479"/>
      <c r="I8" s="478"/>
      <c r="J8" s="546"/>
      <c r="K8" s="82"/>
    </row>
    <row r="9" spans="1:11" ht="20.5">
      <c r="A9" s="81"/>
      <c r="B9" s="86"/>
      <c r="C9" s="87"/>
      <c r="D9" s="88"/>
      <c r="E9" s="520"/>
      <c r="F9" s="521"/>
      <c r="G9" s="521"/>
      <c r="H9" s="521"/>
      <c r="I9" s="522"/>
      <c r="J9" s="546"/>
      <c r="K9" s="82"/>
    </row>
    <row r="10" spans="1:11" ht="20.5">
      <c r="A10" s="81"/>
      <c r="B10" s="86"/>
      <c r="C10" s="87"/>
      <c r="D10" s="88"/>
      <c r="E10" s="520"/>
      <c r="F10" s="521"/>
      <c r="G10" s="521"/>
      <c r="H10" s="521"/>
      <c r="I10" s="522"/>
      <c r="J10" s="546"/>
      <c r="K10" s="82"/>
    </row>
    <row r="11" spans="1:11" ht="20.5">
      <c r="A11" s="81"/>
      <c r="B11" s="86"/>
      <c r="C11" s="87"/>
      <c r="D11" s="88"/>
      <c r="E11" s="520"/>
      <c r="F11" s="521"/>
      <c r="G11" s="521"/>
      <c r="H11" s="521"/>
      <c r="I11" s="522"/>
      <c r="J11" s="546"/>
      <c r="K11" s="82"/>
    </row>
    <row r="12" spans="1:11" ht="20.5">
      <c r="A12" s="81"/>
      <c r="B12" s="86"/>
      <c r="C12" s="87"/>
      <c r="D12" s="88"/>
      <c r="E12" s="520"/>
      <c r="F12" s="521"/>
      <c r="G12" s="521"/>
      <c r="H12" s="521"/>
      <c r="I12" s="522"/>
      <c r="J12" s="546"/>
      <c r="K12" s="82"/>
    </row>
    <row r="13" spans="1:11" ht="20.5">
      <c r="A13" s="81"/>
      <c r="B13" s="86"/>
      <c r="C13" s="87"/>
      <c r="D13" s="88"/>
      <c r="E13" s="517" t="s">
        <v>82</v>
      </c>
      <c r="F13" s="518"/>
      <c r="G13" s="518"/>
      <c r="H13" s="518"/>
      <c r="I13" s="553"/>
      <c r="J13" s="546"/>
      <c r="K13" s="82"/>
    </row>
    <row r="14" spans="1:11">
      <c r="A14" s="81"/>
      <c r="B14" s="477" t="s">
        <v>83</v>
      </c>
      <c r="C14" s="479"/>
      <c r="D14" s="478"/>
      <c r="E14" s="550" t="s">
        <v>84</v>
      </c>
      <c r="F14" s="551"/>
      <c r="G14" s="551"/>
      <c r="H14" s="551"/>
      <c r="I14" s="552"/>
      <c r="J14" s="546"/>
      <c r="K14" s="82"/>
    </row>
    <row r="15" spans="1:11">
      <c r="A15" s="81"/>
      <c r="B15" s="520"/>
      <c r="C15" s="521"/>
      <c r="D15" s="522"/>
      <c r="E15" s="554" t="s">
        <v>85</v>
      </c>
      <c r="F15" s="555"/>
      <c r="G15" s="555"/>
      <c r="H15" s="555"/>
      <c r="I15" s="556"/>
      <c r="J15" s="546"/>
      <c r="K15" s="82"/>
    </row>
    <row r="16" spans="1:11">
      <c r="A16" s="81"/>
      <c r="B16" s="520"/>
      <c r="C16" s="521"/>
      <c r="D16" s="522"/>
      <c r="E16" s="554"/>
      <c r="F16" s="555"/>
      <c r="G16" s="555"/>
      <c r="H16" s="555"/>
      <c r="I16" s="556"/>
      <c r="J16" s="546"/>
      <c r="K16" s="82"/>
    </row>
    <row r="17" spans="1:11">
      <c r="A17" s="81"/>
      <c r="B17" s="520"/>
      <c r="C17" s="521"/>
      <c r="D17" s="522"/>
      <c r="E17" s="554"/>
      <c r="F17" s="555"/>
      <c r="G17" s="555"/>
      <c r="H17" s="555"/>
      <c r="I17" s="556"/>
      <c r="J17" s="546"/>
      <c r="K17" s="82"/>
    </row>
    <row r="18" spans="1:11">
      <c r="A18" s="81"/>
      <c r="B18" s="515"/>
      <c r="C18" s="523"/>
      <c r="D18" s="516"/>
      <c r="E18" s="557"/>
      <c r="F18" s="558"/>
      <c r="G18" s="558"/>
      <c r="H18" s="558"/>
      <c r="I18" s="559"/>
      <c r="J18" s="546"/>
      <c r="K18" s="82"/>
    </row>
    <row r="19" spans="1:11">
      <c r="A19" s="527" t="s">
        <v>86</v>
      </c>
      <c r="B19" s="477" t="s">
        <v>87</v>
      </c>
      <c r="C19" s="479"/>
      <c r="D19" s="478"/>
      <c r="E19" s="529" t="s">
        <v>88</v>
      </c>
      <c r="F19" s="530"/>
      <c r="G19" s="530"/>
      <c r="H19" s="530"/>
      <c r="I19" s="531"/>
      <c r="J19" s="546"/>
      <c r="K19" s="82"/>
    </row>
    <row r="20" spans="1:11">
      <c r="A20" s="528"/>
      <c r="B20" s="520"/>
      <c r="C20" s="521"/>
      <c r="D20" s="522"/>
      <c r="E20" s="520"/>
      <c r="F20" s="521"/>
      <c r="G20" s="521"/>
      <c r="H20" s="521"/>
      <c r="I20" s="522"/>
      <c r="J20" s="546"/>
      <c r="K20" s="82"/>
    </row>
    <row r="21" spans="1:11" ht="15.5">
      <c r="A21" s="528"/>
      <c r="B21" s="520"/>
      <c r="C21" s="521"/>
      <c r="D21" s="522"/>
      <c r="E21" s="532" t="s">
        <v>89</v>
      </c>
      <c r="F21" s="533"/>
      <c r="G21" s="533"/>
      <c r="H21" s="533"/>
      <c r="I21" s="534"/>
      <c r="J21" s="546"/>
      <c r="K21" s="82"/>
    </row>
    <row r="22" spans="1:11">
      <c r="A22" s="528"/>
      <c r="B22" s="515"/>
      <c r="C22" s="523"/>
      <c r="D22" s="516"/>
      <c r="E22" s="520"/>
      <c r="F22" s="521"/>
      <c r="G22" s="521"/>
      <c r="H22" s="521"/>
      <c r="I22" s="522"/>
      <c r="J22" s="546"/>
      <c r="K22" s="82"/>
    </row>
    <row r="23" spans="1:11" ht="12.75" customHeight="1">
      <c r="A23" s="528"/>
      <c r="B23" s="94" t="s">
        <v>90</v>
      </c>
      <c r="C23" s="477" t="s">
        <v>91</v>
      </c>
      <c r="D23" s="478"/>
      <c r="E23" s="520"/>
      <c r="F23" s="521"/>
      <c r="G23" s="521"/>
      <c r="H23" s="521"/>
      <c r="I23" s="522"/>
      <c r="J23" s="546"/>
      <c r="K23" s="82"/>
    </row>
    <row r="24" spans="1:11">
      <c r="A24" s="528"/>
      <c r="B24" s="95"/>
      <c r="C24" s="540" t="s">
        <v>139</v>
      </c>
      <c r="D24" s="541"/>
      <c r="E24" s="520"/>
      <c r="F24" s="521"/>
      <c r="G24" s="521"/>
      <c r="H24" s="542" t="s">
        <v>298</v>
      </c>
      <c r="I24" s="543"/>
      <c r="J24" s="546"/>
      <c r="K24" s="82"/>
    </row>
    <row r="25" spans="1:11">
      <c r="A25" s="528"/>
      <c r="B25" s="94" t="s">
        <v>92</v>
      </c>
      <c r="C25" s="477" t="s">
        <v>93</v>
      </c>
      <c r="D25" s="478"/>
      <c r="E25" s="524" t="s">
        <v>94</v>
      </c>
      <c r="F25" s="525"/>
      <c r="G25" s="525"/>
      <c r="H25" s="525"/>
      <c r="I25" s="526"/>
      <c r="J25" s="546"/>
      <c r="K25" s="82"/>
    </row>
    <row r="26" spans="1:11" ht="20.25" customHeight="1">
      <c r="A26" s="528"/>
      <c r="B26" s="96"/>
      <c r="C26" s="515"/>
      <c r="D26" s="516"/>
      <c r="E26" s="517" t="s">
        <v>95</v>
      </c>
      <c r="F26" s="518"/>
      <c r="G26" s="97" t="s">
        <v>96</v>
      </c>
      <c r="H26" s="97" t="s">
        <v>97</v>
      </c>
      <c r="I26" s="93" t="s">
        <v>98</v>
      </c>
      <c r="J26" s="546"/>
      <c r="K26" s="82"/>
    </row>
    <row r="27" spans="1:11" ht="12.75" customHeight="1">
      <c r="A27" s="528"/>
      <c r="B27" s="98" t="s">
        <v>99</v>
      </c>
      <c r="C27" s="519" t="s">
        <v>100</v>
      </c>
      <c r="D27" s="519"/>
      <c r="E27" s="519"/>
      <c r="F27" s="519"/>
      <c r="G27" s="99" t="s">
        <v>101</v>
      </c>
      <c r="H27" s="99" t="s">
        <v>102</v>
      </c>
      <c r="I27" s="100" t="s">
        <v>103</v>
      </c>
      <c r="J27" s="546"/>
      <c r="K27" s="82"/>
    </row>
    <row r="28" spans="1:11">
      <c r="A28" s="528"/>
      <c r="B28" s="101"/>
      <c r="C28" s="102"/>
      <c r="D28" s="102"/>
      <c r="E28" s="102"/>
      <c r="F28" s="103"/>
      <c r="G28" s="104"/>
      <c r="H28" s="104"/>
      <c r="I28" s="105"/>
      <c r="J28" s="546"/>
      <c r="K28" s="82"/>
    </row>
    <row r="29" spans="1:11" ht="15.5">
      <c r="A29" s="528"/>
      <c r="B29" s="216" t="s">
        <v>104</v>
      </c>
      <c r="C29" s="107"/>
      <c r="D29" s="107"/>
      <c r="E29" s="107"/>
      <c r="F29" s="108"/>
      <c r="G29" s="109"/>
      <c r="H29" s="109"/>
      <c r="I29" s="110"/>
      <c r="J29" s="546"/>
      <c r="K29" s="82"/>
    </row>
    <row r="30" spans="1:11" ht="15.5">
      <c r="A30" s="528"/>
      <c r="B30" s="216" t="s">
        <v>105</v>
      </c>
      <c r="C30" s="107"/>
      <c r="D30" s="107"/>
      <c r="E30" s="107"/>
      <c r="F30" s="108"/>
      <c r="G30" s="109"/>
      <c r="H30" s="109"/>
      <c r="I30" s="110"/>
      <c r="J30" s="546"/>
      <c r="K30" s="82"/>
    </row>
    <row r="31" spans="1:11" ht="15.5">
      <c r="A31" s="528"/>
      <c r="B31" s="216" t="str">
        <f>CONCATENATE([1]dgn_calculation!E6," FIBREBOARD BOXES")</f>
        <v>24 FIBREBOARD BOXES</v>
      </c>
      <c r="C31" s="107"/>
      <c r="D31" s="107"/>
      <c r="E31" s="107"/>
      <c r="F31" s="108"/>
      <c r="G31" s="109"/>
      <c r="H31" s="109"/>
      <c r="I31" s="110"/>
      <c r="J31" s="546"/>
      <c r="K31" s="82"/>
    </row>
    <row r="32" spans="1:11" ht="15.5">
      <c r="A32" s="528"/>
      <c r="B32" s="216" t="e">
        <f>CONCATENATE(dgn_calculation!C10," GLASS BOTTLES BY 50ML")</f>
        <v>#REF!</v>
      </c>
      <c r="C32" s="107"/>
      <c r="D32" s="107"/>
      <c r="E32" s="107"/>
      <c r="F32" s="108"/>
      <c r="G32" s="219" t="e">
        <f>dgn_calculation!D10</f>
        <v>#REF!</v>
      </c>
      <c r="H32" s="219" t="e">
        <f>dgn_calculation!E10</f>
        <v>#REF!</v>
      </c>
      <c r="I32" s="220" t="e">
        <f>dgn_calculation!F10</f>
        <v>#REF!</v>
      </c>
      <c r="J32" s="546"/>
      <c r="K32" s="82"/>
    </row>
    <row r="33" spans="1:11" ht="15.5">
      <c r="A33" s="528"/>
      <c r="B33" s="216" t="e">
        <f>CONCATENATE(dgn_calculation!C11," GLASS BOTTLES BY 100ML")</f>
        <v>#REF!</v>
      </c>
      <c r="C33" s="107"/>
      <c r="D33" s="107"/>
      <c r="E33" s="107"/>
      <c r="F33" s="108"/>
      <c r="G33" s="219" t="e">
        <f>dgn_calculation!D11</f>
        <v>#REF!</v>
      </c>
      <c r="H33" s="219" t="e">
        <f>dgn_calculation!E11</f>
        <v>#REF!</v>
      </c>
      <c r="I33" s="220" t="e">
        <f>dgn_calculation!F11</f>
        <v>#REF!</v>
      </c>
      <c r="J33" s="546"/>
      <c r="K33" s="82"/>
    </row>
    <row r="34" spans="1:11" ht="15.5">
      <c r="A34" s="528"/>
      <c r="B34" s="217"/>
      <c r="C34" s="107"/>
      <c r="D34" s="107"/>
      <c r="E34" s="107"/>
      <c r="F34" s="108"/>
      <c r="G34" s="219"/>
      <c r="H34" s="219"/>
      <c r="I34" s="220"/>
      <c r="J34" s="546"/>
      <c r="K34" s="82"/>
    </row>
    <row r="35" spans="1:11" ht="15.5">
      <c r="A35" s="528"/>
      <c r="B35" s="217" t="s">
        <v>141</v>
      </c>
      <c r="C35" s="107"/>
      <c r="D35" s="107"/>
      <c r="E35" s="107"/>
      <c r="F35" s="108"/>
      <c r="G35" s="219"/>
      <c r="H35" s="219"/>
      <c r="I35" s="220"/>
      <c r="J35" s="546"/>
      <c r="K35" s="82"/>
    </row>
    <row r="36" spans="1:11" ht="15.5">
      <c r="A36" s="528"/>
      <c r="B36" s="217" t="s">
        <v>106</v>
      </c>
      <c r="C36" s="107"/>
      <c r="D36" s="107"/>
      <c r="E36" s="107"/>
      <c r="F36" s="108"/>
      <c r="G36" s="219"/>
      <c r="H36" s="219"/>
      <c r="I36" s="220"/>
      <c r="J36" s="546"/>
      <c r="K36" s="82"/>
    </row>
    <row r="37" spans="1:11" ht="15.5">
      <c r="A37" s="528"/>
      <c r="B37" s="217" t="e">
        <f>CONCATENATE(dgn_calculation!I6," FIBREBOARD BOXES")</f>
        <v>#REF!</v>
      </c>
      <c r="C37" s="107"/>
      <c r="D37" s="107"/>
      <c r="E37" s="107"/>
      <c r="F37" s="108"/>
      <c r="G37" s="219"/>
      <c r="H37" s="219"/>
      <c r="I37" s="220"/>
      <c r="J37" s="546"/>
      <c r="K37" s="82"/>
    </row>
    <row r="38" spans="1:11" ht="15.5">
      <c r="A38" s="528"/>
      <c r="B38" s="217" t="e">
        <f>CONCATENATE(dgn_calculation!G14," GLASS BOTTLES BY 200ML")</f>
        <v>#REF!</v>
      </c>
      <c r="C38" s="107"/>
      <c r="D38" s="107"/>
      <c r="E38" s="107"/>
      <c r="F38" s="108"/>
      <c r="G38" s="219" t="e">
        <f>dgn_calculation!H14</f>
        <v>#REF!</v>
      </c>
      <c r="H38" s="219" t="e">
        <f>dgn_calculation!I14</f>
        <v>#REF!</v>
      </c>
      <c r="I38" s="220" t="e">
        <f>dgn_calculation!J14</f>
        <v>#REF!</v>
      </c>
      <c r="J38" s="546"/>
      <c r="K38" s="82"/>
    </row>
    <row r="39" spans="1:11" ht="15.5">
      <c r="A39" s="528"/>
      <c r="B39" s="218"/>
      <c r="C39" s="112"/>
      <c r="D39" s="112"/>
      <c r="E39" s="112"/>
      <c r="F39" s="113"/>
      <c r="G39" s="219"/>
      <c r="H39" s="219"/>
      <c r="I39" s="220"/>
      <c r="J39" s="546"/>
      <c r="K39" s="82"/>
    </row>
    <row r="40" spans="1:11" ht="15.5">
      <c r="A40" s="528"/>
      <c r="B40" s="217" t="s">
        <v>140</v>
      </c>
      <c r="C40" s="107"/>
      <c r="D40" s="107"/>
      <c r="E40" s="107"/>
      <c r="F40" s="108"/>
      <c r="G40" s="219"/>
      <c r="H40" s="219"/>
      <c r="I40" s="220"/>
      <c r="J40" s="546"/>
      <c r="K40" s="82"/>
    </row>
    <row r="41" spans="1:11" ht="15.5">
      <c r="A41" s="528"/>
      <c r="B41" s="217" t="s">
        <v>106</v>
      </c>
      <c r="C41" s="107"/>
      <c r="D41" s="107"/>
      <c r="E41" s="107"/>
      <c r="F41" s="108"/>
      <c r="G41" s="219"/>
      <c r="H41" s="219"/>
      <c r="I41" s="220"/>
      <c r="J41" s="546"/>
      <c r="K41" s="82"/>
    </row>
    <row r="42" spans="1:11" ht="15.5">
      <c r="A42" s="528"/>
      <c r="B42" s="217" t="e">
        <f>CONCATENATE(dgn_calculation!M6," FIBREBOARD BOXES")</f>
        <v>#REF!</v>
      </c>
      <c r="C42" s="107"/>
      <c r="D42" s="107"/>
      <c r="E42" s="107"/>
      <c r="F42" s="108"/>
      <c r="G42" s="219"/>
      <c r="H42" s="219"/>
      <c r="I42" s="220"/>
      <c r="J42" s="546"/>
      <c r="K42" s="82"/>
    </row>
    <row r="43" spans="1:11" ht="15.5">
      <c r="A43" s="528"/>
      <c r="B43" s="217" t="e">
        <f>CONCATENATE(dgn_calculation!K12," GLASS BOTTLES BY 150ML")</f>
        <v>#REF!</v>
      </c>
      <c r="C43" s="107"/>
      <c r="D43" s="107"/>
      <c r="E43" s="107"/>
      <c r="F43" s="108"/>
      <c r="G43" s="219" t="e">
        <f>dgn_calculation!L12</f>
        <v>#REF!</v>
      </c>
      <c r="H43" s="219" t="e">
        <f>dgn_calculation!M12</f>
        <v>#REF!</v>
      </c>
      <c r="I43" s="220" t="e">
        <f>dgn_calculation!N12</f>
        <v>#REF!</v>
      </c>
      <c r="J43" s="546"/>
      <c r="K43" s="82"/>
    </row>
    <row r="44" spans="1:11" ht="15.5">
      <c r="A44" s="528"/>
      <c r="B44" s="217" t="e">
        <f>CONCATENATE(dgn_calculation!K13," GLASS BOTTLES BY 175ML")</f>
        <v>#REF!</v>
      </c>
      <c r="C44" s="107"/>
      <c r="D44" s="107"/>
      <c r="E44" s="107"/>
      <c r="F44" s="108"/>
      <c r="G44" s="219" t="e">
        <f>dgn_calculation!L13</f>
        <v>#REF!</v>
      </c>
      <c r="H44" s="219" t="e">
        <f>dgn_calculation!M13</f>
        <v>#REF!</v>
      </c>
      <c r="I44" s="220" t="e">
        <f>dgn_calculation!N13</f>
        <v>#REF!</v>
      </c>
      <c r="J44" s="546"/>
      <c r="K44" s="82"/>
    </row>
    <row r="45" spans="1:11" ht="15.5">
      <c r="A45" s="528"/>
      <c r="B45" s="217" t="e">
        <f>CONCATENATE(dgn_calculation!K15," GLASS BOTTLES BY 250ML")</f>
        <v>#REF!</v>
      </c>
      <c r="C45" s="107"/>
      <c r="D45" s="107"/>
      <c r="E45" s="107"/>
      <c r="F45" s="108"/>
      <c r="G45" s="219" t="e">
        <f>dgn_calculation!L15</f>
        <v>#REF!</v>
      </c>
      <c r="H45" s="219" t="e">
        <f>dgn_calculation!M15</f>
        <v>#REF!</v>
      </c>
      <c r="I45" s="220" t="e">
        <f>dgn_calculation!N15</f>
        <v>#REF!</v>
      </c>
      <c r="J45" s="546"/>
      <c r="K45" s="82"/>
    </row>
    <row r="46" spans="1:11" ht="15.5">
      <c r="A46" s="528"/>
      <c r="B46" s="217" t="e">
        <f>CONCATENATE(dgn_calculation!K16," GLASS BOTTLES BY 300ML")</f>
        <v>#REF!</v>
      </c>
      <c r="C46" s="112"/>
      <c r="D46" s="112"/>
      <c r="E46" s="112"/>
      <c r="F46" s="113"/>
      <c r="G46" s="219" t="e">
        <f>dgn_calculation!L16</f>
        <v>#REF!</v>
      </c>
      <c r="H46" s="219" t="e">
        <f>dgn_calculation!M16</f>
        <v>#REF!</v>
      </c>
      <c r="I46" s="220" t="e">
        <f>dgn_calculation!N16</f>
        <v>#REF!</v>
      </c>
      <c r="J46" s="546"/>
      <c r="K46" s="82"/>
    </row>
    <row r="47" spans="1:11" ht="15.5">
      <c r="A47" s="528"/>
      <c r="B47" s="218"/>
      <c r="C47" s="112"/>
      <c r="D47" s="112"/>
      <c r="E47" s="112"/>
      <c r="F47" s="113"/>
      <c r="G47" s="109"/>
      <c r="H47" s="109"/>
      <c r="I47" s="110"/>
      <c r="J47" s="546"/>
      <c r="K47" s="82"/>
    </row>
    <row r="48" spans="1:11" ht="15.5">
      <c r="A48" s="528"/>
      <c r="B48" s="218"/>
      <c r="C48" s="112"/>
      <c r="D48" s="112"/>
      <c r="E48" s="112"/>
      <c r="F48" s="113"/>
      <c r="G48" s="109"/>
      <c r="H48" s="109"/>
      <c r="I48" s="110"/>
      <c r="J48" s="546"/>
      <c r="K48" s="82"/>
    </row>
    <row r="49" spans="1:11" ht="15.5">
      <c r="A49" s="528"/>
      <c r="B49" s="218" t="s">
        <v>107</v>
      </c>
      <c r="C49" s="112"/>
      <c r="D49" s="112"/>
      <c r="E49" s="112"/>
      <c r="F49" s="113"/>
      <c r="G49" s="109"/>
      <c r="H49" s="109"/>
      <c r="I49" s="110"/>
      <c r="J49" s="546"/>
      <c r="K49" s="82"/>
    </row>
    <row r="50" spans="1:11" ht="15.5">
      <c r="A50" s="528"/>
      <c r="B50" s="111"/>
      <c r="C50" s="112"/>
      <c r="D50" s="112"/>
      <c r="E50" s="112"/>
      <c r="F50" s="113"/>
      <c r="G50" s="109"/>
      <c r="H50" s="109"/>
      <c r="I50" s="110"/>
      <c r="J50" s="546"/>
      <c r="K50" s="82"/>
    </row>
    <row r="51" spans="1:11" ht="15.5">
      <c r="A51" s="528"/>
      <c r="B51" s="111"/>
      <c r="C51" s="112"/>
      <c r="D51" s="112"/>
      <c r="E51" s="112"/>
      <c r="F51" s="113"/>
      <c r="G51" s="109"/>
      <c r="H51" s="109"/>
      <c r="I51" s="110"/>
      <c r="J51" s="546"/>
      <c r="K51" s="82"/>
    </row>
    <row r="52" spans="1:11" ht="15.5">
      <c r="A52" s="528"/>
      <c r="B52" s="106"/>
      <c r="C52" s="107"/>
      <c r="D52" s="107"/>
      <c r="E52" s="107"/>
      <c r="F52" s="108"/>
      <c r="G52" s="109"/>
      <c r="H52" s="109"/>
      <c r="I52" s="110"/>
      <c r="J52" s="546"/>
      <c r="K52" s="82"/>
    </row>
    <row r="53" spans="1:11" ht="15.5">
      <c r="A53" s="528"/>
      <c r="B53" s="106"/>
      <c r="C53" s="107"/>
      <c r="D53" s="107"/>
      <c r="E53" s="107"/>
      <c r="F53" s="108"/>
      <c r="G53" s="109"/>
      <c r="H53" s="114"/>
      <c r="I53" s="110"/>
      <c r="J53" s="546"/>
      <c r="K53" s="82"/>
    </row>
    <row r="54" spans="1:11">
      <c r="A54" s="528"/>
      <c r="B54" s="115"/>
      <c r="C54" s="116"/>
      <c r="D54" s="116"/>
      <c r="E54" s="116"/>
      <c r="F54" s="117"/>
      <c r="G54" s="118"/>
      <c r="H54" s="94" t="s">
        <v>108</v>
      </c>
      <c r="I54" s="94" t="s">
        <v>109</v>
      </c>
      <c r="J54" s="546"/>
      <c r="K54" s="82"/>
    </row>
    <row r="55" spans="1:11" ht="15.5">
      <c r="A55" s="528"/>
      <c r="B55" s="119"/>
      <c r="C55" s="120"/>
      <c r="D55" s="120"/>
      <c r="E55" s="120"/>
      <c r="F55" s="121"/>
      <c r="G55" s="122"/>
      <c r="H55" s="222" t="e">
        <f>SUM(H28:H52)</f>
        <v>#REF!</v>
      </c>
      <c r="I55" s="221" t="e">
        <f>SUM(I29:I54)</f>
        <v>#REF!</v>
      </c>
      <c r="J55" s="546"/>
      <c r="K55" s="82"/>
    </row>
    <row r="56" spans="1:11">
      <c r="A56" s="528"/>
      <c r="B56" s="94" t="s">
        <v>110</v>
      </c>
      <c r="C56" s="477" t="s">
        <v>111</v>
      </c>
      <c r="D56" s="478"/>
      <c r="E56" s="477" t="s">
        <v>112</v>
      </c>
      <c r="F56" s="479"/>
      <c r="G56" s="478"/>
      <c r="H56" s="89" t="s">
        <v>113</v>
      </c>
      <c r="I56" s="94" t="s">
        <v>114</v>
      </c>
      <c r="J56" s="546"/>
      <c r="K56" s="82"/>
    </row>
    <row r="57" spans="1:11">
      <c r="A57" s="528"/>
      <c r="B57" s="123" t="s">
        <v>115</v>
      </c>
      <c r="C57" s="495"/>
      <c r="D57" s="496"/>
      <c r="E57" s="495"/>
      <c r="F57" s="497"/>
      <c r="G57" s="496"/>
      <c r="H57" s="124"/>
      <c r="I57" s="125" t="s">
        <v>116</v>
      </c>
      <c r="J57" s="546"/>
      <c r="K57" s="82"/>
    </row>
    <row r="58" spans="1:11" ht="15.5">
      <c r="A58" s="528"/>
      <c r="B58" s="126"/>
      <c r="C58" s="535"/>
      <c r="D58" s="536"/>
      <c r="E58" s="537"/>
      <c r="F58" s="538"/>
      <c r="G58" s="539"/>
      <c r="H58" s="124"/>
      <c r="I58" s="124"/>
      <c r="J58" s="546"/>
      <c r="K58" s="82"/>
    </row>
    <row r="59" spans="1:11" ht="12" customHeight="1">
      <c r="A59" s="528"/>
      <c r="B59" s="127"/>
      <c r="C59" s="499"/>
      <c r="D59" s="500"/>
      <c r="E59" s="499"/>
      <c r="F59" s="501"/>
      <c r="G59" s="500"/>
      <c r="H59" s="128"/>
      <c r="I59" s="128"/>
      <c r="J59" s="546"/>
      <c r="K59" s="82"/>
    </row>
    <row r="60" spans="1:11" ht="13.5" customHeight="1">
      <c r="A60" s="129"/>
      <c r="B60" s="502" t="s">
        <v>117</v>
      </c>
      <c r="C60" s="503"/>
      <c r="D60" s="504" t="s">
        <v>118</v>
      </c>
      <c r="E60" s="505"/>
      <c r="F60" s="505"/>
      <c r="G60" s="505"/>
      <c r="H60" s="505"/>
      <c r="I60" s="506"/>
      <c r="J60" s="547"/>
      <c r="K60" s="82"/>
    </row>
    <row r="61" spans="1:11" ht="25.5" customHeight="1">
      <c r="A61" s="81"/>
      <c r="B61" s="507" t="s">
        <v>119</v>
      </c>
      <c r="C61" s="508"/>
      <c r="D61" s="507" t="s">
        <v>120</v>
      </c>
      <c r="E61" s="509"/>
      <c r="F61" s="509"/>
      <c r="G61" s="509"/>
      <c r="H61" s="509"/>
      <c r="I61" s="508"/>
      <c r="J61" s="547"/>
      <c r="K61" s="82"/>
    </row>
    <row r="62" spans="1:11" ht="34.5" customHeight="1">
      <c r="A62" s="81"/>
      <c r="B62" s="510" t="s">
        <v>121</v>
      </c>
      <c r="C62" s="511"/>
      <c r="D62" s="512"/>
      <c r="E62" s="513"/>
      <c r="F62" s="513"/>
      <c r="G62" s="513"/>
      <c r="H62" s="513"/>
      <c r="I62" s="514"/>
      <c r="J62" s="547"/>
      <c r="K62" s="82"/>
    </row>
    <row r="63" spans="1:11">
      <c r="A63" s="81"/>
      <c r="B63" s="477" t="s">
        <v>122</v>
      </c>
      <c r="C63" s="478"/>
      <c r="D63" s="477" t="s">
        <v>123</v>
      </c>
      <c r="E63" s="479"/>
      <c r="F63" s="478"/>
      <c r="G63" s="477" t="s">
        <v>124</v>
      </c>
      <c r="H63" s="479"/>
      <c r="I63" s="478"/>
      <c r="J63" s="548"/>
      <c r="K63" s="82"/>
    </row>
    <row r="64" spans="1:11" ht="15.5">
      <c r="A64" s="81"/>
      <c r="B64" s="486" t="s">
        <v>73</v>
      </c>
      <c r="C64" s="487"/>
      <c r="D64" s="498"/>
      <c r="E64" s="489"/>
      <c r="F64" s="490"/>
      <c r="G64" s="486" t="s">
        <v>125</v>
      </c>
      <c r="H64" s="491"/>
      <c r="I64" s="487"/>
      <c r="J64" s="548"/>
      <c r="K64" s="82"/>
    </row>
    <row r="65" spans="1:11">
      <c r="A65" s="81"/>
      <c r="B65" s="477" t="s">
        <v>126</v>
      </c>
      <c r="C65" s="478"/>
      <c r="D65" s="477" t="s">
        <v>127</v>
      </c>
      <c r="E65" s="479"/>
      <c r="F65" s="478"/>
      <c r="G65" s="477" t="s">
        <v>126</v>
      </c>
      <c r="H65" s="479"/>
      <c r="I65" s="478"/>
      <c r="J65" s="548"/>
      <c r="K65" s="82"/>
    </row>
    <row r="66" spans="1:11" ht="15.5">
      <c r="A66" s="81"/>
      <c r="B66" s="486" t="s">
        <v>128</v>
      </c>
      <c r="C66" s="487"/>
      <c r="D66" s="492"/>
      <c r="E66" s="493"/>
      <c r="F66" s="494"/>
      <c r="G66" s="486" t="s">
        <v>128</v>
      </c>
      <c r="H66" s="491"/>
      <c r="I66" s="487"/>
      <c r="J66" s="548"/>
      <c r="K66" s="82"/>
    </row>
    <row r="67" spans="1:11">
      <c r="A67" s="81"/>
      <c r="B67" s="477" t="s">
        <v>129</v>
      </c>
      <c r="C67" s="478"/>
      <c r="D67" s="477" t="s">
        <v>130</v>
      </c>
      <c r="E67" s="479"/>
      <c r="F67" s="478"/>
      <c r="G67" s="477" t="s">
        <v>129</v>
      </c>
      <c r="H67" s="479"/>
      <c r="I67" s="478"/>
      <c r="J67" s="548"/>
      <c r="K67" s="82"/>
    </row>
    <row r="68" spans="1:11" ht="15.5">
      <c r="A68" s="81"/>
      <c r="B68" s="486" t="s">
        <v>299</v>
      </c>
      <c r="C68" s="487"/>
      <c r="D68" s="488"/>
      <c r="E68" s="489"/>
      <c r="F68" s="490"/>
      <c r="G68" s="486" t="s">
        <v>299</v>
      </c>
      <c r="H68" s="491"/>
      <c r="I68" s="487"/>
      <c r="J68" s="548"/>
      <c r="K68" s="82"/>
    </row>
    <row r="69" spans="1:11">
      <c r="A69" s="81"/>
      <c r="B69" s="477" t="s">
        <v>131</v>
      </c>
      <c r="C69" s="478"/>
      <c r="D69" s="477" t="s">
        <v>132</v>
      </c>
      <c r="E69" s="479"/>
      <c r="F69" s="478"/>
      <c r="G69" s="477" t="s">
        <v>131</v>
      </c>
      <c r="H69" s="479"/>
      <c r="I69" s="478"/>
      <c r="J69" s="548"/>
    </row>
    <row r="70" spans="1:11" ht="20.5">
      <c r="A70" s="81"/>
      <c r="B70" s="480"/>
      <c r="C70" s="481"/>
      <c r="D70" s="480"/>
      <c r="E70" s="482"/>
      <c r="F70" s="481"/>
      <c r="G70" s="483"/>
      <c r="H70" s="484"/>
      <c r="I70" s="485"/>
      <c r="J70" s="548"/>
    </row>
    <row r="71" spans="1:11" ht="20.5">
      <c r="A71" s="81"/>
      <c r="B71" s="471"/>
      <c r="C71" s="472"/>
      <c r="D71" s="471"/>
      <c r="E71" s="473"/>
      <c r="F71" s="472"/>
      <c r="G71" s="474"/>
      <c r="H71" s="475"/>
      <c r="I71" s="476"/>
      <c r="J71" s="548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8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0"/>
  <dimension ref="A1:L33"/>
  <sheetViews>
    <sheetView workbookViewId="0">
      <pane ySplit="1" topLeftCell="A2" activePane="bottomLeft" state="frozen"/>
      <selection activeCell="K6" sqref="K6"/>
      <selection pane="bottomLeft" activeCell="B20" sqref="B20:K21"/>
    </sheetView>
  </sheetViews>
  <sheetFormatPr defaultRowHeight="14.5"/>
  <cols>
    <col min="1" max="2" width="11.54296875" style="18" customWidth="1"/>
    <col min="3" max="3" width="50" style="188" bestFit="1" customWidth="1"/>
    <col min="4" max="4" width="11.54296875" style="18" customWidth="1"/>
    <col min="5" max="7" width="11.54296875" style="131" customWidth="1"/>
    <col min="8" max="9" width="14.7265625" style="131" customWidth="1"/>
    <col min="10" max="10" width="11.54296875" style="131" customWidth="1"/>
    <col min="11" max="11" width="12.1796875" customWidth="1"/>
    <col min="12" max="12" width="11.54296875" style="1" customWidth="1"/>
  </cols>
  <sheetData>
    <row r="1" spans="1:12" s="173" customFormat="1" ht="42" customHeight="1">
      <c r="A1" s="174" t="s">
        <v>387</v>
      </c>
      <c r="B1" s="174" t="s">
        <v>148</v>
      </c>
      <c r="C1" s="353" t="s">
        <v>151</v>
      </c>
      <c r="D1" s="174" t="s">
        <v>402</v>
      </c>
      <c r="E1" s="176" t="s">
        <v>404</v>
      </c>
      <c r="F1" s="176" t="s">
        <v>403</v>
      </c>
      <c r="G1" s="176" t="s">
        <v>426</v>
      </c>
      <c r="H1" s="176" t="s">
        <v>507</v>
      </c>
      <c r="I1" s="176" t="s">
        <v>424</v>
      </c>
      <c r="J1" s="176" t="s">
        <v>508</v>
      </c>
      <c r="K1" s="176" t="s">
        <v>509</v>
      </c>
    </row>
    <row r="2" spans="1:12">
      <c r="A2" s="1">
        <v>20240001</v>
      </c>
      <c r="B2" s="18" t="s">
        <v>31</v>
      </c>
      <c r="C2" s="354" t="s">
        <v>216</v>
      </c>
      <c r="D2" s="18">
        <v>100</v>
      </c>
      <c r="E2" s="131">
        <v>4</v>
      </c>
      <c r="F2" s="131">
        <v>5</v>
      </c>
      <c r="G2" s="131">
        <v>0</v>
      </c>
      <c r="I2" s="8">
        <v>20</v>
      </c>
      <c r="J2" s="131">
        <v>480</v>
      </c>
      <c r="K2" s="131">
        <v>500</v>
      </c>
      <c r="L2"/>
    </row>
    <row r="3" spans="1:12">
      <c r="A3" s="1">
        <v>20240001</v>
      </c>
      <c r="B3" s="18" t="s">
        <v>31</v>
      </c>
      <c r="C3" s="354" t="s">
        <v>216</v>
      </c>
      <c r="D3" s="18">
        <v>10</v>
      </c>
      <c r="E3" s="131">
        <v>4</v>
      </c>
      <c r="F3" s="131">
        <v>0</v>
      </c>
      <c r="G3" s="131">
        <v>0</v>
      </c>
      <c r="I3" s="8">
        <v>2</v>
      </c>
      <c r="J3" s="131">
        <v>48</v>
      </c>
      <c r="K3" s="131">
        <v>0</v>
      </c>
      <c r="L3"/>
    </row>
    <row r="4" spans="1:12">
      <c r="A4" s="1">
        <v>20240001</v>
      </c>
      <c r="B4" s="18" t="s">
        <v>30</v>
      </c>
      <c r="C4" s="354" t="s">
        <v>215</v>
      </c>
      <c r="D4" s="18">
        <v>100</v>
      </c>
      <c r="E4" s="131">
        <v>4</v>
      </c>
      <c r="F4" s="131">
        <v>5</v>
      </c>
      <c r="G4" s="131">
        <v>0</v>
      </c>
      <c r="I4" s="8">
        <v>20</v>
      </c>
      <c r="J4" s="131">
        <v>480</v>
      </c>
      <c r="K4" s="131">
        <v>500</v>
      </c>
      <c r="L4"/>
    </row>
    <row r="5" spans="1:12">
      <c r="A5" s="1">
        <v>20240001</v>
      </c>
      <c r="B5" s="18" t="s">
        <v>30</v>
      </c>
      <c r="C5" s="354" t="s">
        <v>215</v>
      </c>
      <c r="D5" s="18">
        <v>10</v>
      </c>
      <c r="E5" s="131">
        <v>4</v>
      </c>
      <c r="F5" s="131">
        <v>0</v>
      </c>
      <c r="G5" s="131">
        <v>0</v>
      </c>
      <c r="I5" s="8">
        <v>2</v>
      </c>
      <c r="J5" s="131">
        <v>48</v>
      </c>
      <c r="K5" s="131">
        <v>0</v>
      </c>
      <c r="L5"/>
    </row>
    <row r="6" spans="1:12">
      <c r="A6" s="1">
        <v>20240001</v>
      </c>
      <c r="B6" s="18" t="s">
        <v>29</v>
      </c>
      <c r="C6" s="354" t="s">
        <v>214</v>
      </c>
      <c r="D6" s="18">
        <v>100</v>
      </c>
      <c r="E6" s="131">
        <v>4</v>
      </c>
      <c r="F6" s="131">
        <v>5</v>
      </c>
      <c r="G6" s="131">
        <v>0</v>
      </c>
      <c r="I6" s="8">
        <v>20</v>
      </c>
      <c r="J6" s="131">
        <v>480</v>
      </c>
      <c r="K6" s="131">
        <v>500</v>
      </c>
      <c r="L6"/>
    </row>
    <row r="7" spans="1:12">
      <c r="A7" s="1">
        <v>20240001</v>
      </c>
      <c r="B7" s="18" t="s">
        <v>29</v>
      </c>
      <c r="C7" s="354" t="s">
        <v>214</v>
      </c>
      <c r="D7" s="18">
        <v>10</v>
      </c>
      <c r="E7" s="131">
        <v>4</v>
      </c>
      <c r="F7" s="131">
        <v>0</v>
      </c>
      <c r="G7" s="131">
        <v>0</v>
      </c>
      <c r="I7" s="8">
        <v>2</v>
      </c>
      <c r="J7" s="131">
        <v>48</v>
      </c>
      <c r="K7" s="131">
        <v>0</v>
      </c>
      <c r="L7"/>
    </row>
    <row r="8" spans="1:12">
      <c r="A8" s="1">
        <v>20240001</v>
      </c>
      <c r="B8" s="18" t="s">
        <v>28</v>
      </c>
      <c r="C8" s="354" t="s">
        <v>213</v>
      </c>
      <c r="D8" s="18">
        <v>100</v>
      </c>
      <c r="E8" s="131">
        <v>4</v>
      </c>
      <c r="F8" s="131">
        <v>5</v>
      </c>
      <c r="G8" s="131">
        <v>0</v>
      </c>
      <c r="I8" s="8">
        <v>20</v>
      </c>
      <c r="J8" s="131">
        <v>480</v>
      </c>
      <c r="K8" s="131">
        <v>500</v>
      </c>
      <c r="L8"/>
    </row>
    <row r="9" spans="1:12">
      <c r="A9" s="1">
        <v>20240001</v>
      </c>
      <c r="B9" s="18" t="s">
        <v>28</v>
      </c>
      <c r="C9" s="354" t="s">
        <v>213</v>
      </c>
      <c r="D9" s="18">
        <v>10</v>
      </c>
      <c r="E9" s="131">
        <v>4</v>
      </c>
      <c r="F9" s="131">
        <v>0</v>
      </c>
      <c r="G9" s="131">
        <v>0</v>
      </c>
      <c r="I9" s="8">
        <v>2</v>
      </c>
      <c r="J9" s="131">
        <v>48</v>
      </c>
      <c r="K9" s="131">
        <v>0</v>
      </c>
      <c r="L9"/>
    </row>
    <row r="10" spans="1:12">
      <c r="A10" s="1">
        <v>20240003</v>
      </c>
      <c r="B10" s="18" t="s">
        <v>26</v>
      </c>
      <c r="C10" s="354" t="s">
        <v>211</v>
      </c>
      <c r="D10" s="18">
        <v>30</v>
      </c>
      <c r="E10" s="131">
        <v>4</v>
      </c>
      <c r="F10" s="131">
        <v>4.76</v>
      </c>
      <c r="G10" s="131">
        <v>0</v>
      </c>
      <c r="I10" s="8">
        <v>3</v>
      </c>
      <c r="J10" s="131">
        <v>132</v>
      </c>
      <c r="K10" s="131">
        <v>142.79999999999998</v>
      </c>
      <c r="L10"/>
    </row>
    <row r="11" spans="1:12">
      <c r="A11" s="1">
        <v>20240003</v>
      </c>
      <c r="B11" s="18" t="s">
        <v>26</v>
      </c>
      <c r="C11" s="354" t="s">
        <v>211</v>
      </c>
      <c r="D11" s="18">
        <v>5</v>
      </c>
      <c r="E11" s="131">
        <v>4</v>
      </c>
      <c r="F11" s="131">
        <v>0</v>
      </c>
      <c r="G11" s="131">
        <v>0</v>
      </c>
      <c r="I11" s="8">
        <v>0</v>
      </c>
      <c r="J11" s="131">
        <v>20</v>
      </c>
      <c r="K11" s="131">
        <v>0</v>
      </c>
      <c r="L11"/>
    </row>
    <row r="12" spans="1:12">
      <c r="A12" s="1">
        <v>20240003</v>
      </c>
      <c r="B12" s="18" t="s">
        <v>25</v>
      </c>
      <c r="C12" s="354" t="s">
        <v>210</v>
      </c>
      <c r="D12" s="18">
        <v>40</v>
      </c>
      <c r="E12" s="131">
        <v>4</v>
      </c>
      <c r="F12" s="131">
        <v>4.76</v>
      </c>
      <c r="G12" s="131">
        <v>0</v>
      </c>
      <c r="I12" s="8">
        <v>4</v>
      </c>
      <c r="J12" s="131">
        <v>176</v>
      </c>
      <c r="K12" s="131">
        <v>190.39999999999998</v>
      </c>
      <c r="L12"/>
    </row>
    <row r="13" spans="1:12">
      <c r="A13" s="1">
        <v>20240003</v>
      </c>
      <c r="B13" s="18" t="s">
        <v>25</v>
      </c>
      <c r="C13" s="354" t="s">
        <v>210</v>
      </c>
      <c r="D13" s="18">
        <v>7</v>
      </c>
      <c r="E13" s="131">
        <v>4</v>
      </c>
      <c r="F13" s="131">
        <v>0</v>
      </c>
      <c r="G13" s="131">
        <v>0</v>
      </c>
      <c r="I13" s="8">
        <v>1</v>
      </c>
      <c r="J13" s="131">
        <v>32</v>
      </c>
      <c r="K13" s="131">
        <v>0</v>
      </c>
      <c r="L13"/>
    </row>
    <row r="14" spans="1:12">
      <c r="A14" s="1">
        <v>20240003</v>
      </c>
      <c r="B14" s="18" t="s">
        <v>24</v>
      </c>
      <c r="C14" s="354" t="s">
        <v>209</v>
      </c>
      <c r="D14" s="18">
        <v>50</v>
      </c>
      <c r="E14" s="131">
        <v>4</v>
      </c>
      <c r="F14" s="131">
        <v>4.76</v>
      </c>
      <c r="G14" s="131">
        <v>0</v>
      </c>
      <c r="I14" s="8">
        <v>5</v>
      </c>
      <c r="J14" s="131">
        <v>220</v>
      </c>
      <c r="K14" s="131">
        <v>238</v>
      </c>
      <c r="L14"/>
    </row>
    <row r="15" spans="1:12">
      <c r="A15" s="1">
        <v>20240003</v>
      </c>
      <c r="B15" s="18" t="s">
        <v>24</v>
      </c>
      <c r="C15" s="354" t="s">
        <v>209</v>
      </c>
      <c r="D15" s="18">
        <v>8</v>
      </c>
      <c r="E15" s="131">
        <v>4</v>
      </c>
      <c r="F15" s="131">
        <v>0</v>
      </c>
      <c r="G15" s="131">
        <v>0</v>
      </c>
      <c r="I15" s="8">
        <v>1</v>
      </c>
      <c r="J15" s="131">
        <v>36</v>
      </c>
      <c r="K15" s="131">
        <v>0</v>
      </c>
      <c r="L15"/>
    </row>
    <row r="16" spans="1:12">
      <c r="A16" s="1">
        <v>20240003</v>
      </c>
      <c r="B16" s="18" t="s">
        <v>7</v>
      </c>
      <c r="C16" s="354" t="s">
        <v>204</v>
      </c>
      <c r="D16" s="18">
        <v>40</v>
      </c>
      <c r="E16" s="131">
        <v>4</v>
      </c>
      <c r="F16" s="131">
        <v>4.76</v>
      </c>
      <c r="G16" s="131">
        <v>0</v>
      </c>
      <c r="I16" s="8">
        <v>4</v>
      </c>
      <c r="J16" s="131">
        <v>176</v>
      </c>
      <c r="K16" s="131">
        <v>190.39999999999998</v>
      </c>
      <c r="L16"/>
    </row>
    <row r="17" spans="1:12">
      <c r="A17" s="1">
        <v>20240003</v>
      </c>
      <c r="B17" s="18" t="s">
        <v>7</v>
      </c>
      <c r="C17" s="354" t="s">
        <v>204</v>
      </c>
      <c r="D17" s="18">
        <v>7</v>
      </c>
      <c r="E17" s="131">
        <v>4</v>
      </c>
      <c r="F17" s="131">
        <v>0</v>
      </c>
      <c r="G17" s="131">
        <v>0</v>
      </c>
      <c r="I17" s="8">
        <v>1</v>
      </c>
      <c r="J17" s="131">
        <v>32</v>
      </c>
      <c r="K17" s="131">
        <v>0</v>
      </c>
      <c r="L17"/>
    </row>
    <row r="18" spans="1:12">
      <c r="A18" s="1">
        <v>20240003</v>
      </c>
      <c r="B18" s="18" t="s">
        <v>6</v>
      </c>
      <c r="C18" s="354" t="s">
        <v>203</v>
      </c>
      <c r="D18" s="18">
        <v>40</v>
      </c>
      <c r="E18" s="131">
        <v>4</v>
      </c>
      <c r="F18" s="131">
        <v>4.76</v>
      </c>
      <c r="G18" s="131">
        <v>0</v>
      </c>
      <c r="I18" s="8">
        <v>4</v>
      </c>
      <c r="J18" s="131">
        <v>176</v>
      </c>
      <c r="K18" s="131">
        <v>190.39999999999998</v>
      </c>
      <c r="L18"/>
    </row>
    <row r="19" spans="1:12">
      <c r="A19" s="1">
        <v>20240003</v>
      </c>
      <c r="B19" s="18" t="s">
        <v>6</v>
      </c>
      <c r="C19" s="354" t="s">
        <v>203</v>
      </c>
      <c r="D19" s="18">
        <v>7</v>
      </c>
      <c r="E19" s="131">
        <v>4</v>
      </c>
      <c r="F19" s="131">
        <v>0</v>
      </c>
      <c r="G19" s="131">
        <v>0</v>
      </c>
      <c r="I19" s="8">
        <v>1</v>
      </c>
      <c r="J19" s="131">
        <v>32</v>
      </c>
      <c r="K19" s="131">
        <v>0</v>
      </c>
      <c r="L19"/>
    </row>
    <row r="20" spans="1:12">
      <c r="A20" s="1">
        <v>20240003</v>
      </c>
      <c r="B20" s="18" t="s">
        <v>5</v>
      </c>
      <c r="C20" s="354" t="s">
        <v>202</v>
      </c>
      <c r="D20" s="18">
        <v>20</v>
      </c>
      <c r="E20" s="131">
        <v>4</v>
      </c>
      <c r="F20" s="131">
        <v>4.76</v>
      </c>
      <c r="G20" s="131">
        <v>0</v>
      </c>
      <c r="I20" s="8">
        <v>2</v>
      </c>
      <c r="J20" s="131">
        <v>88</v>
      </c>
      <c r="K20" s="131">
        <v>95.199999999999989</v>
      </c>
      <c r="L20"/>
    </row>
    <row r="21" spans="1:12">
      <c r="A21" s="1">
        <v>20240003</v>
      </c>
      <c r="B21" s="18" t="s">
        <v>5</v>
      </c>
      <c r="C21" s="354" t="s">
        <v>202</v>
      </c>
      <c r="D21" s="18">
        <v>3</v>
      </c>
      <c r="E21" s="131">
        <v>4</v>
      </c>
      <c r="F21" s="131">
        <v>0</v>
      </c>
      <c r="G21" s="131">
        <v>0</v>
      </c>
      <c r="I21" s="8">
        <v>0</v>
      </c>
      <c r="J21" s="131">
        <v>12</v>
      </c>
      <c r="K21" s="131">
        <v>0</v>
      </c>
      <c r="L21"/>
    </row>
    <row r="22" spans="1:12">
      <c r="A22" s="1">
        <v>20240003</v>
      </c>
      <c r="B22" s="18" t="s">
        <v>4</v>
      </c>
      <c r="C22" s="354" t="s">
        <v>201</v>
      </c>
      <c r="D22" s="18">
        <v>60</v>
      </c>
      <c r="E22" s="131">
        <v>4</v>
      </c>
      <c r="F22" s="131">
        <v>4.76</v>
      </c>
      <c r="G22" s="131">
        <v>0</v>
      </c>
      <c r="I22" s="8">
        <v>5</v>
      </c>
      <c r="J22" s="131">
        <v>260</v>
      </c>
      <c r="K22" s="131">
        <v>285.59999999999997</v>
      </c>
      <c r="L22"/>
    </row>
    <row r="23" spans="1:12">
      <c r="A23" s="1">
        <v>20240003</v>
      </c>
      <c r="B23" s="18" t="s">
        <v>4</v>
      </c>
      <c r="C23" s="354" t="s">
        <v>201</v>
      </c>
      <c r="D23" s="18">
        <v>10</v>
      </c>
      <c r="E23" s="131">
        <v>4</v>
      </c>
      <c r="F23" s="131">
        <v>0</v>
      </c>
      <c r="G23" s="131">
        <v>0</v>
      </c>
      <c r="I23" s="8">
        <v>2</v>
      </c>
      <c r="J23" s="131">
        <v>48</v>
      </c>
      <c r="K23" s="131">
        <v>0</v>
      </c>
      <c r="L23"/>
    </row>
    <row r="24" spans="1:12">
      <c r="A24" s="1">
        <v>20240001</v>
      </c>
      <c r="B24" s="18" t="s">
        <v>146</v>
      </c>
      <c r="C24" s="354" t="s">
        <v>147</v>
      </c>
      <c r="D24" s="18">
        <v>100</v>
      </c>
      <c r="E24" s="131">
        <v>8</v>
      </c>
      <c r="F24" s="131">
        <v>15</v>
      </c>
      <c r="G24" s="131">
        <v>0</v>
      </c>
      <c r="I24" s="8"/>
      <c r="J24" s="131">
        <v>800</v>
      </c>
      <c r="K24" s="131">
        <v>1500</v>
      </c>
      <c r="L24"/>
    </row>
    <row r="25" spans="1:12">
      <c r="A25" s="1">
        <v>20240003</v>
      </c>
      <c r="B25" s="18" t="s">
        <v>56</v>
      </c>
      <c r="C25" s="354" t="s">
        <v>189</v>
      </c>
      <c r="D25" s="18">
        <v>40</v>
      </c>
      <c r="E25" s="131">
        <v>4.5</v>
      </c>
      <c r="F25" s="131">
        <v>5.6</v>
      </c>
      <c r="G25" s="131">
        <v>0</v>
      </c>
      <c r="I25" s="8"/>
      <c r="J25" s="131">
        <v>180</v>
      </c>
      <c r="K25" s="131">
        <v>224</v>
      </c>
      <c r="L25"/>
    </row>
    <row r="26" spans="1:12">
      <c r="A26" s="1">
        <v>20240001</v>
      </c>
      <c r="B26" s="18" t="s">
        <v>47</v>
      </c>
      <c r="C26" s="354" t="s">
        <v>180</v>
      </c>
      <c r="D26" s="18">
        <v>100</v>
      </c>
      <c r="E26" s="131">
        <v>4.5</v>
      </c>
      <c r="F26" s="131">
        <v>6</v>
      </c>
      <c r="G26" s="131">
        <v>0</v>
      </c>
      <c r="I26" s="8"/>
      <c r="J26" s="131">
        <v>450</v>
      </c>
      <c r="K26" s="131">
        <v>600</v>
      </c>
      <c r="L26"/>
    </row>
    <row r="27" spans="1:12">
      <c r="A27" s="1">
        <v>20240003</v>
      </c>
      <c r="B27" s="18" t="s">
        <v>47</v>
      </c>
      <c r="C27" s="354" t="s">
        <v>180</v>
      </c>
      <c r="D27" s="18">
        <v>250</v>
      </c>
      <c r="E27" s="131">
        <v>4.5</v>
      </c>
      <c r="F27" s="131">
        <v>5.6</v>
      </c>
      <c r="G27" s="131">
        <v>0</v>
      </c>
      <c r="I27" s="8"/>
      <c r="J27" s="131">
        <v>1125</v>
      </c>
      <c r="K27" s="131">
        <v>1400</v>
      </c>
      <c r="L27"/>
    </row>
    <row r="28" spans="1:12">
      <c r="A28" s="1">
        <v>20240001</v>
      </c>
      <c r="B28" s="18" t="s">
        <v>46</v>
      </c>
      <c r="C28" s="354" t="s">
        <v>179</v>
      </c>
      <c r="D28" s="18">
        <v>100</v>
      </c>
      <c r="E28" s="131">
        <v>4.5</v>
      </c>
      <c r="F28" s="131">
        <v>6</v>
      </c>
      <c r="G28" s="131">
        <v>0</v>
      </c>
      <c r="I28" s="8"/>
      <c r="J28" s="131">
        <v>450</v>
      </c>
      <c r="K28" s="131">
        <v>600</v>
      </c>
      <c r="L28"/>
    </row>
    <row r="29" spans="1:12">
      <c r="A29" s="1">
        <v>20240003</v>
      </c>
      <c r="B29" s="18" t="s">
        <v>46</v>
      </c>
      <c r="C29" s="354" t="s">
        <v>179</v>
      </c>
      <c r="D29" s="18">
        <v>60</v>
      </c>
      <c r="E29" s="131">
        <v>4.5</v>
      </c>
      <c r="F29" s="131">
        <v>5.6</v>
      </c>
      <c r="G29" s="131">
        <v>0</v>
      </c>
      <c r="I29" s="8"/>
      <c r="J29" s="131">
        <v>270</v>
      </c>
      <c r="K29" s="131">
        <v>336</v>
      </c>
      <c r="L29"/>
    </row>
    <row r="30" spans="1:12">
      <c r="A30" s="1">
        <v>20240001</v>
      </c>
      <c r="B30" s="18" t="s">
        <v>45</v>
      </c>
      <c r="C30" s="354" t="s">
        <v>178</v>
      </c>
      <c r="D30" s="18">
        <v>100</v>
      </c>
      <c r="E30" s="131">
        <v>4.5</v>
      </c>
      <c r="F30" s="131">
        <v>6</v>
      </c>
      <c r="G30" s="131">
        <v>0</v>
      </c>
      <c r="I30" s="8"/>
      <c r="J30" s="131">
        <v>450</v>
      </c>
      <c r="K30" s="131">
        <v>600</v>
      </c>
      <c r="L30"/>
    </row>
    <row r="31" spans="1:12">
      <c r="A31" s="1">
        <v>20240003</v>
      </c>
      <c r="B31" s="18" t="s">
        <v>45</v>
      </c>
      <c r="C31" s="354" t="s">
        <v>178</v>
      </c>
      <c r="D31" s="18">
        <v>250</v>
      </c>
      <c r="E31" s="131">
        <v>4.5</v>
      </c>
      <c r="F31" s="131">
        <v>5.6</v>
      </c>
      <c r="G31" s="131">
        <v>0</v>
      </c>
      <c r="I31" s="8"/>
      <c r="J31" s="131">
        <v>1125</v>
      </c>
      <c r="K31" s="131">
        <v>1400</v>
      </c>
      <c r="L31"/>
    </row>
    <row r="32" spans="1:12">
      <c r="A32" s="1">
        <v>20240001</v>
      </c>
      <c r="B32" s="18" t="s">
        <v>44</v>
      </c>
      <c r="C32" s="354" t="s">
        <v>177</v>
      </c>
      <c r="D32" s="18">
        <v>100</v>
      </c>
      <c r="E32" s="131">
        <v>4.5</v>
      </c>
      <c r="F32" s="131">
        <v>6</v>
      </c>
      <c r="G32" s="131">
        <v>0</v>
      </c>
      <c r="I32" s="8"/>
      <c r="J32" s="131">
        <v>450</v>
      </c>
      <c r="K32" s="131">
        <v>600</v>
      </c>
      <c r="L32"/>
    </row>
    <row r="33" spans="1:12">
      <c r="A33" s="1">
        <v>20240003</v>
      </c>
      <c r="B33" s="18" t="s">
        <v>44</v>
      </c>
      <c r="C33" s="354" t="s">
        <v>177</v>
      </c>
      <c r="D33" s="18">
        <v>100</v>
      </c>
      <c r="E33" s="131">
        <v>4.5</v>
      </c>
      <c r="F33" s="131">
        <v>5.6</v>
      </c>
      <c r="G33" s="131">
        <v>0</v>
      </c>
      <c r="I33" s="8"/>
      <c r="J33" s="131">
        <v>450</v>
      </c>
      <c r="K33" s="131">
        <v>560</v>
      </c>
      <c r="L3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1"/>
  <dimension ref="A1:AB34"/>
  <sheetViews>
    <sheetView workbookViewId="0">
      <pane ySplit="2" topLeftCell="A3" activePane="bottomLeft" state="frozen"/>
      <selection pane="bottomLeft" activeCell="A3" sqref="A3:X8"/>
    </sheetView>
  </sheetViews>
  <sheetFormatPr defaultColWidth="9.1796875" defaultRowHeight="14.5"/>
  <cols>
    <col min="1" max="1" width="14.26953125" style="18" customWidth="1"/>
    <col min="2" max="2" width="14.26953125" style="177" customWidth="1"/>
    <col min="3" max="3" width="17" style="18" bestFit="1" customWidth="1"/>
    <col min="4" max="4" width="14.26953125" style="18" customWidth="1"/>
    <col min="5" max="5" width="15.81640625" style="18" customWidth="1"/>
    <col min="6" max="6" width="18.26953125" style="18" customWidth="1"/>
    <col min="7" max="7" width="14.26953125" style="18" customWidth="1"/>
    <col min="8" max="11" width="14.26953125" style="23" customWidth="1"/>
    <col min="12" max="12" width="14.81640625" style="1" customWidth="1"/>
    <col min="13" max="13" width="14.7265625" style="1" customWidth="1"/>
    <col min="14" max="14" width="14.26953125" style="22" customWidth="1"/>
    <col min="15" max="15" width="15.7265625" style="1" customWidth="1"/>
    <col min="16" max="16" width="12.08984375" customWidth="1"/>
    <col min="17" max="18" width="14.26953125" style="1" customWidth="1"/>
    <col min="19" max="22" width="15.81640625" style="1" customWidth="1"/>
    <col min="23" max="23" width="14.26953125" style="22" customWidth="1"/>
    <col min="24" max="24" width="12.36328125" customWidth="1"/>
    <col min="25" max="25" width="12.81640625" style="1" customWidth="1"/>
    <col min="26" max="26" width="14.26953125" style="1" customWidth="1"/>
    <col min="28" max="28" width="11.54296875" style="259" bestFit="1" customWidth="1"/>
  </cols>
  <sheetData>
    <row r="1" spans="1:28">
      <c r="A1" s="560" t="s">
        <v>526</v>
      </c>
      <c r="B1" s="560"/>
      <c r="C1" s="560"/>
      <c r="D1" s="560"/>
      <c r="E1" s="562" t="s">
        <v>527</v>
      </c>
      <c r="F1" s="563"/>
      <c r="G1" s="563"/>
      <c r="H1" s="563"/>
      <c r="I1" s="563"/>
      <c r="J1" s="563"/>
      <c r="K1" s="563"/>
      <c r="L1" s="563"/>
      <c r="M1" s="563"/>
      <c r="N1" s="563"/>
      <c r="O1" s="564"/>
      <c r="P1" s="561" t="s">
        <v>528</v>
      </c>
      <c r="Q1" s="561"/>
      <c r="R1" s="561"/>
      <c r="S1" s="561"/>
      <c r="T1" s="561"/>
      <c r="U1" s="561"/>
      <c r="V1" s="561"/>
      <c r="W1" s="561"/>
      <c r="X1" s="1"/>
      <c r="Y1"/>
      <c r="Z1" s="259"/>
      <c r="AB1"/>
    </row>
    <row r="2" spans="1:28" s="174" customFormat="1" ht="42" customHeight="1">
      <c r="A2" s="174" t="s">
        <v>465</v>
      </c>
      <c r="B2" s="174" t="s">
        <v>466</v>
      </c>
      <c r="C2" s="174" t="s">
        <v>388</v>
      </c>
      <c r="D2" s="174" t="s">
        <v>389</v>
      </c>
      <c r="E2" s="174" t="s">
        <v>406</v>
      </c>
      <c r="F2" s="174" t="s">
        <v>467</v>
      </c>
      <c r="G2" s="174" t="s">
        <v>390</v>
      </c>
      <c r="H2" s="174" t="s">
        <v>391</v>
      </c>
      <c r="I2" s="174" t="s">
        <v>392</v>
      </c>
      <c r="J2" s="174" t="s">
        <v>156</v>
      </c>
      <c r="K2" s="174" t="s">
        <v>157</v>
      </c>
      <c r="L2" s="174" t="s">
        <v>393</v>
      </c>
      <c r="M2" s="174" t="s">
        <v>394</v>
      </c>
      <c r="N2" s="176" t="s">
        <v>395</v>
      </c>
      <c r="O2" s="174" t="s">
        <v>479</v>
      </c>
      <c r="P2" s="174" t="s">
        <v>397</v>
      </c>
      <c r="Q2" s="174" t="s">
        <v>398</v>
      </c>
      <c r="R2" s="174" t="s">
        <v>399</v>
      </c>
      <c r="S2" s="174" t="s">
        <v>400</v>
      </c>
      <c r="T2" s="174" t="s">
        <v>460</v>
      </c>
      <c r="U2" s="174" t="s">
        <v>490</v>
      </c>
      <c r="V2" s="176" t="s">
        <v>468</v>
      </c>
      <c r="W2" s="174" t="s">
        <v>401</v>
      </c>
      <c r="X2" s="174" t="s">
        <v>396</v>
      </c>
      <c r="Z2" s="261"/>
    </row>
    <row r="3" spans="1:28">
      <c r="A3" s="1">
        <v>20240004</v>
      </c>
      <c r="B3" s="260">
        <v>45336</v>
      </c>
      <c r="C3" s="1" t="s">
        <v>473</v>
      </c>
      <c r="D3" s="1" t="s">
        <v>271</v>
      </c>
      <c r="E3" s="1"/>
      <c r="F3" s="1">
        <v>150</v>
      </c>
      <c r="G3" s="1"/>
      <c r="H3" s="1" t="s">
        <v>469</v>
      </c>
      <c r="I3" s="1">
        <v>9</v>
      </c>
      <c r="J3" s="1">
        <v>750</v>
      </c>
      <c r="K3" s="1">
        <v>880</v>
      </c>
      <c r="M3" s="1" t="s">
        <v>461</v>
      </c>
      <c r="N3" s="22">
        <v>855</v>
      </c>
      <c r="O3" s="1" t="s">
        <v>491</v>
      </c>
      <c r="P3" s="1"/>
      <c r="Q3" s="260"/>
      <c r="R3" s="1" t="s">
        <v>464</v>
      </c>
      <c r="S3" s="260"/>
      <c r="T3" s="260" t="s">
        <v>498</v>
      </c>
      <c r="U3" s="22">
        <v>12000</v>
      </c>
      <c r="V3" s="22">
        <v>14300</v>
      </c>
      <c r="W3" s="22">
        <f>orderHistory[[#This Row],[amount_sold]]-orderHistory[[#This Row],[cost_of_goods]]</f>
        <v>2300</v>
      </c>
      <c r="X3" s="1"/>
      <c r="Y3"/>
      <c r="Z3" s="259"/>
      <c r="AB3"/>
    </row>
    <row r="4" spans="1:28">
      <c r="A4" s="358">
        <v>20230054</v>
      </c>
      <c r="B4" s="371">
        <v>45153</v>
      </c>
      <c r="C4" s="358" t="s">
        <v>300</v>
      </c>
      <c r="D4" s="358" t="s">
        <v>271</v>
      </c>
      <c r="E4" s="358"/>
      <c r="F4" s="358">
        <v>144</v>
      </c>
      <c r="G4" s="358"/>
      <c r="H4" s="372" t="s">
        <v>469</v>
      </c>
      <c r="I4" s="372">
        <v>12</v>
      </c>
      <c r="J4" s="372">
        <v>1023</v>
      </c>
      <c r="K4" s="372">
        <v>1111</v>
      </c>
      <c r="L4" s="358"/>
      <c r="M4" s="358" t="s">
        <v>461</v>
      </c>
      <c r="N4" s="372">
        <v>1200</v>
      </c>
      <c r="O4" s="372" t="s">
        <v>489</v>
      </c>
      <c r="P4" s="358">
        <v>121</v>
      </c>
      <c r="Q4" s="371">
        <v>45168</v>
      </c>
      <c r="R4" s="358" t="s">
        <v>464</v>
      </c>
      <c r="S4" s="371">
        <v>45181</v>
      </c>
      <c r="T4" s="371" t="s">
        <v>497</v>
      </c>
      <c r="U4" s="372">
        <v>11000</v>
      </c>
      <c r="V4" s="372">
        <v>12000</v>
      </c>
      <c r="W4" s="372">
        <f>orderHistory[[#This Row],[amount_sold]]-orderHistory[[#This Row],[cost_of_goods]]</f>
        <v>1000</v>
      </c>
      <c r="X4" s="358"/>
      <c r="Y4"/>
      <c r="Z4" s="259"/>
      <c r="AB4"/>
    </row>
    <row r="5" spans="1:28">
      <c r="A5" s="1">
        <v>20240003</v>
      </c>
      <c r="B5" s="260">
        <v>45311</v>
      </c>
      <c r="C5" s="1" t="s">
        <v>302</v>
      </c>
      <c r="D5" s="1" t="s">
        <v>271</v>
      </c>
      <c r="E5" s="1"/>
      <c r="F5" s="1">
        <v>100</v>
      </c>
      <c r="G5" s="1"/>
      <c r="H5" s="1" t="s">
        <v>469</v>
      </c>
      <c r="I5" s="1">
        <v>7</v>
      </c>
      <c r="J5" s="1">
        <v>634</v>
      </c>
      <c r="K5" s="1">
        <v>712</v>
      </c>
      <c r="M5" s="1" t="s">
        <v>461</v>
      </c>
      <c r="N5" s="22">
        <v>800</v>
      </c>
      <c r="O5" s="1" t="s">
        <v>489</v>
      </c>
      <c r="P5" s="1">
        <v>15</v>
      </c>
      <c r="Q5" s="260">
        <v>45324</v>
      </c>
      <c r="R5" s="1" t="s">
        <v>470</v>
      </c>
      <c r="S5" s="260">
        <v>45347</v>
      </c>
      <c r="T5" s="260" t="s">
        <v>497</v>
      </c>
      <c r="U5" s="22">
        <v>9000</v>
      </c>
      <c r="V5" s="22">
        <v>10000</v>
      </c>
      <c r="W5" s="22">
        <f>orderHistory[[#This Row],[amount_sold]]-orderHistory[[#This Row],[cost_of_goods]]</f>
        <v>1000</v>
      </c>
      <c r="X5" s="1"/>
      <c r="Y5"/>
      <c r="Z5" s="259"/>
      <c r="AB5"/>
    </row>
    <row r="6" spans="1:28">
      <c r="A6" s="1">
        <v>20240002</v>
      </c>
      <c r="B6" s="260">
        <v>45306</v>
      </c>
      <c r="C6" s="1" t="s">
        <v>300</v>
      </c>
      <c r="D6" s="1" t="s">
        <v>271</v>
      </c>
      <c r="E6" s="1"/>
      <c r="F6" s="1">
        <v>70</v>
      </c>
      <c r="G6" s="1"/>
      <c r="H6" s="1" t="s">
        <v>469</v>
      </c>
      <c r="I6" s="1">
        <v>2</v>
      </c>
      <c r="J6" s="1">
        <v>455</v>
      </c>
      <c r="K6" s="1">
        <v>500</v>
      </c>
      <c r="M6" s="1" t="s">
        <v>463</v>
      </c>
      <c r="N6" s="22">
        <v>400</v>
      </c>
      <c r="O6" s="1" t="s">
        <v>489</v>
      </c>
      <c r="P6" s="1">
        <v>10</v>
      </c>
      <c r="Q6" s="260">
        <v>45311</v>
      </c>
      <c r="R6" s="1" t="s">
        <v>464</v>
      </c>
      <c r="S6" s="260">
        <v>45334</v>
      </c>
      <c r="T6" s="260" t="s">
        <v>497</v>
      </c>
      <c r="U6" s="22">
        <v>4500</v>
      </c>
      <c r="V6" s="22">
        <v>4350</v>
      </c>
      <c r="W6" s="22">
        <f>orderHistory[[#This Row],[amount_sold]]-orderHistory[[#This Row],[cost_of_goods]]</f>
        <v>-150</v>
      </c>
      <c r="X6" s="1"/>
      <c r="Y6"/>
      <c r="Z6" s="259"/>
      <c r="AB6"/>
    </row>
    <row r="7" spans="1:28">
      <c r="A7" s="1">
        <v>20240005</v>
      </c>
      <c r="B7" s="260"/>
      <c r="C7" s="1" t="s">
        <v>474</v>
      </c>
      <c r="D7" s="1" t="s">
        <v>271</v>
      </c>
      <c r="E7" s="1"/>
      <c r="F7" s="1">
        <v>60</v>
      </c>
      <c r="G7" s="1"/>
      <c r="H7" s="1" t="s">
        <v>469</v>
      </c>
      <c r="I7" s="1">
        <v>3</v>
      </c>
      <c r="J7" s="1">
        <v>330</v>
      </c>
      <c r="K7" s="1">
        <v>360</v>
      </c>
      <c r="M7" s="1" t="s">
        <v>461</v>
      </c>
      <c r="N7" s="22">
        <v>635</v>
      </c>
      <c r="O7" s="1" t="s">
        <v>492</v>
      </c>
      <c r="P7" s="1"/>
      <c r="Q7" s="260"/>
      <c r="R7" s="1" t="s">
        <v>462</v>
      </c>
      <c r="S7" s="260">
        <v>45327</v>
      </c>
      <c r="T7" s="260" t="s">
        <v>497</v>
      </c>
      <c r="U7" s="22">
        <v>7000</v>
      </c>
      <c r="V7" s="22">
        <v>7700</v>
      </c>
      <c r="W7" s="22">
        <f>orderHistory[[#This Row],[amount_sold]]-orderHistory[[#This Row],[cost_of_goods]]</f>
        <v>700</v>
      </c>
      <c r="X7" s="1"/>
      <c r="Y7"/>
      <c r="Z7" s="259"/>
      <c r="AB7"/>
    </row>
    <row r="8" spans="1:28">
      <c r="A8" s="1">
        <v>20240001</v>
      </c>
      <c r="B8" s="260">
        <v>45294</v>
      </c>
      <c r="C8" s="1" t="s">
        <v>300</v>
      </c>
      <c r="D8" s="1" t="s">
        <v>271</v>
      </c>
      <c r="E8" s="1"/>
      <c r="F8" s="1">
        <v>55</v>
      </c>
      <c r="G8" s="1"/>
      <c r="H8" s="1" t="s">
        <v>469</v>
      </c>
      <c r="I8" s="1">
        <v>4</v>
      </c>
      <c r="J8" s="1">
        <v>350</v>
      </c>
      <c r="K8" s="1">
        <v>400</v>
      </c>
      <c r="M8" s="1" t="s">
        <v>461</v>
      </c>
      <c r="N8" s="22">
        <v>550</v>
      </c>
      <c r="O8" s="1" t="s">
        <v>489</v>
      </c>
      <c r="P8" s="1">
        <v>3</v>
      </c>
      <c r="Q8" s="260">
        <v>45296</v>
      </c>
      <c r="R8" s="260" t="s">
        <v>462</v>
      </c>
      <c r="S8" s="260">
        <v>45280</v>
      </c>
      <c r="T8" s="260" t="s">
        <v>497</v>
      </c>
      <c r="U8" s="22">
        <v>8300</v>
      </c>
      <c r="V8" s="22">
        <v>8750</v>
      </c>
      <c r="W8" s="22">
        <f>orderHistory[[#This Row],[amount_sold]]-orderHistory[[#This Row],[cost_of_goods]]</f>
        <v>450</v>
      </c>
      <c r="X8" s="1"/>
    </row>
    <row r="9" spans="1:28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2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2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2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2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2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2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2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26">
      <c r="A17" s="1">
        <f>COLUMN()</f>
        <v>1</v>
      </c>
      <c r="B17" s="1">
        <f>COLUMN()</f>
        <v>2</v>
      </c>
      <c r="C17" s="1">
        <f>COLUMN()</f>
        <v>3</v>
      </c>
      <c r="D17" s="1">
        <f>COLUMN()</f>
        <v>4</v>
      </c>
      <c r="E17" s="1">
        <f>COLUMN()</f>
        <v>5</v>
      </c>
      <c r="F17" s="1">
        <f>COLUMN()</f>
        <v>6</v>
      </c>
      <c r="G17" s="1">
        <f>COLUMN()</f>
        <v>7</v>
      </c>
      <c r="H17" s="1">
        <f>COLUMN()</f>
        <v>8</v>
      </c>
      <c r="I17" s="1">
        <f>COLUMN()</f>
        <v>9</v>
      </c>
      <c r="J17" s="1">
        <f>COLUMN()</f>
        <v>10</v>
      </c>
      <c r="K17" s="1">
        <f>COLUMN()</f>
        <v>11</v>
      </c>
      <c r="L17" s="1">
        <f>COLUMN()</f>
        <v>12</v>
      </c>
      <c r="M17" s="1">
        <f>COLUMN()</f>
        <v>13</v>
      </c>
      <c r="N17" s="1">
        <f>COLUMN()</f>
        <v>14</v>
      </c>
      <c r="O17" s="1">
        <f>COLUMN()</f>
        <v>15</v>
      </c>
      <c r="P17" s="1">
        <f>COLUMN()</f>
        <v>16</v>
      </c>
      <c r="Q17" s="1">
        <f>COLUMN()</f>
        <v>17</v>
      </c>
      <c r="R17" s="1">
        <f>COLUMN()</f>
        <v>18</v>
      </c>
      <c r="S17" s="1">
        <f>COLUMN()</f>
        <v>19</v>
      </c>
      <c r="T17" s="1">
        <f>COLUMN()</f>
        <v>20</v>
      </c>
      <c r="W17" s="22">
        <f>COLUMN()</f>
        <v>23</v>
      </c>
      <c r="Y17" s="1">
        <f>COLUMN()</f>
        <v>25</v>
      </c>
      <c r="Z17" s="1">
        <f>COLUMN()</f>
        <v>26</v>
      </c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</sheetData>
  <sortState ref="A4:S4">
    <sortCondition descending="1" ref="B3:B4"/>
  </sortState>
  <mergeCells count="3">
    <mergeCell ref="A1:D1"/>
    <mergeCell ref="P1:W1"/>
    <mergeCell ref="E1:O1"/>
  </mergeCells>
  <dataValidations disablePrompts="1" count="1">
    <dataValidation type="list" allowBlank="1" showInputMessage="1" showErrorMessage="1" sqref="L16 L18:L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3"/>
  <dimension ref="A1:M102"/>
  <sheetViews>
    <sheetView workbookViewId="0">
      <selection activeCell="D2" sqref="D2"/>
    </sheetView>
  </sheetViews>
  <sheetFormatPr defaultRowHeight="14.5"/>
  <cols>
    <col min="1" max="1" width="9.7265625" style="18" customWidth="1"/>
    <col min="2" max="2" width="9.7265625" customWidth="1"/>
    <col min="3" max="3" width="13.1796875" style="1" customWidth="1"/>
    <col min="4" max="4" width="50" style="22" bestFit="1" customWidth="1"/>
    <col min="5" max="7" width="13.1796875" customWidth="1"/>
    <col min="8" max="8" width="13.1796875" style="22" customWidth="1"/>
    <col min="9" max="9" width="13.1796875" style="23" customWidth="1"/>
    <col min="10" max="11" width="11.1796875" customWidth="1"/>
    <col min="12" max="12" width="21.7265625" bestFit="1" customWidth="1"/>
    <col min="13" max="13" width="13.453125" customWidth="1"/>
    <col min="14" max="14" width="5.26953125" customWidth="1"/>
  </cols>
  <sheetData>
    <row r="1" spans="3:13" customFormat="1"/>
    <row r="2" spans="3:13" s="21" customFormat="1" ht="36.65" customHeight="1" thickBot="1">
      <c r="C2" s="18"/>
      <c r="D2" s="182" t="s">
        <v>374</v>
      </c>
      <c r="E2" s="178">
        <f>SUM(E4:E61)</f>
        <v>900</v>
      </c>
      <c r="F2" s="178"/>
      <c r="G2" s="15"/>
      <c r="H2" s="15"/>
      <c r="I2" s="15"/>
      <c r="J2" s="185">
        <f>SUM(J4:J61)</f>
        <v>4720</v>
      </c>
      <c r="K2" s="185">
        <f>SUM(K4:K61)</f>
        <v>5900</v>
      </c>
    </row>
    <row r="3" spans="3:13" ht="30" thickTop="1" thickBot="1">
      <c r="C3" s="189" t="s">
        <v>148</v>
      </c>
      <c r="D3" s="181" t="s">
        <v>253</v>
      </c>
      <c r="E3" s="179" t="s">
        <v>402</v>
      </c>
      <c r="F3" s="238" t="s">
        <v>377</v>
      </c>
      <c r="G3" s="189" t="s">
        <v>426</v>
      </c>
      <c r="H3" s="181" t="s">
        <v>425</v>
      </c>
      <c r="I3" s="244" t="s">
        <v>424</v>
      </c>
      <c r="J3" s="180" t="s">
        <v>407</v>
      </c>
      <c r="K3" s="180" t="s">
        <v>408</v>
      </c>
      <c r="L3" s="130"/>
    </row>
    <row r="4" spans="3:13" ht="15" thickTop="1">
      <c r="C4" s="231" t="s">
        <v>28</v>
      </c>
      <c r="D4" s="232" t="str">
        <f>IFERROR(VLOOKUP(C4,bhpc_data[],7,FALSE),"")</f>
        <v>BHPC PRESTIGE TROPHY 100ML EDP MEN</v>
      </c>
      <c r="E4" s="236">
        <v>100</v>
      </c>
      <c r="F4" s="239">
        <v>5</v>
      </c>
      <c r="G4" s="1"/>
      <c r="H4" s="234"/>
      <c r="I4" s="245">
        <v>20</v>
      </c>
      <c r="J4" s="233">
        <f>IF(C4="","",(E4+G4+I4)*4)</f>
        <v>480</v>
      </c>
      <c r="K4" s="184">
        <f>IF(C4="","",F4*E4)</f>
        <v>500</v>
      </c>
      <c r="L4" s="130"/>
      <c r="M4" s="133"/>
    </row>
    <row r="5" spans="3:13">
      <c r="C5" s="159" t="s">
        <v>29</v>
      </c>
      <c r="D5" s="136" t="str">
        <f>IFERROR(VLOOKUP(C5,bhpc_data[],7,FALSE),"")</f>
        <v>BHPC PRESTIGE HERITAGE OUD 100ML EDP MEN</v>
      </c>
      <c r="E5" s="237">
        <v>100</v>
      </c>
      <c r="F5" s="240">
        <v>5</v>
      </c>
      <c r="G5" s="1"/>
      <c r="H5" s="234"/>
      <c r="I5" s="245">
        <v>20</v>
      </c>
      <c r="J5" s="233">
        <f t="shared" ref="J5:J68" si="0">IF(C5="","",(E5+G5+I5)*4)</f>
        <v>480</v>
      </c>
      <c r="K5" s="184">
        <f t="shared" ref="K5:K68" si="1">IF(C5="","",F5*E5)</f>
        <v>500</v>
      </c>
      <c r="L5" s="130"/>
      <c r="M5" s="346"/>
    </row>
    <row r="6" spans="3:13">
      <c r="C6" s="159" t="s">
        <v>30</v>
      </c>
      <c r="D6" s="136" t="str">
        <f>IFERROR(VLOOKUP(C6,bhpc_data[],7,FALSE),"")</f>
        <v>BHPC PRESTIGE TOUR 100ML EDP MEN</v>
      </c>
      <c r="E6" s="237">
        <v>100</v>
      </c>
      <c r="F6" s="240">
        <v>5</v>
      </c>
      <c r="G6" s="1"/>
      <c r="H6" s="234"/>
      <c r="I6" s="245">
        <v>20</v>
      </c>
      <c r="J6" s="233">
        <f t="shared" si="0"/>
        <v>480</v>
      </c>
      <c r="K6" s="184">
        <f t="shared" si="1"/>
        <v>500</v>
      </c>
      <c r="L6" s="130"/>
      <c r="M6" s="188"/>
    </row>
    <row r="7" spans="3:13">
      <c r="C7" s="159" t="s">
        <v>31</v>
      </c>
      <c r="D7" s="136" t="str">
        <f>IFERROR(VLOOKUP(C7,bhpc_data[],7,FALSE),"")</f>
        <v>BHPC PRESTIGE TITAN 100ML EDP MEN</v>
      </c>
      <c r="E7" s="237">
        <v>100</v>
      </c>
      <c r="F7" s="240">
        <v>5</v>
      </c>
      <c r="G7" s="1"/>
      <c r="H7" s="234"/>
      <c r="I7" s="245">
        <v>20</v>
      </c>
      <c r="J7" s="233">
        <f t="shared" si="0"/>
        <v>480</v>
      </c>
      <c r="K7" s="184">
        <f t="shared" si="1"/>
        <v>500</v>
      </c>
      <c r="L7" s="130"/>
      <c r="M7" s="347"/>
    </row>
    <row r="8" spans="3:13">
      <c r="C8" s="159" t="s">
        <v>44</v>
      </c>
      <c r="D8" s="136" t="str">
        <f>IFERROR(VLOOKUP(C8,bhpc_data[],7,FALSE),"")</f>
        <v>BHPC GIFT SET SPORT MEN 1 EDT 100ML + DEO 175ML</v>
      </c>
      <c r="E8" s="237">
        <v>100</v>
      </c>
      <c r="F8" s="240">
        <v>6</v>
      </c>
      <c r="G8" s="1"/>
      <c r="H8" s="234"/>
      <c r="I8" s="245"/>
      <c r="J8" s="233">
        <f t="shared" si="0"/>
        <v>400</v>
      </c>
      <c r="K8" s="184">
        <f t="shared" si="1"/>
        <v>600</v>
      </c>
      <c r="L8" s="130"/>
      <c r="M8" s="131"/>
    </row>
    <row r="9" spans="3:13">
      <c r="C9" s="159" t="s">
        <v>45</v>
      </c>
      <c r="D9" s="136" t="str">
        <f>IFERROR(VLOOKUP(C9,bhpc_data[],7,FALSE),"")</f>
        <v>BHPC GIFT SET SPORT MEN 9 EDT 100ML + DEO 175ML</v>
      </c>
      <c r="E9" s="237">
        <v>100</v>
      </c>
      <c r="F9" s="240">
        <v>6</v>
      </c>
      <c r="G9" s="1"/>
      <c r="H9" s="234"/>
      <c r="I9" s="245"/>
      <c r="J9" s="233">
        <f t="shared" si="0"/>
        <v>400</v>
      </c>
      <c r="K9" s="184">
        <f t="shared" si="1"/>
        <v>600</v>
      </c>
      <c r="L9" s="130"/>
      <c r="M9" s="131"/>
    </row>
    <row r="10" spans="3:13">
      <c r="C10" s="159" t="s">
        <v>46</v>
      </c>
      <c r="D10" s="136" t="str">
        <f>IFERROR(VLOOKUP(C10,bhpc_data[],7,FALSE),"")</f>
        <v>BHPC GIFT SET SPORT MEN 8 EDT 100ML + DEO 175ML</v>
      </c>
      <c r="E10" s="237">
        <v>100</v>
      </c>
      <c r="F10" s="240">
        <v>6</v>
      </c>
      <c r="G10" s="1"/>
      <c r="H10" s="234"/>
      <c r="I10" s="245"/>
      <c r="J10" s="233">
        <f t="shared" si="0"/>
        <v>400</v>
      </c>
      <c r="K10" s="184">
        <f t="shared" si="1"/>
        <v>600</v>
      </c>
      <c r="L10" s="130"/>
      <c r="M10" t="s">
        <v>419</v>
      </c>
    </row>
    <row r="11" spans="3:13">
      <c r="C11" s="159" t="s">
        <v>47</v>
      </c>
      <c r="D11" s="136" t="str">
        <f>IFERROR(VLOOKUP(C11,bhpc_data[],7,FALSE),"")</f>
        <v>BHPC GIFT SET SPORT MEN 2 EDT 100ML + DEO 175ML</v>
      </c>
      <c r="E11" s="237">
        <v>100</v>
      </c>
      <c r="F11" s="240">
        <v>6</v>
      </c>
      <c r="G11" s="1"/>
      <c r="H11" s="234"/>
      <c r="I11" s="245"/>
      <c r="J11" s="233">
        <f t="shared" si="0"/>
        <v>400</v>
      </c>
      <c r="K11" s="184">
        <f t="shared" si="1"/>
        <v>600</v>
      </c>
    </row>
    <row r="12" spans="3:13">
      <c r="C12" s="159" t="s">
        <v>146</v>
      </c>
      <c r="D12" s="136" t="str">
        <f>IFERROR(VLOOKUP(C12,bhpc_data[],7,FALSE),"")</f>
        <v xml:space="preserve">BHPC GIFTSET PRESTIGE TROPHY EDP100ML + DEO 300ML </v>
      </c>
      <c r="E12" s="237">
        <v>100</v>
      </c>
      <c r="F12" s="240">
        <v>15</v>
      </c>
      <c r="G12" s="1"/>
      <c r="H12" s="234"/>
      <c r="I12" s="245"/>
      <c r="J12" s="233">
        <f>IF(C12="","",(E12+G12+I12)*12)</f>
        <v>1200</v>
      </c>
      <c r="K12" s="184">
        <f t="shared" si="1"/>
        <v>1500</v>
      </c>
      <c r="L12" s="130"/>
      <c r="M12" t="s">
        <v>420</v>
      </c>
    </row>
    <row r="13" spans="3:13">
      <c r="C13" s="159"/>
      <c r="D13" s="136"/>
      <c r="E13" s="237"/>
      <c r="F13" s="240"/>
      <c r="G13" s="1"/>
      <c r="H13" s="234"/>
      <c r="I13" s="245"/>
      <c r="J13" s="233" t="str">
        <f t="shared" si="0"/>
        <v/>
      </c>
      <c r="K13" s="184" t="str">
        <f t="shared" si="1"/>
        <v/>
      </c>
      <c r="M13" t="s">
        <v>421</v>
      </c>
    </row>
    <row r="14" spans="3:13">
      <c r="C14" s="159"/>
      <c r="D14" s="136"/>
      <c r="E14" s="237"/>
      <c r="F14" s="240"/>
      <c r="G14" s="1"/>
      <c r="H14" s="234"/>
      <c r="I14" s="245"/>
      <c r="J14" s="233" t="str">
        <f t="shared" si="0"/>
        <v/>
      </c>
      <c r="K14" s="184" t="str">
        <f t="shared" si="1"/>
        <v/>
      </c>
    </row>
    <row r="15" spans="3:13">
      <c r="C15" s="159"/>
      <c r="D15" s="136"/>
      <c r="E15" s="237"/>
      <c r="F15" s="240"/>
      <c r="G15" s="1"/>
      <c r="H15" s="234"/>
      <c r="I15" s="245"/>
      <c r="J15" s="233" t="str">
        <f t="shared" si="0"/>
        <v/>
      </c>
      <c r="K15" s="184" t="str">
        <f t="shared" si="1"/>
        <v/>
      </c>
      <c r="M15" t="s">
        <v>422</v>
      </c>
    </row>
    <row r="16" spans="3:13">
      <c r="C16" s="159"/>
      <c r="D16" s="136"/>
      <c r="E16" s="237"/>
      <c r="F16" s="241"/>
      <c r="G16" s="1"/>
      <c r="H16" s="234"/>
      <c r="I16" s="245"/>
      <c r="J16" s="233" t="str">
        <f t="shared" si="0"/>
        <v/>
      </c>
      <c r="K16" s="184" t="str">
        <f t="shared" si="1"/>
        <v/>
      </c>
      <c r="M16" t="s">
        <v>423</v>
      </c>
    </row>
    <row r="17" spans="3:12">
      <c r="C17" s="159"/>
      <c r="D17" s="136" t="str">
        <f>IFERROR(VLOOKUP(C17,bhpc_data[],7,FALSE),"")</f>
        <v/>
      </c>
      <c r="E17" s="237"/>
      <c r="F17" s="241"/>
      <c r="G17" s="1"/>
      <c r="H17" s="234"/>
      <c r="I17" s="245"/>
      <c r="J17" s="22" t="str">
        <f t="shared" si="0"/>
        <v/>
      </c>
      <c r="K17" s="184" t="str">
        <f t="shared" si="1"/>
        <v/>
      </c>
    </row>
    <row r="18" spans="3:12">
      <c r="C18" s="159"/>
      <c r="D18" s="136" t="str">
        <f>IFERROR(VLOOKUP(C18,bhpc_data[],7,FALSE),"")</f>
        <v/>
      </c>
      <c r="E18" s="237"/>
      <c r="F18" s="241"/>
      <c r="G18" s="1"/>
      <c r="H18" s="234"/>
      <c r="I18" s="245"/>
      <c r="J18" s="22" t="str">
        <f t="shared" si="0"/>
        <v/>
      </c>
      <c r="K18" s="184" t="str">
        <f t="shared" si="1"/>
        <v/>
      </c>
    </row>
    <row r="19" spans="3:12">
      <c r="C19" s="159"/>
      <c r="D19" s="136" t="str">
        <f>IFERROR(VLOOKUP(C19,bhpc_data[],7,FALSE),"")</f>
        <v/>
      </c>
      <c r="E19" s="237"/>
      <c r="F19" s="241"/>
      <c r="G19" s="1"/>
      <c r="H19" s="234"/>
      <c r="I19" s="245"/>
      <c r="J19" s="22" t="str">
        <f t="shared" si="0"/>
        <v/>
      </c>
      <c r="K19" s="184" t="str">
        <f t="shared" si="1"/>
        <v/>
      </c>
    </row>
    <row r="20" spans="3:12">
      <c r="C20" s="159"/>
      <c r="D20" s="136" t="str">
        <f>IFERROR(VLOOKUP(C20,bhpc_data[],7,FALSE),"")</f>
        <v/>
      </c>
      <c r="E20" s="237"/>
      <c r="F20" s="241"/>
      <c r="G20" s="1"/>
      <c r="H20" s="234"/>
      <c r="I20" s="245"/>
      <c r="J20" s="22" t="str">
        <f t="shared" si="0"/>
        <v/>
      </c>
      <c r="K20" s="184" t="str">
        <f t="shared" si="1"/>
        <v/>
      </c>
    </row>
    <row r="21" spans="3:12">
      <c r="C21" s="159"/>
      <c r="D21" s="136" t="str">
        <f>IFERROR(VLOOKUP(C21,bhpc_data[],7,FALSE),"")</f>
        <v/>
      </c>
      <c r="E21" s="237"/>
      <c r="F21" s="241"/>
      <c r="G21" s="1"/>
      <c r="H21" s="234"/>
      <c r="I21" s="245"/>
      <c r="J21" s="22" t="str">
        <f t="shared" si="0"/>
        <v/>
      </c>
      <c r="K21" s="184" t="str">
        <f t="shared" si="1"/>
        <v/>
      </c>
      <c r="L21" s="130"/>
    </row>
    <row r="22" spans="3:12">
      <c r="C22" s="159"/>
      <c r="D22" s="136" t="str">
        <f>IFERROR(VLOOKUP(C22,bhpc_data[],7,FALSE),"")</f>
        <v/>
      </c>
      <c r="E22" s="237"/>
      <c r="F22" s="241"/>
      <c r="G22" s="1"/>
      <c r="H22" s="234"/>
      <c r="I22" s="245"/>
      <c r="J22" s="22" t="str">
        <f t="shared" si="0"/>
        <v/>
      </c>
      <c r="K22" s="184" t="str">
        <f t="shared" si="1"/>
        <v/>
      </c>
    </row>
    <row r="23" spans="3:12">
      <c r="C23" s="18"/>
      <c r="D23" s="136" t="str">
        <f>IFERROR(VLOOKUP(C23,bhpc_data[],7,FALSE),"")</f>
        <v/>
      </c>
      <c r="E23" s="24"/>
      <c r="F23" s="242"/>
      <c r="G23" s="1"/>
      <c r="H23" s="234"/>
      <c r="I23" s="245"/>
      <c r="J23" s="183" t="str">
        <f t="shared" si="0"/>
        <v/>
      </c>
      <c r="K23" s="184" t="str">
        <f t="shared" si="1"/>
        <v/>
      </c>
    </row>
    <row r="24" spans="3:12">
      <c r="C24" s="18"/>
      <c r="D24" s="136" t="str">
        <f>IFERROR(VLOOKUP(C24,bhpc_data[],7,FALSE),"")</f>
        <v/>
      </c>
      <c r="E24" s="24"/>
      <c r="F24" s="242"/>
      <c r="G24" s="1"/>
      <c r="H24" s="234"/>
      <c r="I24" s="245"/>
      <c r="J24" s="183" t="str">
        <f t="shared" si="0"/>
        <v/>
      </c>
      <c r="K24" s="184" t="str">
        <f t="shared" si="1"/>
        <v/>
      </c>
    </row>
    <row r="25" spans="3:12">
      <c r="C25" s="18"/>
      <c r="D25" s="136" t="str">
        <f>IFERROR(VLOOKUP(C25,bhpc_data[],7,FALSE),"")</f>
        <v/>
      </c>
      <c r="E25" s="24"/>
      <c r="F25" s="242"/>
      <c r="G25" s="1"/>
      <c r="H25" s="234"/>
      <c r="I25" s="245"/>
      <c r="J25" s="183" t="str">
        <f t="shared" si="0"/>
        <v/>
      </c>
      <c r="K25" s="184" t="str">
        <f t="shared" si="1"/>
        <v/>
      </c>
    </row>
    <row r="26" spans="3:12">
      <c r="C26" s="18"/>
      <c r="D26" s="136" t="str">
        <f>IFERROR(VLOOKUP(C26,bhpc_data[],7,FALSE),"")</f>
        <v/>
      </c>
      <c r="E26" s="24"/>
      <c r="F26" s="242"/>
      <c r="G26" s="1"/>
      <c r="H26" s="234"/>
      <c r="I26" s="245"/>
      <c r="J26" s="183" t="str">
        <f t="shared" si="0"/>
        <v/>
      </c>
      <c r="K26" s="184" t="str">
        <f t="shared" si="1"/>
        <v/>
      </c>
    </row>
    <row r="27" spans="3:12">
      <c r="C27" s="18"/>
      <c r="D27" s="136" t="str">
        <f>IFERROR(VLOOKUP(C27,bhpc_data[],7,FALSE),"")</f>
        <v/>
      </c>
      <c r="E27" s="24"/>
      <c r="F27" s="242"/>
      <c r="G27" s="1"/>
      <c r="H27" s="234"/>
      <c r="I27" s="245"/>
      <c r="J27" s="183" t="str">
        <f t="shared" si="0"/>
        <v/>
      </c>
      <c r="K27" s="184" t="str">
        <f t="shared" si="1"/>
        <v/>
      </c>
      <c r="L27" s="130"/>
    </row>
    <row r="28" spans="3:12">
      <c r="C28" s="18"/>
      <c r="D28" s="136" t="str">
        <f>IFERROR(VLOOKUP(C28,bhpc_data[],7,FALSE),"")</f>
        <v/>
      </c>
      <c r="E28" s="24"/>
      <c r="F28" s="242"/>
      <c r="G28" s="1"/>
      <c r="H28" s="234"/>
      <c r="I28" s="245"/>
      <c r="J28" s="183" t="str">
        <f t="shared" si="0"/>
        <v/>
      </c>
      <c r="K28" s="184" t="str">
        <f t="shared" si="1"/>
        <v/>
      </c>
    </row>
    <row r="29" spans="3:12">
      <c r="C29" s="18"/>
      <c r="D29" s="136" t="str">
        <f>IFERROR(VLOOKUP(C29,bhpc_data[],7,FALSE),"")</f>
        <v/>
      </c>
      <c r="E29" s="24"/>
      <c r="F29" s="242"/>
      <c r="G29" s="1"/>
      <c r="H29" s="234"/>
      <c r="I29" s="245"/>
      <c r="J29" s="183" t="str">
        <f t="shared" si="0"/>
        <v/>
      </c>
      <c r="K29" s="184" t="str">
        <f t="shared" si="1"/>
        <v/>
      </c>
    </row>
    <row r="30" spans="3:12">
      <c r="C30" s="18"/>
      <c r="D30" s="136" t="str">
        <f>IFERROR(VLOOKUP(C30,bhpc_data[],7,FALSE),"")</f>
        <v/>
      </c>
      <c r="E30" s="24"/>
      <c r="F30" s="242"/>
      <c r="G30" s="1"/>
      <c r="H30" s="234"/>
      <c r="I30" s="245"/>
      <c r="J30" s="183" t="str">
        <f t="shared" si="0"/>
        <v/>
      </c>
      <c r="K30" s="184" t="str">
        <f t="shared" si="1"/>
        <v/>
      </c>
    </row>
    <row r="31" spans="3:12">
      <c r="C31" s="18"/>
      <c r="D31" s="136" t="str">
        <f>IFERROR(VLOOKUP(C31,bhpc_data[],7,FALSE),"")</f>
        <v/>
      </c>
      <c r="E31" s="24"/>
      <c r="F31" s="242"/>
      <c r="G31" s="1"/>
      <c r="H31" s="234"/>
      <c r="I31" s="245"/>
      <c r="J31" s="183" t="str">
        <f t="shared" si="0"/>
        <v/>
      </c>
      <c r="K31" s="184" t="str">
        <f t="shared" si="1"/>
        <v/>
      </c>
    </row>
    <row r="32" spans="3:12">
      <c r="C32" s="18"/>
      <c r="D32" s="136" t="str">
        <f>IFERROR(VLOOKUP(C32,bhpc_data[],7,FALSE),"")</f>
        <v/>
      </c>
      <c r="E32" s="24"/>
      <c r="F32" s="242"/>
      <c r="G32" s="1"/>
      <c r="H32" s="234"/>
      <c r="I32" s="245"/>
      <c r="J32" s="183" t="str">
        <f t="shared" si="0"/>
        <v/>
      </c>
      <c r="K32" s="184" t="str">
        <f t="shared" si="1"/>
        <v/>
      </c>
    </row>
    <row r="33" spans="3:12">
      <c r="C33" s="18"/>
      <c r="D33" s="136" t="str">
        <f>IFERROR(VLOOKUP(C33,bhpc_data[],7,FALSE),"")</f>
        <v/>
      </c>
      <c r="E33" s="24"/>
      <c r="F33" s="242"/>
      <c r="G33" s="1"/>
      <c r="H33" s="234"/>
      <c r="I33" s="245"/>
      <c r="J33" s="183" t="str">
        <f t="shared" si="0"/>
        <v/>
      </c>
      <c r="K33" s="184" t="str">
        <f t="shared" si="1"/>
        <v/>
      </c>
    </row>
    <row r="34" spans="3:12">
      <c r="C34" s="18"/>
      <c r="D34" s="136" t="str">
        <f>IFERROR(VLOOKUP(C34,bhpc_data[],7,FALSE),"")</f>
        <v/>
      </c>
      <c r="E34" s="24"/>
      <c r="F34" s="242"/>
      <c r="G34" s="1"/>
      <c r="H34" s="234"/>
      <c r="I34" s="245"/>
      <c r="J34" s="183" t="str">
        <f t="shared" si="0"/>
        <v/>
      </c>
      <c r="K34" s="184" t="str">
        <f t="shared" si="1"/>
        <v/>
      </c>
      <c r="L34" s="130"/>
    </row>
    <row r="35" spans="3:12">
      <c r="C35" s="18"/>
      <c r="D35" s="136" t="str">
        <f>IFERROR(VLOOKUP(C35,bhpc_data[],7,FALSE),"")</f>
        <v/>
      </c>
      <c r="E35" s="24"/>
      <c r="F35" s="242"/>
      <c r="G35" s="1"/>
      <c r="H35" s="234"/>
      <c r="I35" s="245"/>
      <c r="J35" s="183" t="str">
        <f t="shared" si="0"/>
        <v/>
      </c>
      <c r="K35" s="184" t="str">
        <f t="shared" si="1"/>
        <v/>
      </c>
    </row>
    <row r="36" spans="3:12">
      <c r="C36" s="18"/>
      <c r="D36" s="136" t="str">
        <f>IFERROR(VLOOKUP(C36,bhpc_data[],7,FALSE),"")</f>
        <v/>
      </c>
      <c r="E36" s="24"/>
      <c r="F36" s="242"/>
      <c r="G36" s="1"/>
      <c r="H36" s="234"/>
      <c r="I36" s="245"/>
      <c r="J36" s="183" t="str">
        <f t="shared" si="0"/>
        <v/>
      </c>
      <c r="K36" s="184" t="str">
        <f t="shared" si="1"/>
        <v/>
      </c>
    </row>
    <row r="37" spans="3:12">
      <c r="C37" s="18"/>
      <c r="D37" s="136" t="str">
        <f>IFERROR(VLOOKUP(C37,bhpc_data[],7,FALSE),"")</f>
        <v/>
      </c>
      <c r="E37" s="24"/>
      <c r="F37" s="242"/>
      <c r="G37" s="1"/>
      <c r="H37" s="234"/>
      <c r="I37" s="245"/>
      <c r="J37" s="183" t="str">
        <f t="shared" si="0"/>
        <v/>
      </c>
      <c r="K37" s="184" t="str">
        <f t="shared" si="1"/>
        <v/>
      </c>
    </row>
    <row r="38" spans="3:12">
      <c r="C38" s="18"/>
      <c r="D38" s="136" t="str">
        <f>IFERROR(VLOOKUP(C38,bhpc_data[],7,FALSE),"")</f>
        <v/>
      </c>
      <c r="E38" s="24"/>
      <c r="F38" s="242"/>
      <c r="G38" s="1"/>
      <c r="H38" s="234"/>
      <c r="I38" s="245"/>
      <c r="J38" s="183" t="str">
        <f t="shared" si="0"/>
        <v/>
      </c>
      <c r="K38" s="184" t="str">
        <f t="shared" si="1"/>
        <v/>
      </c>
    </row>
    <row r="39" spans="3:12">
      <c r="C39" s="18"/>
      <c r="D39" s="136" t="str">
        <f>IFERROR(VLOOKUP(C39,bhpc_data[],7,FALSE),"")</f>
        <v/>
      </c>
      <c r="E39" s="24"/>
      <c r="F39" s="242"/>
      <c r="G39" s="1"/>
      <c r="H39" s="234"/>
      <c r="I39" s="245"/>
      <c r="J39" s="183" t="str">
        <f t="shared" si="0"/>
        <v/>
      </c>
      <c r="K39" s="184" t="str">
        <f t="shared" si="1"/>
        <v/>
      </c>
    </row>
    <row r="40" spans="3:12">
      <c r="C40" s="18"/>
      <c r="D40" s="136" t="str">
        <f>IFERROR(VLOOKUP(C40,bhpc_data[],7,FALSE),"")</f>
        <v/>
      </c>
      <c r="E40" s="24"/>
      <c r="F40" s="242"/>
      <c r="G40" s="1"/>
      <c r="H40" s="234"/>
      <c r="I40" s="245"/>
      <c r="J40" s="183" t="str">
        <f t="shared" si="0"/>
        <v/>
      </c>
      <c r="K40" s="184" t="str">
        <f t="shared" si="1"/>
        <v/>
      </c>
    </row>
    <row r="41" spans="3:12">
      <c r="C41" s="18"/>
      <c r="D41" s="136" t="str">
        <f>IFERROR(VLOOKUP(C41,bhpc_data[],7,FALSE),"")</f>
        <v/>
      </c>
      <c r="E41" s="24"/>
      <c r="F41" s="242"/>
      <c r="G41" s="1"/>
      <c r="H41" s="234"/>
      <c r="I41" s="245"/>
      <c r="J41" s="183" t="str">
        <f t="shared" si="0"/>
        <v/>
      </c>
      <c r="K41" s="184" t="str">
        <f t="shared" si="1"/>
        <v/>
      </c>
    </row>
    <row r="42" spans="3:12">
      <c r="C42" s="18"/>
      <c r="D42" s="136" t="str">
        <f>IFERROR(VLOOKUP(C42,bhpc_data[],7,FALSE),"")</f>
        <v/>
      </c>
      <c r="E42" s="24"/>
      <c r="F42" s="242"/>
      <c r="G42" s="1"/>
      <c r="H42" s="234"/>
      <c r="I42" s="245"/>
      <c r="J42" s="183" t="str">
        <f t="shared" si="0"/>
        <v/>
      </c>
      <c r="K42" s="184" t="str">
        <f t="shared" si="1"/>
        <v/>
      </c>
    </row>
    <row r="43" spans="3:12">
      <c r="C43" s="18"/>
      <c r="D43" s="136" t="str">
        <f>IFERROR(VLOOKUP(C43,bhpc_data[],7,FALSE),"")</f>
        <v/>
      </c>
      <c r="E43" s="24"/>
      <c r="F43" s="242"/>
      <c r="G43" s="1"/>
      <c r="H43" s="234"/>
      <c r="I43" s="245"/>
      <c r="J43" s="183" t="str">
        <f t="shared" si="0"/>
        <v/>
      </c>
      <c r="K43" s="184" t="str">
        <f t="shared" si="1"/>
        <v/>
      </c>
    </row>
    <row r="44" spans="3:12">
      <c r="C44" s="18"/>
      <c r="D44" s="136" t="str">
        <f>IFERROR(VLOOKUP(C44,bhpc_data[],7,FALSE),"")</f>
        <v/>
      </c>
      <c r="E44" s="24"/>
      <c r="F44" s="242"/>
      <c r="G44" s="1"/>
      <c r="H44" s="234"/>
      <c r="I44" s="245"/>
      <c r="J44" s="183" t="str">
        <f t="shared" si="0"/>
        <v/>
      </c>
      <c r="K44" s="184" t="str">
        <f t="shared" si="1"/>
        <v/>
      </c>
    </row>
    <row r="45" spans="3:12">
      <c r="C45" s="18"/>
      <c r="D45" s="136" t="str">
        <f>IFERROR(VLOOKUP(C45,bhpc_data[],7,FALSE),"")</f>
        <v/>
      </c>
      <c r="E45" s="24"/>
      <c r="F45" s="242"/>
      <c r="G45" s="1"/>
      <c r="H45" s="234"/>
      <c r="I45" s="245"/>
      <c r="J45" s="183" t="str">
        <f t="shared" si="0"/>
        <v/>
      </c>
      <c r="K45" s="184" t="str">
        <f t="shared" si="1"/>
        <v/>
      </c>
    </row>
    <row r="46" spans="3:12">
      <c r="C46" s="18"/>
      <c r="D46" s="136" t="str">
        <f>IFERROR(VLOOKUP(C46,bhpc_data[],7,FALSE),"")</f>
        <v/>
      </c>
      <c r="E46" s="24"/>
      <c r="F46" s="242"/>
      <c r="G46" s="1"/>
      <c r="H46" s="234"/>
      <c r="I46" s="245"/>
      <c r="J46" s="183" t="str">
        <f t="shared" si="0"/>
        <v/>
      </c>
      <c r="K46" s="184" t="str">
        <f t="shared" si="1"/>
        <v/>
      </c>
    </row>
    <row r="47" spans="3:12">
      <c r="C47" s="18"/>
      <c r="D47" s="136" t="str">
        <f>IFERROR(VLOOKUP(C47,bhpc_data[],7,FALSE),"")</f>
        <v/>
      </c>
      <c r="E47" s="24"/>
      <c r="F47" s="242"/>
      <c r="G47" s="1"/>
      <c r="H47" s="234"/>
      <c r="I47" s="245"/>
      <c r="J47" s="183" t="str">
        <f t="shared" si="0"/>
        <v/>
      </c>
      <c r="K47" s="184" t="str">
        <f t="shared" si="1"/>
        <v/>
      </c>
    </row>
    <row r="48" spans="3:12">
      <c r="C48" s="18"/>
      <c r="D48" s="136" t="str">
        <f>IFERROR(VLOOKUP(C48,bhpc_data[],7,FALSE),"")</f>
        <v/>
      </c>
      <c r="E48" s="24"/>
      <c r="F48" s="242"/>
      <c r="G48" s="1"/>
      <c r="H48" s="234"/>
      <c r="I48" s="245"/>
      <c r="J48" s="183" t="str">
        <f t="shared" si="0"/>
        <v/>
      </c>
      <c r="K48" s="184" t="str">
        <f t="shared" si="1"/>
        <v/>
      </c>
    </row>
    <row r="49" spans="3:11">
      <c r="C49" s="18"/>
      <c r="D49" s="136" t="str">
        <f>IFERROR(VLOOKUP(C49,bhpc_data[],7,FALSE),"")</f>
        <v/>
      </c>
      <c r="E49" s="24"/>
      <c r="F49" s="242"/>
      <c r="G49" s="1"/>
      <c r="H49" s="234"/>
      <c r="I49" s="245"/>
      <c r="J49" s="183" t="str">
        <f t="shared" si="0"/>
        <v/>
      </c>
      <c r="K49" s="184" t="str">
        <f t="shared" si="1"/>
        <v/>
      </c>
    </row>
    <row r="50" spans="3:11">
      <c r="C50" s="18"/>
      <c r="D50" s="136" t="str">
        <f>IFERROR(VLOOKUP(C50,bhpc_data[],7,FALSE),"")</f>
        <v/>
      </c>
      <c r="E50" s="24"/>
      <c r="F50" s="242"/>
      <c r="G50" s="1"/>
      <c r="H50" s="234"/>
      <c r="I50" s="245"/>
      <c r="J50" s="183" t="str">
        <f t="shared" si="0"/>
        <v/>
      </c>
      <c r="K50" s="184" t="str">
        <f t="shared" si="1"/>
        <v/>
      </c>
    </row>
    <row r="51" spans="3:11">
      <c r="C51" s="18"/>
      <c r="D51" s="136" t="str">
        <f>IFERROR(VLOOKUP(C51,bhpc_data[],7,FALSE),"")</f>
        <v/>
      </c>
      <c r="E51" s="24"/>
      <c r="F51" s="242"/>
      <c r="G51" s="1"/>
      <c r="H51" s="234"/>
      <c r="I51" s="245"/>
      <c r="J51" s="183" t="str">
        <f t="shared" si="0"/>
        <v/>
      </c>
      <c r="K51" s="184" t="str">
        <f t="shared" si="1"/>
        <v/>
      </c>
    </row>
    <row r="52" spans="3:11">
      <c r="C52" s="18"/>
      <c r="D52" s="136" t="str">
        <f>IFERROR(VLOOKUP(C52,bhpc_data[],7,FALSE),"")</f>
        <v/>
      </c>
      <c r="E52" s="24"/>
      <c r="F52" s="242"/>
      <c r="G52" s="1"/>
      <c r="H52" s="234"/>
      <c r="I52" s="245"/>
      <c r="J52" s="183" t="str">
        <f t="shared" si="0"/>
        <v/>
      </c>
      <c r="K52" s="184" t="str">
        <f t="shared" si="1"/>
        <v/>
      </c>
    </row>
    <row r="53" spans="3:11">
      <c r="C53" s="18"/>
      <c r="D53" s="136" t="str">
        <f>IFERROR(VLOOKUP(C53,bhpc_data[],7,FALSE),"")</f>
        <v/>
      </c>
      <c r="E53" s="24"/>
      <c r="F53" s="242"/>
      <c r="H53" s="136"/>
      <c r="I53" s="246"/>
      <c r="J53" s="183" t="str">
        <f t="shared" si="0"/>
        <v/>
      </c>
      <c r="K53" s="184" t="str">
        <f t="shared" si="1"/>
        <v/>
      </c>
    </row>
    <row r="54" spans="3:11">
      <c r="C54" s="18"/>
      <c r="D54" s="136" t="str">
        <f>IFERROR(VLOOKUP(C54,bhpc_data[],7,FALSE),"")</f>
        <v/>
      </c>
      <c r="E54" s="24"/>
      <c r="F54" s="242"/>
      <c r="H54" s="136"/>
      <c r="I54" s="246"/>
      <c r="J54" s="183" t="str">
        <f t="shared" si="0"/>
        <v/>
      </c>
      <c r="K54" s="184" t="str">
        <f t="shared" si="1"/>
        <v/>
      </c>
    </row>
    <row r="55" spans="3:11">
      <c r="C55" s="18"/>
      <c r="D55" s="136" t="str">
        <f>IFERROR(VLOOKUP(C55,bhpc_data[],7,FALSE),"")</f>
        <v/>
      </c>
      <c r="E55" s="24"/>
      <c r="F55" s="242"/>
      <c r="H55" s="136"/>
      <c r="I55" s="246"/>
      <c r="J55" s="183" t="str">
        <f t="shared" si="0"/>
        <v/>
      </c>
      <c r="K55" s="184" t="str">
        <f t="shared" si="1"/>
        <v/>
      </c>
    </row>
    <row r="56" spans="3:11">
      <c r="C56" s="18"/>
      <c r="D56" s="136" t="str">
        <f>IFERROR(VLOOKUP(C56,bhpc_data[],7,FALSE),"")</f>
        <v/>
      </c>
      <c r="E56" s="24"/>
      <c r="F56" s="242"/>
      <c r="H56" s="136"/>
      <c r="I56" s="246"/>
      <c r="J56" s="183" t="str">
        <f t="shared" si="0"/>
        <v/>
      </c>
      <c r="K56" s="184" t="str">
        <f t="shared" si="1"/>
        <v/>
      </c>
    </row>
    <row r="57" spans="3:11">
      <c r="C57" s="18"/>
      <c r="D57" s="136" t="str">
        <f>IFERROR(VLOOKUP(C57,bhpc_data[],7,FALSE),"")</f>
        <v/>
      </c>
      <c r="E57" s="24"/>
      <c r="F57" s="242"/>
      <c r="H57" s="136"/>
      <c r="I57" s="246"/>
      <c r="J57" s="183" t="str">
        <f t="shared" si="0"/>
        <v/>
      </c>
      <c r="K57" s="184" t="str">
        <f t="shared" si="1"/>
        <v/>
      </c>
    </row>
    <row r="58" spans="3:11">
      <c r="C58" s="18"/>
      <c r="D58" s="136" t="str">
        <f>IFERROR(VLOOKUP(C58,bhpc_data[],7,FALSE),"")</f>
        <v/>
      </c>
      <c r="E58" s="24"/>
      <c r="F58" s="242"/>
      <c r="H58" s="136"/>
      <c r="I58" s="246"/>
      <c r="J58" s="183" t="str">
        <f t="shared" si="0"/>
        <v/>
      </c>
      <c r="K58" s="184" t="str">
        <f t="shared" si="1"/>
        <v/>
      </c>
    </row>
    <row r="59" spans="3:11">
      <c r="C59" s="18"/>
      <c r="D59" s="136" t="str">
        <f>IFERROR(VLOOKUP(C59,bhpc_data[],7,FALSE),"")</f>
        <v/>
      </c>
      <c r="E59" s="24"/>
      <c r="F59" s="242"/>
      <c r="H59" s="136"/>
      <c r="I59" s="246"/>
      <c r="J59" s="183" t="str">
        <f t="shared" si="0"/>
        <v/>
      </c>
      <c r="K59" s="184" t="str">
        <f t="shared" si="1"/>
        <v/>
      </c>
    </row>
    <row r="60" spans="3:11">
      <c r="C60" s="18"/>
      <c r="D60" s="136" t="str">
        <f>IFERROR(VLOOKUP(C60,bhpc_data[],7,FALSE),"")</f>
        <v/>
      </c>
      <c r="E60" s="24"/>
      <c r="F60" s="242"/>
      <c r="H60" s="136"/>
      <c r="I60" s="246"/>
      <c r="J60" s="183" t="str">
        <f t="shared" si="0"/>
        <v/>
      </c>
      <c r="K60" s="184" t="str">
        <f t="shared" si="1"/>
        <v/>
      </c>
    </row>
    <row r="61" spans="3:11">
      <c r="C61" s="18"/>
      <c r="D61" s="136" t="str">
        <f>IFERROR(VLOOKUP(C61,bhpc_data[],7,FALSE),"")</f>
        <v/>
      </c>
      <c r="E61" s="24"/>
      <c r="F61" s="242"/>
      <c r="H61" s="136"/>
      <c r="I61" s="246"/>
      <c r="J61" s="183" t="str">
        <f t="shared" si="0"/>
        <v/>
      </c>
      <c r="K61" s="184" t="str">
        <f t="shared" si="1"/>
        <v/>
      </c>
    </row>
    <row r="62" spans="3:11">
      <c r="C62" s="18"/>
      <c r="D62" s="136" t="str">
        <f>IFERROR(VLOOKUP(C62,bhpc_data[],7,FALSE),"")</f>
        <v/>
      </c>
      <c r="E62" s="24"/>
      <c r="F62" s="242"/>
      <c r="H62" s="136"/>
      <c r="I62" s="246"/>
      <c r="J62" s="183" t="str">
        <f t="shared" si="0"/>
        <v/>
      </c>
      <c r="K62" s="184" t="str">
        <f t="shared" si="1"/>
        <v/>
      </c>
    </row>
    <row r="63" spans="3:11">
      <c r="C63" s="18"/>
      <c r="D63" s="136" t="str">
        <f>IFERROR(VLOOKUP(C63,bhpc_data[],7,FALSE),"")</f>
        <v/>
      </c>
      <c r="E63" s="24"/>
      <c r="F63" s="242"/>
      <c r="H63" s="136"/>
      <c r="I63" s="246"/>
      <c r="J63" s="183" t="str">
        <f t="shared" si="0"/>
        <v/>
      </c>
      <c r="K63" s="184" t="str">
        <f t="shared" si="1"/>
        <v/>
      </c>
    </row>
    <row r="64" spans="3:11">
      <c r="C64" s="18"/>
      <c r="D64" s="136" t="str">
        <f>IFERROR(VLOOKUP(C64,bhpc_data[],7,FALSE),"")</f>
        <v/>
      </c>
      <c r="E64" s="24"/>
      <c r="F64" s="242"/>
      <c r="H64" s="136"/>
      <c r="I64" s="246"/>
      <c r="J64" s="183" t="str">
        <f t="shared" si="0"/>
        <v/>
      </c>
      <c r="K64" s="184" t="str">
        <f t="shared" si="1"/>
        <v/>
      </c>
    </row>
    <row r="65" spans="3:11">
      <c r="C65" s="18"/>
      <c r="D65" s="136" t="str">
        <f>IFERROR(VLOOKUP(C65,bhpc_data[],7,FALSE),"")</f>
        <v/>
      </c>
      <c r="E65" s="24"/>
      <c r="F65" s="242"/>
      <c r="H65" s="136"/>
      <c r="I65" s="246"/>
      <c r="J65" s="183" t="str">
        <f t="shared" si="0"/>
        <v/>
      </c>
      <c r="K65" s="184" t="str">
        <f t="shared" si="1"/>
        <v/>
      </c>
    </row>
    <row r="66" spans="3:11">
      <c r="C66" s="18"/>
      <c r="D66" s="136" t="str">
        <f>IFERROR(VLOOKUP(C66,bhpc_data[],7,FALSE),"")</f>
        <v/>
      </c>
      <c r="E66" s="24"/>
      <c r="F66" s="242"/>
      <c r="H66" s="136"/>
      <c r="I66" s="246"/>
      <c r="J66" s="183" t="str">
        <f t="shared" si="0"/>
        <v/>
      </c>
      <c r="K66" s="184" t="str">
        <f t="shared" si="1"/>
        <v/>
      </c>
    </row>
    <row r="67" spans="3:11">
      <c r="C67" s="18"/>
      <c r="D67" s="136" t="str">
        <f>IFERROR(VLOOKUP(C67,bhpc_data[],7,FALSE),"")</f>
        <v/>
      </c>
      <c r="E67" s="24"/>
      <c r="F67" s="242"/>
      <c r="H67" s="136"/>
      <c r="I67" s="246"/>
      <c r="J67" s="183" t="str">
        <f t="shared" si="0"/>
        <v/>
      </c>
      <c r="K67" s="184" t="str">
        <f t="shared" si="1"/>
        <v/>
      </c>
    </row>
    <row r="68" spans="3:11">
      <c r="C68" s="18"/>
      <c r="D68" s="136" t="str">
        <f>IFERROR(VLOOKUP(C68,bhpc_data[],7,FALSE),"")</f>
        <v/>
      </c>
      <c r="E68" s="24"/>
      <c r="F68" s="242"/>
      <c r="H68" s="136"/>
      <c r="I68" s="246"/>
      <c r="J68" s="183" t="str">
        <f t="shared" si="0"/>
        <v/>
      </c>
      <c r="K68" s="184" t="str">
        <f t="shared" si="1"/>
        <v/>
      </c>
    </row>
    <row r="69" spans="3:11">
      <c r="C69" s="18"/>
      <c r="D69" s="136" t="str">
        <f>IFERROR(VLOOKUP(C69,bhpc_data[],7,FALSE),"")</f>
        <v/>
      </c>
      <c r="E69" s="24"/>
      <c r="F69" s="242"/>
      <c r="H69" s="136"/>
      <c r="I69" s="246"/>
      <c r="J69" s="183" t="str">
        <f t="shared" ref="J69:J101" si="2">IF(C69="","",(E69+G69+I69)*4)</f>
        <v/>
      </c>
      <c r="K69" s="184" t="str">
        <f t="shared" ref="K69:K100" si="3">IF(C69="","",F69*E69)</f>
        <v/>
      </c>
    </row>
    <row r="70" spans="3:11">
      <c r="C70" s="18"/>
      <c r="D70" s="136" t="str">
        <f>IFERROR(VLOOKUP(C70,bhpc_data[],7,FALSE),"")</f>
        <v/>
      </c>
      <c r="E70" s="24"/>
      <c r="F70" s="242"/>
      <c r="H70" s="136"/>
      <c r="I70" s="246"/>
      <c r="J70" s="183" t="str">
        <f t="shared" si="2"/>
        <v/>
      </c>
      <c r="K70" s="184" t="str">
        <f t="shared" si="3"/>
        <v/>
      </c>
    </row>
    <row r="71" spans="3:11">
      <c r="C71" s="18"/>
      <c r="D71" s="136" t="str">
        <f>IFERROR(VLOOKUP(C71,bhpc_data[],7,FALSE),"")</f>
        <v/>
      </c>
      <c r="E71" s="24"/>
      <c r="F71" s="242"/>
      <c r="H71" s="136"/>
      <c r="I71" s="246"/>
      <c r="J71" s="183" t="str">
        <f t="shared" si="2"/>
        <v/>
      </c>
      <c r="K71" s="184" t="str">
        <f t="shared" si="3"/>
        <v/>
      </c>
    </row>
    <row r="72" spans="3:11">
      <c r="C72" s="18"/>
      <c r="D72" s="136" t="str">
        <f>IFERROR(VLOOKUP(C72,bhpc_data[],7,FALSE),"")</f>
        <v/>
      </c>
      <c r="E72" s="24"/>
      <c r="F72" s="242"/>
      <c r="H72" s="136"/>
      <c r="I72" s="246"/>
      <c r="J72" s="183" t="str">
        <f t="shared" si="2"/>
        <v/>
      </c>
      <c r="K72" s="184" t="str">
        <f t="shared" si="3"/>
        <v/>
      </c>
    </row>
    <row r="73" spans="3:11">
      <c r="C73" s="18"/>
      <c r="D73" s="136" t="str">
        <f>IFERROR(VLOOKUP(C73,bhpc_data[],7,FALSE),"")</f>
        <v/>
      </c>
      <c r="E73" s="24"/>
      <c r="F73" s="242"/>
      <c r="H73" s="136"/>
      <c r="I73" s="246"/>
      <c r="J73" s="183" t="str">
        <f t="shared" si="2"/>
        <v/>
      </c>
      <c r="K73" s="184" t="str">
        <f t="shared" si="3"/>
        <v/>
      </c>
    </row>
    <row r="74" spans="3:11">
      <c r="C74" s="18"/>
      <c r="D74" s="136" t="str">
        <f>IFERROR(VLOOKUP(C74,bhpc_data[],7,FALSE),"")</f>
        <v/>
      </c>
      <c r="E74" s="24"/>
      <c r="F74" s="242"/>
      <c r="H74" s="136"/>
      <c r="I74" s="246"/>
      <c r="J74" s="183" t="str">
        <f t="shared" si="2"/>
        <v/>
      </c>
      <c r="K74" s="184" t="str">
        <f t="shared" si="3"/>
        <v/>
      </c>
    </row>
    <row r="75" spans="3:11">
      <c r="C75" s="18"/>
      <c r="D75" s="136" t="str">
        <f>IFERROR(VLOOKUP(C75,bhpc_data[],7,FALSE),"")</f>
        <v/>
      </c>
      <c r="E75" s="24"/>
      <c r="F75" s="242"/>
      <c r="H75" s="136"/>
      <c r="I75" s="246"/>
      <c r="J75" s="183" t="str">
        <f t="shared" si="2"/>
        <v/>
      </c>
      <c r="K75" s="184" t="str">
        <f t="shared" si="3"/>
        <v/>
      </c>
    </row>
    <row r="76" spans="3:11">
      <c r="C76" s="18"/>
      <c r="D76" s="136" t="str">
        <f>IFERROR(VLOOKUP(C76,bhpc_data[],7,FALSE),"")</f>
        <v/>
      </c>
      <c r="E76" s="24"/>
      <c r="F76" s="242"/>
      <c r="H76" s="136"/>
      <c r="I76" s="246"/>
      <c r="J76" s="183" t="str">
        <f t="shared" si="2"/>
        <v/>
      </c>
      <c r="K76" s="184" t="str">
        <f t="shared" si="3"/>
        <v/>
      </c>
    </row>
    <row r="77" spans="3:11">
      <c r="C77" s="18"/>
      <c r="D77" s="136" t="str">
        <f>IFERROR(VLOOKUP(C77,bhpc_data[],7,FALSE),"")</f>
        <v/>
      </c>
      <c r="E77" s="24"/>
      <c r="F77" s="242"/>
      <c r="H77" s="136"/>
      <c r="I77" s="246"/>
      <c r="J77" s="183" t="str">
        <f t="shared" si="2"/>
        <v/>
      </c>
      <c r="K77" s="184" t="str">
        <f t="shared" si="3"/>
        <v/>
      </c>
    </row>
    <row r="78" spans="3:11">
      <c r="C78" s="18"/>
      <c r="D78" s="136" t="str">
        <f>IFERROR(VLOOKUP(C78,bhpc_data[],7,FALSE),"")</f>
        <v/>
      </c>
      <c r="E78" s="24"/>
      <c r="F78" s="242"/>
      <c r="H78" s="136"/>
      <c r="I78" s="246"/>
      <c r="J78" s="183" t="str">
        <f t="shared" si="2"/>
        <v/>
      </c>
      <c r="K78" s="184" t="str">
        <f t="shared" si="3"/>
        <v/>
      </c>
    </row>
    <row r="79" spans="3:11">
      <c r="C79" s="18"/>
      <c r="D79" s="136" t="str">
        <f>IFERROR(VLOOKUP(C79,bhpc_data[],7,FALSE),"")</f>
        <v/>
      </c>
      <c r="E79" s="24"/>
      <c r="F79" s="242"/>
      <c r="H79" s="136"/>
      <c r="I79" s="246"/>
      <c r="J79" s="183" t="str">
        <f t="shared" si="2"/>
        <v/>
      </c>
      <c r="K79" s="184" t="str">
        <f t="shared" si="3"/>
        <v/>
      </c>
    </row>
    <row r="80" spans="3:11">
      <c r="C80" s="18"/>
      <c r="D80" s="136" t="str">
        <f>IFERROR(VLOOKUP(C80,bhpc_data[],7,FALSE),"")</f>
        <v/>
      </c>
      <c r="E80" s="24"/>
      <c r="F80" s="242"/>
      <c r="H80" s="136"/>
      <c r="I80" s="246"/>
      <c r="J80" s="183" t="str">
        <f t="shared" si="2"/>
        <v/>
      </c>
      <c r="K80" s="184" t="str">
        <f t="shared" si="3"/>
        <v/>
      </c>
    </row>
    <row r="81" spans="3:11">
      <c r="C81" s="18"/>
      <c r="D81" s="136" t="str">
        <f>IFERROR(VLOOKUP(C81,bhpc_data[],7,FALSE),"")</f>
        <v/>
      </c>
      <c r="E81" s="24"/>
      <c r="F81" s="242"/>
      <c r="H81" s="136"/>
      <c r="I81" s="246"/>
      <c r="J81" s="183" t="str">
        <f t="shared" si="2"/>
        <v/>
      </c>
      <c r="K81" s="184" t="str">
        <f t="shared" si="3"/>
        <v/>
      </c>
    </row>
    <row r="82" spans="3:11">
      <c r="C82" s="18"/>
      <c r="D82" s="136" t="str">
        <f>IFERROR(VLOOKUP(C82,bhpc_data[],7,FALSE),"")</f>
        <v/>
      </c>
      <c r="E82" s="24"/>
      <c r="F82" s="242"/>
      <c r="H82" s="136"/>
      <c r="I82" s="246"/>
      <c r="J82" s="183" t="str">
        <f t="shared" si="2"/>
        <v/>
      </c>
      <c r="K82" s="184" t="str">
        <f t="shared" si="3"/>
        <v/>
      </c>
    </row>
    <row r="83" spans="3:11">
      <c r="C83" s="18"/>
      <c r="D83" s="136" t="str">
        <f>IFERROR(VLOOKUP(C83,bhpc_data[],7,FALSE),"")</f>
        <v/>
      </c>
      <c r="E83" s="24"/>
      <c r="F83" s="242"/>
      <c r="H83" s="136"/>
      <c r="I83" s="246"/>
      <c r="J83" s="183" t="str">
        <f t="shared" si="2"/>
        <v/>
      </c>
      <c r="K83" s="184" t="str">
        <f t="shared" si="3"/>
        <v/>
      </c>
    </row>
    <row r="84" spans="3:11">
      <c r="C84" s="18"/>
      <c r="D84" s="136" t="str">
        <f>IFERROR(VLOOKUP(C84,bhpc_data[],7,FALSE),"")</f>
        <v/>
      </c>
      <c r="E84" s="24"/>
      <c r="F84" s="242"/>
      <c r="H84" s="136"/>
      <c r="I84" s="246"/>
      <c r="J84" s="183" t="str">
        <f t="shared" si="2"/>
        <v/>
      </c>
      <c r="K84" s="184" t="str">
        <f t="shared" si="3"/>
        <v/>
      </c>
    </row>
    <row r="85" spans="3:11">
      <c r="C85" s="18"/>
      <c r="D85" s="136" t="str">
        <f>IFERROR(VLOOKUP(C85,bhpc_data[],7,FALSE),"")</f>
        <v/>
      </c>
      <c r="E85" s="24"/>
      <c r="F85" s="242"/>
      <c r="H85" s="136"/>
      <c r="I85" s="246"/>
      <c r="J85" s="183" t="str">
        <f t="shared" si="2"/>
        <v/>
      </c>
      <c r="K85" s="184" t="str">
        <f t="shared" si="3"/>
        <v/>
      </c>
    </row>
    <row r="86" spans="3:11">
      <c r="C86" s="18"/>
      <c r="D86" s="136" t="str">
        <f>IFERROR(VLOOKUP(C86,bhpc_data[],7,FALSE),"")</f>
        <v/>
      </c>
      <c r="E86" s="24"/>
      <c r="F86" s="242"/>
      <c r="H86" s="136"/>
      <c r="I86" s="246"/>
      <c r="J86" s="183" t="str">
        <f t="shared" si="2"/>
        <v/>
      </c>
      <c r="K86" s="184" t="str">
        <f t="shared" si="3"/>
        <v/>
      </c>
    </row>
    <row r="87" spans="3:11">
      <c r="C87" s="18"/>
      <c r="D87" s="136" t="str">
        <f>IFERROR(VLOOKUP(C87,bhpc_data[],7,FALSE),"")</f>
        <v/>
      </c>
      <c r="E87" s="24"/>
      <c r="F87" s="242"/>
      <c r="H87" s="136"/>
      <c r="I87" s="246"/>
      <c r="J87" s="183" t="str">
        <f t="shared" si="2"/>
        <v/>
      </c>
      <c r="K87" s="184" t="str">
        <f t="shared" si="3"/>
        <v/>
      </c>
    </row>
    <row r="88" spans="3:11">
      <c r="C88" s="18"/>
      <c r="D88" s="136" t="str">
        <f>IFERROR(VLOOKUP(C88,bhpc_data[],7,FALSE),"")</f>
        <v/>
      </c>
      <c r="E88" s="24"/>
      <c r="F88" s="242"/>
      <c r="H88" s="136"/>
      <c r="I88" s="246"/>
      <c r="J88" s="183" t="str">
        <f t="shared" si="2"/>
        <v/>
      </c>
      <c r="K88" s="184" t="str">
        <f t="shared" si="3"/>
        <v/>
      </c>
    </row>
    <row r="89" spans="3:11">
      <c r="C89" s="18"/>
      <c r="D89" s="136" t="str">
        <f>IFERROR(VLOOKUP(C89,bhpc_data[],7,FALSE),"")</f>
        <v/>
      </c>
      <c r="E89" s="24"/>
      <c r="F89" s="242"/>
      <c r="H89" s="136"/>
      <c r="I89" s="246"/>
      <c r="J89" s="183" t="str">
        <f t="shared" si="2"/>
        <v/>
      </c>
      <c r="K89" s="184" t="str">
        <f t="shared" si="3"/>
        <v/>
      </c>
    </row>
    <row r="90" spans="3:11">
      <c r="C90" s="18"/>
      <c r="D90" s="136" t="str">
        <f>IFERROR(VLOOKUP(C90,bhpc_data[],7,FALSE),"")</f>
        <v/>
      </c>
      <c r="E90" s="24"/>
      <c r="F90" s="242"/>
      <c r="H90" s="136"/>
      <c r="I90" s="246"/>
      <c r="J90" s="183" t="str">
        <f t="shared" si="2"/>
        <v/>
      </c>
      <c r="K90" s="184" t="str">
        <f t="shared" si="3"/>
        <v/>
      </c>
    </row>
    <row r="91" spans="3:11">
      <c r="C91" s="18"/>
      <c r="D91" s="136" t="str">
        <f>IFERROR(VLOOKUP(C91,bhpc_data[],7,FALSE),"")</f>
        <v/>
      </c>
      <c r="E91" s="24"/>
      <c r="F91" s="242"/>
      <c r="H91" s="136"/>
      <c r="I91" s="246"/>
      <c r="J91" s="183" t="str">
        <f t="shared" si="2"/>
        <v/>
      </c>
      <c r="K91" s="184" t="str">
        <f t="shared" si="3"/>
        <v/>
      </c>
    </row>
    <row r="92" spans="3:11">
      <c r="C92" s="18"/>
      <c r="D92" s="136" t="str">
        <f>IFERROR(VLOOKUP(C92,bhpc_data[],7,FALSE),"")</f>
        <v/>
      </c>
      <c r="E92" s="24"/>
      <c r="F92" s="242"/>
      <c r="H92" s="136"/>
      <c r="I92" s="246"/>
      <c r="J92" s="183" t="str">
        <f t="shared" si="2"/>
        <v/>
      </c>
      <c r="K92" s="184" t="str">
        <f t="shared" si="3"/>
        <v/>
      </c>
    </row>
    <row r="93" spans="3:11">
      <c r="C93" s="18"/>
      <c r="D93" s="136" t="str">
        <f>IFERROR(VLOOKUP(C93,bhpc_data[],7,FALSE),"")</f>
        <v/>
      </c>
      <c r="E93" s="24"/>
      <c r="F93" s="242"/>
      <c r="H93" s="136"/>
      <c r="I93" s="246"/>
      <c r="J93" s="183" t="str">
        <f t="shared" si="2"/>
        <v/>
      </c>
      <c r="K93" s="184" t="str">
        <f t="shared" si="3"/>
        <v/>
      </c>
    </row>
    <row r="94" spans="3:11">
      <c r="C94" s="18"/>
      <c r="D94" s="136" t="str">
        <f>IFERROR(VLOOKUP(C94,bhpc_data[],7,FALSE),"")</f>
        <v/>
      </c>
      <c r="E94" s="24"/>
      <c r="F94" s="242"/>
      <c r="H94" s="136"/>
      <c r="I94" s="246"/>
      <c r="J94" s="183" t="str">
        <f t="shared" si="2"/>
        <v/>
      </c>
      <c r="K94" s="184" t="str">
        <f t="shared" si="3"/>
        <v/>
      </c>
    </row>
    <row r="95" spans="3:11">
      <c r="C95" s="18"/>
      <c r="D95" s="136" t="str">
        <f>IFERROR(VLOOKUP(C95,bhpc_data[],7,FALSE),"")</f>
        <v/>
      </c>
      <c r="E95" s="24"/>
      <c r="F95" s="242"/>
      <c r="H95" s="136"/>
      <c r="I95" s="246"/>
      <c r="J95" s="183" t="str">
        <f t="shared" si="2"/>
        <v/>
      </c>
      <c r="K95" s="184" t="str">
        <f t="shared" si="3"/>
        <v/>
      </c>
    </row>
    <row r="96" spans="3:11">
      <c r="C96" s="18"/>
      <c r="D96" s="136" t="str">
        <f>IFERROR(VLOOKUP(C96,bhpc_data[],7,FALSE),"")</f>
        <v/>
      </c>
      <c r="E96" s="24"/>
      <c r="F96" s="242"/>
      <c r="H96" s="136"/>
      <c r="I96" s="246"/>
      <c r="J96" s="183" t="str">
        <f t="shared" si="2"/>
        <v/>
      </c>
      <c r="K96" s="184" t="str">
        <f t="shared" si="3"/>
        <v/>
      </c>
    </row>
    <row r="97" spans="1:11">
      <c r="C97" s="18"/>
      <c r="D97" s="136" t="str">
        <f>IFERROR(VLOOKUP(C97,bhpc_data[],7,FALSE),"")</f>
        <v/>
      </c>
      <c r="E97" s="24"/>
      <c r="F97" s="242"/>
      <c r="H97" s="136"/>
      <c r="I97" s="246"/>
      <c r="J97" s="183" t="str">
        <f t="shared" si="2"/>
        <v/>
      </c>
      <c r="K97" s="184" t="str">
        <f t="shared" si="3"/>
        <v/>
      </c>
    </row>
    <row r="98" spans="1:11">
      <c r="C98" s="18"/>
      <c r="D98" s="136" t="str">
        <f>IFERROR(VLOOKUP(C98,bhpc_data[],7,FALSE),"")</f>
        <v/>
      </c>
      <c r="E98" s="24"/>
      <c r="F98" s="242"/>
      <c r="H98" s="136"/>
      <c r="I98" s="246"/>
      <c r="J98" s="183" t="str">
        <f t="shared" si="2"/>
        <v/>
      </c>
      <c r="K98" s="184" t="str">
        <f t="shared" si="3"/>
        <v/>
      </c>
    </row>
    <row r="99" spans="1:11">
      <c r="C99" s="18"/>
      <c r="D99" s="136" t="str">
        <f>IFERROR(VLOOKUP(C99,bhpc_data[],7,FALSE),"")</f>
        <v/>
      </c>
      <c r="E99" s="24"/>
      <c r="F99" s="242"/>
      <c r="H99" s="136"/>
      <c r="I99" s="246"/>
      <c r="J99" s="183" t="str">
        <f t="shared" si="2"/>
        <v/>
      </c>
      <c r="K99" s="184" t="str">
        <f t="shared" si="3"/>
        <v/>
      </c>
    </row>
    <row r="100" spans="1:11" ht="15" thickBot="1">
      <c r="C100" s="18"/>
      <c r="D100" s="136" t="str">
        <f>IFERROR(VLOOKUP(C100,bhpc_data[],7,FALSE),"")</f>
        <v/>
      </c>
      <c r="E100" s="24"/>
      <c r="F100" s="242"/>
      <c r="H100" s="136"/>
      <c r="I100" s="246"/>
      <c r="J100" s="183" t="str">
        <f t="shared" si="2"/>
        <v/>
      </c>
      <c r="K100" s="184" t="str">
        <f t="shared" si="3"/>
        <v/>
      </c>
    </row>
    <row r="101" spans="1:11" ht="15.5" thickTop="1" thickBot="1">
      <c r="A101" s="186"/>
      <c r="B101" s="187"/>
      <c r="C101" s="192"/>
      <c r="D101" t="str">
        <f>IFERROR(VLOOKUP(C101,bhpc_data[],7,FALSE),"")</f>
        <v/>
      </c>
      <c r="E101" s="25"/>
      <c r="F101" s="243"/>
      <c r="G101" s="7"/>
      <c r="H101" s="235"/>
      <c r="I101" s="247"/>
      <c r="J101" s="26" t="str">
        <f t="shared" si="2"/>
        <v/>
      </c>
      <c r="K101" s="27"/>
    </row>
    <row r="102" spans="1:11" ht="15" thickTop="1"/>
  </sheetData>
  <autoFilter ref="C3:E52">
    <sortState ref="C3:E51">
      <sortCondition descending="1" ref="D1:D50"/>
    </sortState>
  </autoFilter>
  <dataValidations count="2">
    <dataValidation type="list" allowBlank="1" showInputMessage="1" showErrorMessage="1" sqref="H4:H61">
      <formula1>"NORMAL,DISCOUNTED,FOC"</formula1>
    </dataValidation>
    <dataValidation type="list" allowBlank="1" showInputMessage="1" showErrorMessage="1" sqref="M7">
      <formula1>"EUR,USD,GBP"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"/>
  <dimension ref="B2:B19"/>
  <sheetViews>
    <sheetView workbookViewId="0">
      <selection activeCell="B3" sqref="B3"/>
    </sheetView>
  </sheetViews>
  <sheetFormatPr defaultRowHeight="14.5"/>
  <sheetData>
    <row r="2" spans="2:2">
      <c r="B2" t="s">
        <v>532</v>
      </c>
    </row>
    <row r="10" spans="2:2">
      <c r="B10" t="s">
        <v>409</v>
      </c>
    </row>
    <row r="12" spans="2:2">
      <c r="B12" t="s">
        <v>410</v>
      </c>
    </row>
    <row r="13" spans="2:2">
      <c r="B13" t="s">
        <v>414</v>
      </c>
    </row>
    <row r="16" spans="2:2">
      <c r="B16" t="s">
        <v>411</v>
      </c>
    </row>
    <row r="18" spans="2:2">
      <c r="B18" t="s">
        <v>412</v>
      </c>
    </row>
    <row r="19" spans="2:2">
      <c r="B19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"/>
  <dimension ref="A1:CL250"/>
  <sheetViews>
    <sheetView showGridLines="0" tabSelected="1" zoomScale="120" zoomScaleNormal="120" workbookViewId="0">
      <selection activeCell="J2" sqref="J2"/>
    </sheetView>
  </sheetViews>
  <sheetFormatPr defaultRowHeight="14.5"/>
  <cols>
    <col min="1" max="1" width="13.453125" style="264" customWidth="1"/>
    <col min="2" max="2" width="10.1796875" style="264" customWidth="1"/>
    <col min="3" max="4" width="1.54296875" customWidth="1"/>
    <col min="5" max="5" width="20.54296875" customWidth="1"/>
    <col min="6" max="6" width="3.26953125" customWidth="1"/>
    <col min="7" max="7" width="14.81640625" customWidth="1"/>
    <col min="8" max="8" width="9.7265625" customWidth="1"/>
    <col min="9" max="9" width="8.90625" customWidth="1"/>
    <col min="10" max="10" width="12.1796875" customWidth="1"/>
    <col min="11" max="12" width="3.26953125" customWidth="1"/>
    <col min="13" max="13" width="15.26953125" style="1" customWidth="1"/>
    <col min="14" max="22" width="15.26953125" customWidth="1"/>
    <col min="23" max="23" width="3.54296875" customWidth="1"/>
    <col min="24" max="24" width="24.54296875" customWidth="1"/>
    <col min="25" max="39" width="8.7265625" customWidth="1"/>
    <col min="40" max="40" width="2.54296875" customWidth="1"/>
    <col min="41" max="41" width="20.54296875" customWidth="1"/>
    <col min="42" max="42" width="3.1796875" customWidth="1"/>
    <col min="43" max="43" width="20.1796875" customWidth="1"/>
    <col min="44" max="44" width="12.1796875" customWidth="1"/>
    <col min="45" max="45" width="12.08984375" customWidth="1"/>
    <col min="46" max="46" width="12.1796875" customWidth="1"/>
    <col min="47" max="47" width="3" customWidth="1"/>
    <col min="48" max="48" width="3.1796875" customWidth="1"/>
    <col min="49" max="49" width="8.7265625" customWidth="1"/>
    <col min="50" max="50" width="50" customWidth="1"/>
    <col min="51" max="51" width="8.7265625" customWidth="1"/>
    <col min="52" max="52" width="9.54296875" customWidth="1"/>
    <col min="53" max="54" width="10.26953125" customWidth="1"/>
    <col min="55" max="55" width="11" customWidth="1"/>
    <col min="56" max="56" width="10.26953125" customWidth="1"/>
    <col min="57" max="58" width="11.54296875" customWidth="1"/>
    <col min="59" max="59" width="8.7265625" style="1" customWidth="1"/>
    <col min="60" max="60" width="8.7265625" customWidth="1"/>
    <col min="61" max="61" width="3.7265625" customWidth="1"/>
    <col min="62" max="62" width="8.7265625" customWidth="1"/>
    <col min="63" max="63" width="11.54296875" style="374" customWidth="1"/>
    <col min="64" max="64" width="11.54296875" style="375" customWidth="1"/>
    <col min="65" max="65" width="11.54296875" style="376" customWidth="1"/>
    <col min="66" max="66" width="11.54296875" style="375" customWidth="1"/>
    <col min="67" max="67" width="13.08984375" style="376" customWidth="1"/>
    <col min="68" max="68" width="14.26953125" customWidth="1"/>
    <col min="69" max="71" width="50.6328125" customWidth="1"/>
    <col min="72" max="73" width="8.7265625" customWidth="1"/>
    <col min="74" max="75" width="2.54296875" customWidth="1"/>
    <col min="76" max="76" width="20.54296875" customWidth="1"/>
    <col min="77" max="77" width="2.54296875" customWidth="1"/>
  </cols>
  <sheetData>
    <row r="1" spans="1:90" ht="16.5" customHeight="1">
      <c r="C1" s="259"/>
    </row>
    <row r="2" spans="1:90">
      <c r="A2" s="264" t="s">
        <v>488</v>
      </c>
      <c r="B2" s="264">
        <v>15</v>
      </c>
      <c r="J2">
        <f>DAY(B5)</f>
        <v>6</v>
      </c>
      <c r="AQ2" t="s">
        <v>524</v>
      </c>
    </row>
    <row r="3" spans="1:90">
      <c r="A3" s="264" t="s">
        <v>511</v>
      </c>
      <c r="B3" s="264">
        <v>0</v>
      </c>
      <c r="AQ3" t="s">
        <v>525</v>
      </c>
    </row>
    <row r="4" spans="1:90">
      <c r="A4" s="264" t="s">
        <v>496</v>
      </c>
      <c r="B4" s="264" t="s">
        <v>623</v>
      </c>
      <c r="R4" s="582" t="s">
        <v>620</v>
      </c>
      <c r="S4" s="582"/>
    </row>
    <row r="5" spans="1:90">
      <c r="A5" s="264" t="s">
        <v>521</v>
      </c>
      <c r="B5" s="264">
        <v>6</v>
      </c>
      <c r="O5" s="387" t="s">
        <v>618</v>
      </c>
      <c r="P5" s="288">
        <v>2024</v>
      </c>
      <c r="R5" s="387" t="s">
        <v>619</v>
      </c>
      <c r="S5" s="288"/>
    </row>
    <row r="7" spans="1:90">
      <c r="E7" s="18"/>
      <c r="F7" s="18"/>
      <c r="G7" s="18"/>
      <c r="H7" s="18"/>
      <c r="I7" s="18"/>
      <c r="J7" s="18"/>
      <c r="K7" s="18"/>
      <c r="L7" s="18"/>
      <c r="M7" s="18"/>
      <c r="N7" s="18"/>
      <c r="O7" s="348" t="s">
        <v>493</v>
      </c>
      <c r="P7" s="580" t="s">
        <v>467</v>
      </c>
      <c r="Q7" s="581"/>
      <c r="S7" s="348" t="s">
        <v>494</v>
      </c>
      <c r="T7" s="580" t="s">
        <v>495</v>
      </c>
      <c r="U7" s="581"/>
      <c r="V7" s="18"/>
      <c r="AY7" s="20" t="s">
        <v>493</v>
      </c>
      <c r="AZ7" s="288" t="s">
        <v>148</v>
      </c>
      <c r="BB7" s="20" t="s">
        <v>494</v>
      </c>
      <c r="BC7" s="288" t="s">
        <v>495</v>
      </c>
    </row>
    <row r="8" spans="1:90" ht="15" customHeight="1" thickBot="1">
      <c r="A8" s="264" t="s">
        <v>512</v>
      </c>
      <c r="B8" s="264">
        <v>0</v>
      </c>
      <c r="E8" s="15" t="s">
        <v>472</v>
      </c>
      <c r="G8" s="130" t="s">
        <v>429</v>
      </c>
      <c r="M8" s="367" t="s">
        <v>471</v>
      </c>
      <c r="AO8" s="367" t="s">
        <v>621</v>
      </c>
      <c r="AQ8" s="130" t="s">
        <v>513</v>
      </c>
      <c r="AW8" s="130" t="s">
        <v>506</v>
      </c>
      <c r="BO8" s="377"/>
      <c r="BP8" s="373"/>
      <c r="BX8" s="15" t="s">
        <v>472</v>
      </c>
    </row>
    <row r="9" spans="1:90" ht="15" thickBot="1">
      <c r="E9" s="275" t="str">
        <f>INDEX(dbClienti[cod_cliente],$B$5)</f>
        <v>BLUE OCEAN 1</v>
      </c>
      <c r="G9" s="265"/>
      <c r="H9" s="266"/>
      <c r="I9" s="266"/>
      <c r="J9" s="266"/>
      <c r="K9" s="267"/>
      <c r="M9" s="277" t="s">
        <v>465</v>
      </c>
      <c r="N9" s="278" t="s">
        <v>466</v>
      </c>
      <c r="O9" s="278" t="s">
        <v>467</v>
      </c>
      <c r="P9" s="278" t="s">
        <v>392</v>
      </c>
      <c r="Q9" s="278" t="s">
        <v>397</v>
      </c>
      <c r="R9" s="278" t="s">
        <v>398</v>
      </c>
      <c r="S9" s="278" t="s">
        <v>460</v>
      </c>
      <c r="T9" s="278" t="s">
        <v>400</v>
      </c>
      <c r="U9" s="278" t="s">
        <v>468</v>
      </c>
      <c r="V9" s="279" t="s">
        <v>479</v>
      </c>
      <c r="AO9" s="275" t="s">
        <v>474</v>
      </c>
      <c r="AQ9" s="285"/>
      <c r="AR9" s="266"/>
      <c r="AS9" s="266"/>
      <c r="AT9" s="266"/>
      <c r="AU9" s="267"/>
      <c r="AW9" s="277" t="s">
        <v>148</v>
      </c>
      <c r="AX9" s="278" t="s">
        <v>151</v>
      </c>
      <c r="AY9" s="278" t="s">
        <v>402</v>
      </c>
      <c r="AZ9" s="278" t="s">
        <v>403</v>
      </c>
      <c r="BA9" s="278" t="s">
        <v>404</v>
      </c>
      <c r="BB9" s="278" t="s">
        <v>426</v>
      </c>
      <c r="BC9" s="278" t="s">
        <v>507</v>
      </c>
      <c r="BD9" s="278" t="s">
        <v>424</v>
      </c>
      <c r="BE9" s="278" t="s">
        <v>508</v>
      </c>
      <c r="BF9" s="278" t="s">
        <v>509</v>
      </c>
      <c r="BG9" s="278"/>
      <c r="BH9" s="279"/>
      <c r="BK9" s="374" t="s">
        <v>613</v>
      </c>
      <c r="BL9" s="375" t="s">
        <v>616</v>
      </c>
      <c r="BM9" s="376" t="s">
        <v>614</v>
      </c>
      <c r="BN9" s="375" t="s">
        <v>615</v>
      </c>
      <c r="BO9" s="134" t="s">
        <v>617</v>
      </c>
      <c r="BP9" s="373"/>
      <c r="BX9" s="275"/>
      <c r="BZ9" t="s">
        <v>341</v>
      </c>
      <c r="CG9" s="248" t="s">
        <v>415</v>
      </c>
      <c r="CH9" s="249"/>
      <c r="CI9" s="249"/>
      <c r="CJ9" s="249"/>
      <c r="CK9" s="249"/>
      <c r="CL9" s="250"/>
    </row>
    <row r="10" spans="1:90">
      <c r="G10" s="273" t="s">
        <v>448</v>
      </c>
      <c r="H10" s="565">
        <f>INDEX(dbClienti[company_name1],MATCH($E$9,dbClienti[cod_cliente],0))</f>
        <v>0</v>
      </c>
      <c r="I10" s="566"/>
      <c r="J10" s="567"/>
      <c r="K10" s="269"/>
      <c r="M10" s="297" t="str">
        <f t="array" ref="M10">IFERROR(IF($P$5="",INDEX(orderHistory[order_id], SMALL(IF(ISNUMBER(MATCH(orderHistory[customer], $E$9, 0)), MATCH(ROW(orderHistory[customer]),ROW(orderHistory[customer])), ""), ROWS($A$1:A1)+$B$3)),INDEX(orderHistory[order_id], SMALL(IF(ISNUMBER(MATCH(orderHistory[customer], $E$9, 0)*MATCH(YEAR(orderHistory[order_date]),$P$5,0)), MATCH(ROW(orderHistory[customer]),ROW(orderHistory[customer])), ""), ROWS($A$1:A1)+$B$3))),"")</f>
        <v/>
      </c>
      <c r="N10" s="298" t="str">
        <f t="array" ref="N10">IFERROR(IF($P$5="",INDEX(orderHistory[order_date], SMALL(IF(ISNUMBER(MATCH(orderHistory[customer], $E$9, 0)), MATCH(ROW(orderHistory[customer]),ROW(orderHistory[customer])), ""), ROWS($A$1:B1)+$B$3)),INDEX(orderHistory[order_date], SMALL(IF(ISNUMBER(MATCH(orderHistory[customer], $E$9, 0)*MATCH(YEAR(orderHistory[order_date]),$P$5,0)), MATCH(ROW(orderHistory[customer]),ROW(orderHistory[customer])), ""), ROWS($A$1:B1)+$B$3))),"")</f>
        <v/>
      </c>
      <c r="O10" s="299" t="str">
        <f t="array" ref="O10">IFERROR(IF($P$5="",INDEX(orderHistory[carton_no], SMALL(IF(ISNUMBER(MATCH(orderHistory[customer], $E$9, 0)), MATCH(ROW(orderHistory[customer]),ROW(orderHistory[customer])), ""), ROWS($A$1:C1)+$B$3)),INDEX(orderHistory[carton_no], SMALL(IF(ISNUMBER(MATCH(orderHistory[customer], $E$9, 0)*MATCH(YEAR(orderHistory[order_date]),$P$5,0)), MATCH(ROW(orderHistory[customer]),ROW(orderHistory[customer])), ""), ROWS($A$1:C1)+$B$3))),"")</f>
        <v/>
      </c>
      <c r="P10" s="299" t="str">
        <f t="array" ref="P10">IFERROR(IF($P$5="",INDEX(orderHistory[pallet_no], SMALL(IF(ISNUMBER(MATCH(orderHistory[customer], $E$9, 0)), MATCH(ROW(orderHistory[customer]),ROW(orderHistory[customer])), ""), ROWS($A$1:D1)+$B$3)),INDEX(orderHistory[pallet_no], SMALL(IF(ISNUMBER(MATCH(orderHistory[customer], $E$9, 0)*MATCH(YEAR(orderHistory[order_date]),$P$5,0)), MATCH(ROW(orderHistory[customer]),ROW(orderHistory[customer])), ""), ROWS($A$1:D1)+$B$3))),"")</f>
        <v/>
      </c>
      <c r="Q10" s="299" t="str">
        <f t="array" ref="Q10">IFERROR(IF($P$5="",INDEX(orderHistory[invoice_no], SMALL(IF(ISNUMBER(MATCH(orderHistory[customer], $E$9, 0)), MATCH(ROW(orderHistory[customer]),ROW(orderHistory[customer])), ""), ROWS($A$1:E1)+$B$3)),INDEX(orderHistory[invoice_no], SMALL(IF(ISNUMBER(MATCH(orderHistory[customer], $E$9, 0)*MATCH(YEAR(orderHistory[order_date]),$P$5,0)), MATCH(ROW(orderHistory[customer]),ROW(orderHistory[customer])), ""), ROWS($A$1:E1)+$B$3))),"")</f>
        <v/>
      </c>
      <c r="R10" s="298" t="str">
        <f t="array" ref="R10">IFERROR(IF($P$5="",INDEX(orderHistory[invoice_date], SMALL(IF(ISNUMBER(MATCH(orderHistory[customer], $E$9, 0)), MATCH(ROW(orderHistory[customer]),ROW(orderHistory[customer])), ""), ROWS($A$1:F1)+$B$3)),INDEX(orderHistory[invoice_date], SMALL(IF(ISNUMBER(MATCH(orderHistory[customer], $E$9, 0)*MATCH(YEAR(orderHistory[order_date]),$P$5,0)), MATCH(ROW(orderHistory[customer]),ROW(orderHistory[customer])), ""), ROWS($A$1:F1)+$B$3))),"")</f>
        <v/>
      </c>
      <c r="S10" s="299" t="str">
        <f t="array" ref="S10">IFERROR(IF($P$5="",INDEX(orderHistory[payed], SMALL(IF(ISNUMBER(MATCH(orderHistory[customer], $E$9, 0)), MATCH(ROW(orderHistory[customer]),ROW(orderHistory[customer])), ""), ROWS($A$1:G1)+$B$3)),INDEX(orderHistory[payed], SMALL(IF(ISNUMBER(MATCH(orderHistory[customer], $E$9, 0)*MATCH(YEAR(orderHistory[order_date]),$P$5,0)), MATCH(ROW(orderHistory[customer]),ROW(orderHistory[customer])), ""), ROWS($A$1:G1)+$B$3))),"")</f>
        <v/>
      </c>
      <c r="T10" s="298" t="str">
        <f t="array" ref="T10">IFERROR(IF($P$5="",INDEX(orderHistory[payment_date], SMALL(IF(ISNUMBER(MATCH(orderHistory[customer], $E$9, 0)), MATCH(ROW(orderHistory[customer]),ROW(orderHistory[customer])), ""), ROWS($A$1:H1)+$B$3)),INDEX(orderHistory[payment_date], SMALL(IF(ISNUMBER(MATCH(orderHistory[customer], $E$9, 0)*MATCH(YEAR(orderHistory[order_date]),$P$5,0)), MATCH(ROW(orderHistory[customer]),ROW(orderHistory[customer])), ""), ROWS($A$1:H1)+$B$3))),"")</f>
        <v/>
      </c>
      <c r="U10" s="300" t="str">
        <f t="array" ref="U10">IFERROR(IF($P$5="",INDEX(orderHistory[amount_sold], SMALL(IF(ISNUMBER(MATCH(orderHistory[customer], $E$9, 0)), MATCH(ROW(orderHistory[customer]),ROW(orderHistory[customer])), ""), ROWS($A$1:I1)+$B$3)),INDEX(orderHistory[amount_sold], SMALL(IF(ISNUMBER(MATCH(orderHistory[customer], $E$9, 0)*MATCH(YEAR(orderHistory[order_date]),$P$5,0)), MATCH(ROW(orderHistory[customer]),ROW(orderHistory[customer])), ""), ROWS($A$1:I1)+$B$3))),"")</f>
        <v/>
      </c>
      <c r="V10" s="301" t="str">
        <f t="array" ref="V10">IFERROR(IF($P$5="",INDEX(orderHistory[status], SMALL(IF(ISNUMBER(MATCH(orderHistory[customer], $E$9, 0)), MATCH(ROW(orderHistory[customer]),ROW(orderHistory[customer])), ""), ROWS($A$1:J1)+$B$3)),INDEX(orderHistory[status], SMALL(IF(ISNUMBER(MATCH(orderHistory[customer], $E$9, 0)*MATCH(YEAR(orderHistory[order_date]),$P$5,0)), MATCH(ROW(orderHistory[customer]),ROW(orderHistory[customer])), ""), ROWS($A$1:J1)+$B$3))),"")</f>
        <v/>
      </c>
      <c r="W10" s="289"/>
      <c r="AO10" s="367" t="s">
        <v>622</v>
      </c>
      <c r="AQ10" s="274" t="s">
        <v>375</v>
      </c>
      <c r="AR10" s="341">
        <f>AO11</f>
        <v>0</v>
      </c>
      <c r="AS10" s="331" t="s">
        <v>529</v>
      </c>
      <c r="AT10" s="351" t="e">
        <f>VLOOKUP($AR$10,orderHistory[],16,FALSE)</f>
        <v>#N/A</v>
      </c>
      <c r="AU10" s="269"/>
      <c r="AW10" s="368" t="str">
        <f t="array" ref="AW10">IFERROR(IF($AO$9="ALL","ERR.",INDEX(salesHistory[sku],SMALL(IF(ISNUMBER(MATCH(salesHistory[order_no], $AO$11, 0)), MATCH(ROW(salesHistory[order_no]),ROW(salesHistory[order_no])), ""), ROWS($A$1:A1)+$B$8))),"")</f>
        <v/>
      </c>
      <c r="AX10" s="322" t="str">
        <f t="array" ref="AX10">IFERROR(IF($AO$9="ALL","ERR.",INDEX(salesHistory[description],SMALL(IF(ISNUMBER(MATCH(salesHistory[order_no], $AO$11, 0)), MATCH(ROW(salesHistory[order_no]),ROW(salesHistory[order_no])), ""), ROWS($A$1:A1)+$B$8))),"")</f>
        <v/>
      </c>
      <c r="AY10" s="313" t="str">
        <f t="array" ref="AY10">IFERROR(IF($AO$9="ALL","ERR.",INDEX(salesHistory[qty],SMALL(IF(ISNUMBER(MATCH(salesHistory[order_no], $AO$11, 0)), MATCH(ROW(salesHistory[order_no]),ROW(salesHistory[order_no])), ""), ROWS($A$1:A1)+$B$8))),"")</f>
        <v/>
      </c>
      <c r="AZ10" s="316" t="str">
        <f t="array" ref="AZ10">IFERROR(IF($AO$9="ALL","ERR.",INDEX(salesHistory[sale_price],SMALL(IF(ISNUMBER(MATCH(salesHistory[order_no], $AO$11, 0)), MATCH(ROW(salesHistory[order_no]),ROW(salesHistory[order_no])), ""), ROWS($A$1:A1)+$B$8))),"")</f>
        <v/>
      </c>
      <c r="BA10" s="316" t="str">
        <f t="array" ref="BA10">IFERROR(IF($AO$9="ALL","ERR.",INDEX(salesHistory[cost_price],SMALL(IF(ISNUMBER(MATCH(salesHistory[order_no], $AO$11, 0)), MATCH(ROW(salesHistory[order_no]),ROW(salesHistory[order_no])), ""), ROWS($A$1:A1)+$B$8))),"")</f>
        <v/>
      </c>
      <c r="BB10" s="319" t="str">
        <f t="array" ref="BB10">IFERROR(IF($AO$9="ALL","ERR.",INDEX(salesHistory[disc_qty],SMALL(IF(ISNUMBER(MATCH(salesHistory[order_no], $AO$11, 0)), MATCH(ROW(salesHistory[order_no]),ROW(salesHistory[order_no])), ""), ROWS($A$1:A1)+$B$8))),"")</f>
        <v/>
      </c>
      <c r="BC10" s="323" t="str">
        <f t="array" ref="BC10">IFERROR(IF($AO$9="ALL","ERR.",INDEX(salesHistory[disc_price],SMALL(IF(ISNUMBER(MATCH(salesHistory[order_no], $AO$11, 0)), MATCH(ROW(salesHistory[order_no]),ROW(salesHistory[order_no])), ""), ROWS($A$1:A1)+$B$8))),"")</f>
        <v/>
      </c>
      <c r="BD10" s="313" t="str">
        <f t="array" ref="BD10">IFERROR(IF($AO$9="ALL","ERR.",INDEX(salesHistory[foc_qty],SMALL(IF(ISNUMBER(MATCH(salesHistory[order_no], $AO$11, 0)), MATCH(ROW(salesHistory[order_no]),ROW(salesHistory[order_no])), ""), ROWS($A$1:A1)+$B$8))),"")</f>
        <v/>
      </c>
      <c r="BE10" s="316" t="str">
        <f t="array" ref="BE10">IFERROR(IF($AO$9="ALL","ERR.",INDEX(salesHistory[tot_cost],SMALL(IF(ISNUMBER(MATCH(salesHistory[order_no], $AO$11, 0)), MATCH(ROW(salesHistory[order_no]),ROW(salesHistory[order_no])), ""), ROWS($A$1:A1)+$B$8))),"")</f>
        <v/>
      </c>
      <c r="BF10" s="316" t="str">
        <f t="array" ref="BF10">IFERROR(IF($AO$9="ALL","ERR.",INDEX(salesHistory[tot_sold],SMALL(IF(ISNUMBER(MATCH(salesHistory[order_no], $AO$11, 0)), MATCH(ROW(salesHistory[order_no]),ROW(salesHistory[order_no])), ""), ROWS($A$1:A1)+$B$8))),"")</f>
        <v/>
      </c>
      <c r="BG10" s="313"/>
      <c r="BH10" s="324"/>
      <c r="BI10" s="289"/>
      <c r="BK10" s="378">
        <f t="array" ref="BK10">IFERROR(IF($AO$9="",INDEX(orderHistory[order_date],ROW()-9),INDEX(orderHistory[order_date], MATCH(0, IF($AO$9=orderHistory[customer],COUNTIF($BK$9:$BK9,orderHistory[order_date]), "")), 0)),"")</f>
        <v>0</v>
      </c>
      <c r="BL10" s="379">
        <f t="array" ref="BL10">IFERROR(IF($AO$9="ALL",INDEX(orderHistory[order_id],ROW()-9),INDEX(orderHistory[order_id], MATCH(0, IF($AO$9=orderHistory[customer],COUNTIF($BL$9:$BL9,orderHistory[order_id]), "")), 0)),"")</f>
        <v>20240005</v>
      </c>
      <c r="BM10" s="380">
        <f>IF(BK10="","",YEAR(BK10))</f>
        <v>1900</v>
      </c>
      <c r="BN10" s="379">
        <f t="array" aca="1" ref="BN10" ca="1">IFERROR(INDEX(orderYearForSelectedClient, MATCH(0, COUNTIF($BN$9:BN9, orderYearForSelectedClient&amp;"") + IF(orderYearForSelectedClient="",1,0), 0)), "")</f>
        <v>1900</v>
      </c>
      <c r="BO10" s="380" t="str">
        <f t="shared" ref="BO10:BO73" si="0">IF($P$5="",BL10,IF(BM10=$P$5,BL10,""))</f>
        <v/>
      </c>
      <c r="CG10" s="251"/>
      <c r="CL10" s="252"/>
    </row>
    <row r="11" spans="1:90">
      <c r="G11" s="273"/>
      <c r="H11" s="268"/>
      <c r="I11" s="268"/>
      <c r="J11" s="268"/>
      <c r="K11" s="269"/>
      <c r="M11" s="302" t="str">
        <f t="array" ref="M11">IFERROR(IF($P$5="",INDEX(orderHistory[order_id], SMALL(IF(ISNUMBER(MATCH(orderHistory[customer], $E$9, 0)), MATCH(ROW(orderHistory[customer]),ROW(orderHistory[customer])), ""), ROWS($A$1:A2)+$B$3)),INDEX(orderHistory[order_id], SMALL(IF(ISNUMBER(MATCH(orderHistory[customer], $E$9, 0)*MATCH(YEAR(orderHistory[order_date]),$P$5,0)), MATCH(ROW(orderHistory[customer]),ROW(orderHistory[customer])), ""), ROWS($A$1:A2)+$B$3))),"")</f>
        <v/>
      </c>
      <c r="N11" s="303" t="str">
        <f t="array" ref="N11">IFERROR(IF($P$5="",INDEX(orderHistory[order_date], SMALL(IF(ISNUMBER(MATCH(orderHistory[customer], $E$9, 0)), MATCH(ROW(orderHistory[customer]),ROW(orderHistory[customer])), ""), ROWS($A$1:B2)+$B$3)),INDEX(orderHistory[order_date], SMALL(IF(ISNUMBER(MATCH(orderHistory[customer], $E$9, 0)*MATCH(YEAR(orderHistory[order_date]),$P$5,0)), MATCH(ROW(orderHistory[customer]),ROW(orderHistory[customer])), ""), ROWS($A$1:B2)+$B$3))),"")</f>
        <v/>
      </c>
      <c r="O11" s="304" t="str">
        <f t="array" ref="O11">IFERROR(IF($P$5="",INDEX(orderHistory[carton_no], SMALL(IF(ISNUMBER(MATCH(orderHistory[customer], $E$9, 0)), MATCH(ROW(orderHistory[customer]),ROW(orderHistory[customer])), ""), ROWS($A$1:C2)+$B$3)),INDEX(orderHistory[carton_no], SMALL(IF(ISNUMBER(MATCH(orderHistory[customer], $E$9, 0)*MATCH(YEAR(orderHistory[order_date]),$P$5,0)), MATCH(ROW(orderHistory[customer]),ROW(orderHistory[customer])), ""), ROWS($A$1:C2)+$B$3))),"")</f>
        <v/>
      </c>
      <c r="P11" s="304" t="str">
        <f t="array" ref="P11">IFERROR(IF($P$5="",INDEX(orderHistory[pallet_no], SMALL(IF(ISNUMBER(MATCH(orderHistory[customer], $E$9, 0)), MATCH(ROW(orderHistory[customer]),ROW(orderHistory[customer])), ""), ROWS($A$1:D2)+$B$3)),INDEX(orderHistory[pallet_no], SMALL(IF(ISNUMBER(MATCH(orderHistory[customer], $E$9, 0)*MATCH(YEAR(orderHistory[order_date]),$P$5,0)), MATCH(ROW(orderHistory[customer]),ROW(orderHistory[customer])), ""), ROWS($A$1:D2)+$B$3))),"")</f>
        <v/>
      </c>
      <c r="Q11" s="304" t="str">
        <f t="array" ref="Q11">IFERROR(IF($P$5="",INDEX(orderHistory[invoice_no], SMALL(IF(ISNUMBER(MATCH(orderHistory[customer], $E$9, 0)), MATCH(ROW(orderHistory[customer]),ROW(orderHistory[customer])), ""), ROWS($A$1:E2)+$B$3)),INDEX(orderHistory[invoice_no], SMALL(IF(ISNUMBER(MATCH(orderHistory[customer], $E$9, 0)*MATCH(YEAR(orderHistory[order_date]),$P$5,0)), MATCH(ROW(orderHistory[customer]),ROW(orderHistory[customer])), ""), ROWS($A$1:E2)+$B$3))),"")</f>
        <v/>
      </c>
      <c r="R11" s="303" t="str">
        <f t="array" ref="R11">IFERROR(IF($P$5="",INDEX(orderHistory[invoice_date], SMALL(IF(ISNUMBER(MATCH(orderHistory[customer], $E$9, 0)), MATCH(ROW(orderHistory[customer]),ROW(orderHistory[customer])), ""), ROWS($A$1:F2)+$B$3)),INDEX(orderHistory[invoice_date], SMALL(IF(ISNUMBER(MATCH(orderHistory[customer], $E$9, 0)*MATCH(YEAR(orderHistory[order_date]),$P$5,0)), MATCH(ROW(orderHistory[customer]),ROW(orderHistory[customer])), ""), ROWS($A$1:F2)+$B$3))),"")</f>
        <v/>
      </c>
      <c r="S11" s="304" t="str">
        <f t="array" ref="S11">IFERROR(IF($P$5="",INDEX(orderHistory[payed], SMALL(IF(ISNUMBER(MATCH(orderHistory[customer], $E$9, 0)), MATCH(ROW(orderHistory[customer]),ROW(orderHistory[customer])), ""), ROWS($A$1:G2)+$B$3)),INDEX(orderHistory[payed], SMALL(IF(ISNUMBER(MATCH(orderHistory[customer], $E$9, 0)*MATCH(YEAR(orderHistory[order_date]),$P$5,0)), MATCH(ROW(orderHistory[customer]),ROW(orderHistory[customer])), ""), ROWS($A$1:G2)+$B$3))),"")</f>
        <v/>
      </c>
      <c r="T11" s="303" t="str">
        <f t="array" ref="T11">IFERROR(IF($P$5="",INDEX(orderHistory[payment_date], SMALL(IF(ISNUMBER(MATCH(orderHistory[customer], $E$9, 0)), MATCH(ROW(orderHistory[customer]),ROW(orderHistory[customer])), ""), ROWS($A$1:H2)+$B$3)),INDEX(orderHistory[payment_date], SMALL(IF(ISNUMBER(MATCH(orderHistory[customer], $E$9, 0)*MATCH(YEAR(orderHistory[order_date]),$P$5,0)), MATCH(ROW(orderHistory[customer]),ROW(orderHistory[customer])), ""), ROWS($A$1:H2)+$B$3))),"")</f>
        <v/>
      </c>
      <c r="U11" s="305" t="str">
        <f t="array" ref="U11">IFERROR(IF($P$5="",INDEX(orderHistory[amount_sold], SMALL(IF(ISNUMBER(MATCH(orderHistory[customer], $E$9, 0)), MATCH(ROW(orderHistory[customer]),ROW(orderHistory[customer])), ""), ROWS($A$1:I2)+$B$3)),INDEX(orderHistory[amount_sold], SMALL(IF(ISNUMBER(MATCH(orderHistory[customer], $E$9, 0)*MATCH(YEAR(orderHistory[order_date]),$P$5,0)), MATCH(ROW(orderHistory[customer]),ROW(orderHistory[customer])), ""), ROWS($A$1:I2)+$B$3))),"")</f>
        <v/>
      </c>
      <c r="V11" s="306" t="str">
        <f t="array" ref="V11">IFERROR(IF($P$5="",INDEX(orderHistory[status], SMALL(IF(ISNUMBER(MATCH(orderHistory[customer], $E$9, 0)), MATCH(ROW(orderHistory[customer]),ROW(orderHistory[customer])), ""), ROWS($A$1:J2)+$B$3)),INDEX(orderHistory[status], SMALL(IF(ISNUMBER(MATCH(orderHistory[customer], $E$9, 0)*MATCH(YEAR(orderHistory[order_date]),$P$5,0)), MATCH(ROW(orderHistory[customer]),ROW(orderHistory[customer])), ""), ROWS($A$1:J2)+$B$3))),"")</f>
        <v/>
      </c>
      <c r="W11" s="290"/>
      <c r="AO11" s="275"/>
      <c r="AQ11" s="274" t="s">
        <v>530</v>
      </c>
      <c r="AR11" s="342" t="e">
        <f>VLOOKUP(AR10,orderHistory[],2,FALSE)</f>
        <v>#N/A</v>
      </c>
      <c r="AS11" s="331" t="s">
        <v>531</v>
      </c>
      <c r="AT11" s="352" t="e">
        <f>VLOOKUP($AR$10,orderHistory[],17,FALSE)</f>
        <v>#N/A</v>
      </c>
      <c r="AU11" s="269"/>
      <c r="AW11" s="369" t="str">
        <f t="array" ref="AW11">IFERROR(IF($AO$9="ALL","ERR.",INDEX(salesHistory[sku],SMALL(IF(ISNUMBER(MATCH(salesHistory[order_no], $AO$11, 0)), MATCH(ROW(salesHistory[order_no]),ROW(salesHistory[order_no])), ""), ROWS($A$1:A2)+$B$8))),"")</f>
        <v/>
      </c>
      <c r="AX11" s="325" t="str">
        <f t="array" ref="AX11">IFERROR(IF($AO$9="ALL","ERR.",INDEX(salesHistory[description],SMALL(IF(ISNUMBER(MATCH(salesHistory[order_no], $AO$11, 0)), MATCH(ROW(salesHistory[order_no]),ROW(salesHistory[order_no])), ""), ROWS($A$1:A2)+$B$8))),"")</f>
        <v/>
      </c>
      <c r="AY11" s="314" t="str">
        <f t="array" ref="AY11">IFERROR(IF($AO$9="ALL","ERR.",INDEX(salesHistory[qty],SMALL(IF(ISNUMBER(MATCH(salesHistory[order_no], $AO$11, 0)), MATCH(ROW(salesHistory[order_no]),ROW(salesHistory[order_no])), ""), ROWS($A$1:A2)+$B$8))),"")</f>
        <v/>
      </c>
      <c r="AZ11" s="317" t="str">
        <f t="array" ref="AZ11">IFERROR(IF($AO$9="ALL","ERR.",INDEX(salesHistory[sale_price],SMALL(IF(ISNUMBER(MATCH(salesHistory[order_no], $AO$11, 0)), MATCH(ROW(salesHistory[order_no]),ROW(salesHistory[order_no])), ""), ROWS($A$1:A2)+$B$8))),"")</f>
        <v/>
      </c>
      <c r="BA11" s="317" t="str">
        <f t="array" ref="BA11">IFERROR(IF($AO$9="ALL","ERR.",INDEX(salesHistory[cost_price],SMALL(IF(ISNUMBER(MATCH(salesHistory[order_no], $AO$11, 0)), MATCH(ROW(salesHistory[order_no]),ROW(salesHistory[order_no])), ""), ROWS($A$1:A2)+$B$8))),"")</f>
        <v/>
      </c>
      <c r="BB11" s="320" t="str">
        <f t="array" ref="BB11">IFERROR(IF($AO$9="ALL","ERR.",INDEX(salesHistory[disc_qty],SMALL(IF(ISNUMBER(MATCH(salesHistory[order_no], $AO$11, 0)), MATCH(ROW(salesHistory[order_no]),ROW(salesHistory[order_no])), ""), ROWS($A$1:A2)+$B$8))),"")</f>
        <v/>
      </c>
      <c r="BC11" s="326" t="str">
        <f t="array" ref="BC11">IFERROR(IF($AO$9="ALL","ERR.",INDEX(salesHistory[disc_price],SMALL(IF(ISNUMBER(MATCH(salesHistory[order_no], $AO$11, 0)), MATCH(ROW(salesHistory[order_no]),ROW(salesHistory[order_no])), ""), ROWS($A$1:A2)+$B$8))),"")</f>
        <v/>
      </c>
      <c r="BD11" s="314" t="str">
        <f t="array" ref="BD11">IFERROR(IF($AO$9="ALL","ERR.",INDEX(salesHistory[foc_qty],SMALL(IF(ISNUMBER(MATCH(salesHistory[order_no], $AO$11, 0)), MATCH(ROW(salesHistory[order_no]),ROW(salesHistory[order_no])), ""), ROWS($A$1:A2)+$B$8))),"")</f>
        <v/>
      </c>
      <c r="BE11" s="317" t="str">
        <f t="array" ref="BE11">IFERROR(IF($AO$9="ALL","ERR.",INDEX(salesHistory[tot_cost],SMALL(IF(ISNUMBER(MATCH(salesHistory[order_no], $AO$11, 0)), MATCH(ROW(salesHistory[order_no]),ROW(salesHistory[order_no])), ""), ROWS($A$1:A2)+$B$8))),"")</f>
        <v/>
      </c>
      <c r="BF11" s="317" t="str">
        <f t="array" ref="BF11">IFERROR(IF($AO$9="ALL","ERR.",INDEX(salesHistory[tot_sold],SMALL(IF(ISNUMBER(MATCH(salesHistory[order_no], $AO$11, 0)), MATCH(ROW(salesHistory[order_no]),ROW(salesHistory[order_no])), ""), ROWS($A$1:A2)+$B$8))),"")</f>
        <v/>
      </c>
      <c r="BG11" s="314"/>
      <c r="BH11" s="327"/>
      <c r="BI11" s="290"/>
      <c r="BK11" s="381" t="str">
        <f t="array" ref="BK11">IFERROR(IF($AO$9="",INDEX(orderHistory[order_date],ROW()-9),INDEX(orderHistory[order_date], MATCH(0, IF($AO$9=orderHistory[customer],COUNTIF($BK$9:$BK10,orderHistory[order_date]), "")), 0)),"")</f>
        <v/>
      </c>
      <c r="BL11" s="382" t="str">
        <f t="array" ref="BL11">IFERROR(IF($AO$9="ALL",INDEX(orderHistory[order_id],ROW()-9),INDEX(orderHistory[order_id], MATCH(0, IF($AO$9=orderHistory[customer],COUNTIF($BL$9:$BL10,orderHistory[order_id]), "")), 0)),"")</f>
        <v/>
      </c>
      <c r="BM11" s="383" t="str">
        <f t="shared" ref="BM11:BM73" si="1">IF(BK11="","",YEAR(BK11))</f>
        <v/>
      </c>
      <c r="BN11" s="382" t="str">
        <f t="array" aca="1" ref="BN11" ca="1">IFERROR(INDEX(orderYearForSelectedClient, MATCH(0, COUNTIF($BN$9:BN10, orderYearForSelectedClient&amp;"") + IF(orderYearForSelectedClient="",1,0), 0)), "")</f>
        <v/>
      </c>
      <c r="BO11" s="383" t="str">
        <f t="shared" si="0"/>
        <v/>
      </c>
      <c r="BX11" s="15" t="s">
        <v>510</v>
      </c>
      <c r="CG11" s="251" t="s">
        <v>416</v>
      </c>
      <c r="CL11" s="252"/>
    </row>
    <row r="12" spans="1:90">
      <c r="G12" s="273" t="s">
        <v>449</v>
      </c>
      <c r="H12" s="565" t="str">
        <f>INDEX(dbClienti[country],MATCH($E$9,dbClienti[cod_cliente],0))</f>
        <v>UK</v>
      </c>
      <c r="I12" s="566"/>
      <c r="J12" s="567"/>
      <c r="K12" s="269"/>
      <c r="M12" s="302" t="str">
        <f t="array" ref="M12">IFERROR(IF($P$5="",INDEX(orderHistory[order_id], SMALL(IF(ISNUMBER(MATCH(orderHistory[customer], $E$9, 0)), MATCH(ROW(orderHistory[customer]),ROW(orderHistory[customer])), ""), ROWS($A$1:A3)+$B$3)),INDEX(orderHistory[order_id], SMALL(IF(ISNUMBER(MATCH(orderHistory[customer], $E$9, 0)*MATCH(YEAR(orderHistory[order_date]),$P$5,0)), MATCH(ROW(orderHistory[customer]),ROW(orderHistory[customer])), ""), ROWS($A$1:A3)+$B$3))),"")</f>
        <v/>
      </c>
      <c r="N12" s="303" t="str">
        <f t="array" ref="N12">IFERROR(IF($P$5="",INDEX(orderHistory[order_date], SMALL(IF(ISNUMBER(MATCH(orderHistory[customer], $E$9, 0)), MATCH(ROW(orderHistory[customer]),ROW(orderHistory[customer])), ""), ROWS($A$1:B3)+$B$3)),INDEX(orderHistory[order_date], SMALL(IF(ISNUMBER(MATCH(orderHistory[customer], $E$9, 0)*MATCH(YEAR(orderHistory[order_date]),$P$5,0)), MATCH(ROW(orderHistory[customer]),ROW(orderHistory[customer])), ""), ROWS($A$1:B3)+$B$3))),"")</f>
        <v/>
      </c>
      <c r="O12" s="304" t="str">
        <f t="array" ref="O12">IFERROR(IF($P$5="",INDEX(orderHistory[carton_no], SMALL(IF(ISNUMBER(MATCH(orderHistory[customer], $E$9, 0)), MATCH(ROW(orderHistory[customer]),ROW(orderHistory[customer])), ""), ROWS($A$1:C3)+$B$3)),INDEX(orderHistory[carton_no], SMALL(IF(ISNUMBER(MATCH(orderHistory[customer], $E$9, 0)*MATCH(YEAR(orderHistory[order_date]),$P$5,0)), MATCH(ROW(orderHistory[customer]),ROW(orderHistory[customer])), ""), ROWS($A$1:C3)+$B$3))),"")</f>
        <v/>
      </c>
      <c r="P12" s="304" t="str">
        <f t="array" ref="P12">IFERROR(IF($P$5="",INDEX(orderHistory[pallet_no], SMALL(IF(ISNUMBER(MATCH(orderHistory[customer], $E$9, 0)), MATCH(ROW(orderHistory[customer]),ROW(orderHistory[customer])), ""), ROWS($A$1:D3)+$B$3)),INDEX(orderHistory[pallet_no], SMALL(IF(ISNUMBER(MATCH(orderHistory[customer], $E$9, 0)*MATCH(YEAR(orderHistory[order_date]),$P$5,0)), MATCH(ROW(orderHistory[customer]),ROW(orderHistory[customer])), ""), ROWS($A$1:D3)+$B$3))),"")</f>
        <v/>
      </c>
      <c r="Q12" s="304" t="str">
        <f t="array" ref="Q12">IFERROR(IF($P$5="",INDEX(orderHistory[invoice_no], SMALL(IF(ISNUMBER(MATCH(orderHistory[customer], $E$9, 0)), MATCH(ROW(orderHistory[customer]),ROW(orderHistory[customer])), ""), ROWS($A$1:E3)+$B$3)),INDEX(orderHistory[invoice_no], SMALL(IF(ISNUMBER(MATCH(orderHistory[customer], $E$9, 0)*MATCH(YEAR(orderHistory[order_date]),$P$5,0)), MATCH(ROW(orderHistory[customer]),ROW(orderHistory[customer])), ""), ROWS($A$1:E3)+$B$3))),"")</f>
        <v/>
      </c>
      <c r="R12" s="303" t="str">
        <f t="array" ref="R12">IFERROR(IF($P$5="",INDEX(orderHistory[invoice_date], SMALL(IF(ISNUMBER(MATCH(orderHistory[customer], $E$9, 0)), MATCH(ROW(orderHistory[customer]),ROW(orderHistory[customer])), ""), ROWS($A$1:F3)+$B$3)),INDEX(orderHistory[invoice_date], SMALL(IF(ISNUMBER(MATCH(orderHistory[customer], $E$9, 0)*MATCH(YEAR(orderHistory[order_date]),$P$5,0)), MATCH(ROW(orderHistory[customer]),ROW(orderHistory[customer])), ""), ROWS($A$1:F3)+$B$3))),"")</f>
        <v/>
      </c>
      <c r="S12" s="304" t="str">
        <f t="array" ref="S12">IFERROR(IF($P$5="",INDEX(orderHistory[payed], SMALL(IF(ISNUMBER(MATCH(orderHistory[customer], $E$9, 0)), MATCH(ROW(orderHistory[customer]),ROW(orderHistory[customer])), ""), ROWS($A$1:G3)+$B$3)),INDEX(orderHistory[payed], SMALL(IF(ISNUMBER(MATCH(orderHistory[customer], $E$9, 0)*MATCH(YEAR(orderHistory[order_date]),$P$5,0)), MATCH(ROW(orderHistory[customer]),ROW(orderHistory[customer])), ""), ROWS($A$1:G3)+$B$3))),"")</f>
        <v/>
      </c>
      <c r="T12" s="303" t="str">
        <f t="array" ref="T12">IFERROR(IF($P$5="",INDEX(orderHistory[payment_date], SMALL(IF(ISNUMBER(MATCH(orderHistory[customer], $E$9, 0)), MATCH(ROW(orderHistory[customer]),ROW(orderHistory[customer])), ""), ROWS($A$1:H3)+$B$3)),INDEX(orderHistory[payment_date], SMALL(IF(ISNUMBER(MATCH(orderHistory[customer], $E$9, 0)*MATCH(YEAR(orderHistory[order_date]),$P$5,0)), MATCH(ROW(orderHistory[customer]),ROW(orderHistory[customer])), ""), ROWS($A$1:H3)+$B$3))),"")</f>
        <v/>
      </c>
      <c r="U12" s="305" t="str">
        <f t="array" ref="U12">IFERROR(IF($P$5="",INDEX(orderHistory[amount_sold], SMALL(IF(ISNUMBER(MATCH(orderHistory[customer], $E$9, 0)), MATCH(ROW(orderHistory[customer]),ROW(orderHistory[customer])), ""), ROWS($A$1:I3)+$B$3)),INDEX(orderHistory[amount_sold], SMALL(IF(ISNUMBER(MATCH(orderHistory[customer], $E$9, 0)*MATCH(YEAR(orderHistory[order_date]),$P$5,0)), MATCH(ROW(orderHistory[customer]),ROW(orderHistory[customer])), ""), ROWS($A$1:I3)+$B$3))),"")</f>
        <v/>
      </c>
      <c r="V12" s="306" t="str">
        <f t="array" ref="V12">IFERROR(IF($P$5="",INDEX(orderHistory[status], SMALL(IF(ISNUMBER(MATCH(orderHistory[customer], $E$9, 0)), MATCH(ROW(orderHistory[customer]),ROW(orderHistory[customer])), ""), ROWS($A$1:J3)+$B$3)),INDEX(orderHistory[status], SMALL(IF(ISNUMBER(MATCH(orderHistory[customer], $E$9, 0)*MATCH(YEAR(orderHistory[order_date]),$P$5,0)), MATCH(ROW(orderHistory[customer]),ROW(orderHistory[customer])), ""), ROWS($A$1:J3)+$B$3))),"")</f>
        <v/>
      </c>
      <c r="W12" s="290"/>
      <c r="AQ12" s="293"/>
      <c r="AR12" s="268"/>
      <c r="AS12" s="268"/>
      <c r="AT12" s="268"/>
      <c r="AU12" s="269"/>
      <c r="AW12" s="369" t="str">
        <f t="array" ref="AW12">IFERROR(IF($AO$9="ALL","ERR.",INDEX(salesHistory[sku],SMALL(IF(ISNUMBER(MATCH(salesHistory[order_no], $AO$11, 0)), MATCH(ROW(salesHistory[order_no]),ROW(salesHistory[order_no])), ""), ROWS($A$1:A3)+$B$8))),"")</f>
        <v/>
      </c>
      <c r="AX12" s="325" t="str">
        <f t="array" ref="AX12">IFERROR(IF($AO$9="ALL","ERR.",INDEX(salesHistory[description],SMALL(IF(ISNUMBER(MATCH(salesHistory[order_no], $AO$11, 0)), MATCH(ROW(salesHistory[order_no]),ROW(salesHistory[order_no])), ""), ROWS($A$1:A3)+$B$8))),"")</f>
        <v/>
      </c>
      <c r="AY12" s="314" t="str">
        <f t="array" ref="AY12">IFERROR(IF($AO$9="ALL","ERR.",INDEX(salesHistory[qty],SMALL(IF(ISNUMBER(MATCH(salesHistory[order_no], $AO$11, 0)), MATCH(ROW(salesHistory[order_no]),ROW(salesHistory[order_no])), ""), ROWS($A$1:A3)+$B$8))),"")</f>
        <v/>
      </c>
      <c r="AZ12" s="317" t="str">
        <f t="array" ref="AZ12">IFERROR(IF($AO$9="ALL","ERR.",INDEX(salesHistory[sale_price],SMALL(IF(ISNUMBER(MATCH(salesHistory[order_no], $AO$11, 0)), MATCH(ROW(salesHistory[order_no]),ROW(salesHistory[order_no])), ""), ROWS($A$1:A3)+$B$8))),"")</f>
        <v/>
      </c>
      <c r="BA12" s="317" t="str">
        <f t="array" ref="BA12">IFERROR(IF($AO$9="ALL","ERR.",INDEX(salesHistory[cost_price],SMALL(IF(ISNUMBER(MATCH(salesHistory[order_no], $AO$11, 0)), MATCH(ROW(salesHistory[order_no]),ROW(salesHistory[order_no])), ""), ROWS($A$1:A3)+$B$8))),"")</f>
        <v/>
      </c>
      <c r="BB12" s="320" t="str">
        <f t="array" ref="BB12">IFERROR(IF($AO$9="ALL","ERR.",INDEX(salesHistory[disc_qty],SMALL(IF(ISNUMBER(MATCH(salesHistory[order_no], $AO$11, 0)), MATCH(ROW(salesHistory[order_no]),ROW(salesHistory[order_no])), ""), ROWS($A$1:A3)+$B$8))),"")</f>
        <v/>
      </c>
      <c r="BC12" s="326" t="str">
        <f t="array" ref="BC12">IFERROR(IF($AO$9="ALL","ERR.",INDEX(salesHistory[disc_price],SMALL(IF(ISNUMBER(MATCH(salesHistory[order_no], $AO$11, 0)), MATCH(ROW(salesHistory[order_no]),ROW(salesHistory[order_no])), ""), ROWS($A$1:A3)+$B$8))),"")</f>
        <v/>
      </c>
      <c r="BD12" s="314" t="str">
        <f t="array" ref="BD12">IFERROR(IF($AO$9="ALL","ERR.",INDEX(salesHistory[foc_qty],SMALL(IF(ISNUMBER(MATCH(salesHistory[order_no], $AO$11, 0)), MATCH(ROW(salesHistory[order_no]),ROW(salesHistory[order_no])), ""), ROWS($A$1:A3)+$B$8))),"")</f>
        <v/>
      </c>
      <c r="BE12" s="317" t="str">
        <f t="array" ref="BE12">IFERROR(IF($AO$9="ALL","ERR.",INDEX(salesHistory[tot_cost],SMALL(IF(ISNUMBER(MATCH(salesHistory[order_no], $AO$11, 0)), MATCH(ROW(salesHistory[order_no]),ROW(salesHistory[order_no])), ""), ROWS($A$1:A3)+$B$8))),"")</f>
        <v/>
      </c>
      <c r="BF12" s="317" t="str">
        <f t="array" ref="BF12">IFERROR(IF($AO$9="ALL","ERR.",INDEX(salesHistory[tot_sold],SMALL(IF(ISNUMBER(MATCH(salesHistory[order_no], $AO$11, 0)), MATCH(ROW(salesHistory[order_no]),ROW(salesHistory[order_no])), ""), ROWS($A$1:A3)+$B$8))),"")</f>
        <v/>
      </c>
      <c r="BG12" s="314"/>
      <c r="BH12" s="327"/>
      <c r="BI12" s="290"/>
      <c r="BK12" s="381" t="str">
        <f t="array" ref="BK12">IFERROR(IF($AO$9="",INDEX(orderHistory[order_date],ROW()-9),INDEX(orderHistory[order_date], MATCH(0, IF($AO$9=orderHistory[customer],COUNTIF($BK$9:$BK11,orderHistory[order_date]), "")), 0)),"")</f>
        <v/>
      </c>
      <c r="BL12" s="382" t="str">
        <f t="array" ref="BL12">IFERROR(IF($AO$9="ALL",INDEX(orderHistory[order_id],ROW()-9),INDEX(orderHistory[order_id], MATCH(0, IF($AO$9=orderHistory[customer],COUNTIF($BL$9:$BL11,orderHistory[order_id]), "")), 0)),"")</f>
        <v/>
      </c>
      <c r="BM12" s="383" t="str">
        <f t="shared" si="1"/>
        <v/>
      </c>
      <c r="BN12" s="382" t="str">
        <f t="array" aca="1" ref="BN12" ca="1">IFERROR(INDEX(orderYearForSelectedClient, MATCH(0, COUNTIF($BN$9:BN11, orderYearForSelectedClient&amp;"") + IF(orderYearForSelectedClient="",1,0), 0)), "")</f>
        <v/>
      </c>
      <c r="BO12" s="383" t="str">
        <f t="shared" si="0"/>
        <v/>
      </c>
      <c r="BX12" s="275"/>
      <c r="CG12" s="251"/>
      <c r="CL12" s="252"/>
    </row>
    <row r="13" spans="1:90">
      <c r="G13" s="273"/>
      <c r="H13" s="268"/>
      <c r="I13" s="268"/>
      <c r="J13" s="268"/>
      <c r="K13" s="269"/>
      <c r="M13" s="302" t="str">
        <f t="array" ref="M13">IFERROR(IF($P$5="",INDEX(orderHistory[order_id], SMALL(IF(ISNUMBER(MATCH(orderHistory[customer], $E$9, 0)), MATCH(ROW(orderHistory[customer]),ROW(orderHistory[customer])), ""), ROWS($A$1:A4)+$B$3)),INDEX(orderHistory[order_id], SMALL(IF(ISNUMBER(MATCH(orderHistory[customer], $E$9, 0)*MATCH(YEAR(orderHistory[order_date]),$P$5,0)), MATCH(ROW(orderHistory[customer]),ROW(orderHistory[customer])), ""), ROWS($A$1:A4)+$B$3))),"")</f>
        <v/>
      </c>
      <c r="N13" s="303" t="str">
        <f t="array" ref="N13">IFERROR(IF($P$5="",INDEX(orderHistory[order_date], SMALL(IF(ISNUMBER(MATCH(orderHistory[customer], $E$9, 0)), MATCH(ROW(orderHistory[customer]),ROW(orderHistory[customer])), ""), ROWS($A$1:B4)+$B$3)),INDEX(orderHistory[order_date], SMALL(IF(ISNUMBER(MATCH(orderHistory[customer], $E$9, 0)*MATCH(YEAR(orderHistory[order_date]),$P$5,0)), MATCH(ROW(orderHistory[customer]),ROW(orderHistory[customer])), ""), ROWS($A$1:B4)+$B$3))),"")</f>
        <v/>
      </c>
      <c r="O13" s="304" t="str">
        <f t="array" ref="O13">IFERROR(IF($P$5="",INDEX(orderHistory[carton_no], SMALL(IF(ISNUMBER(MATCH(orderHistory[customer], $E$9, 0)), MATCH(ROW(orderHistory[customer]),ROW(orderHistory[customer])), ""), ROWS($A$1:C4)+$B$3)),INDEX(orderHistory[carton_no], SMALL(IF(ISNUMBER(MATCH(orderHistory[customer], $E$9, 0)*MATCH(YEAR(orderHistory[order_date]),$P$5,0)), MATCH(ROW(orderHistory[customer]),ROW(orderHistory[customer])), ""), ROWS($A$1:C4)+$B$3))),"")</f>
        <v/>
      </c>
      <c r="P13" s="304" t="str">
        <f t="array" ref="P13">IFERROR(IF($P$5="",INDEX(orderHistory[pallet_no], SMALL(IF(ISNUMBER(MATCH(orderHistory[customer], $E$9, 0)), MATCH(ROW(orderHistory[customer]),ROW(orderHistory[customer])), ""), ROWS($A$1:D4)+$B$3)),INDEX(orderHistory[pallet_no], SMALL(IF(ISNUMBER(MATCH(orderHistory[customer], $E$9, 0)*MATCH(YEAR(orderHistory[order_date]),$P$5,0)), MATCH(ROW(orderHistory[customer]),ROW(orderHistory[customer])), ""), ROWS($A$1:D4)+$B$3))),"")</f>
        <v/>
      </c>
      <c r="Q13" s="304" t="str">
        <f t="array" ref="Q13">IFERROR(IF($P$5="",INDEX(orderHistory[invoice_no], SMALL(IF(ISNUMBER(MATCH(orderHistory[customer], $E$9, 0)), MATCH(ROW(orderHistory[customer]),ROW(orderHistory[customer])), ""), ROWS($A$1:E4)+$B$3)),INDEX(orderHistory[invoice_no], SMALL(IF(ISNUMBER(MATCH(orderHistory[customer], $E$9, 0)*MATCH(YEAR(orderHistory[order_date]),$P$5,0)), MATCH(ROW(orderHistory[customer]),ROW(orderHistory[customer])), ""), ROWS($A$1:E4)+$B$3))),"")</f>
        <v/>
      </c>
      <c r="R13" s="303" t="str">
        <f t="array" ref="R13">IFERROR(IF($P$5="",INDEX(orderHistory[invoice_date], SMALL(IF(ISNUMBER(MATCH(orderHistory[customer], $E$9, 0)), MATCH(ROW(orderHistory[customer]),ROW(orderHistory[customer])), ""), ROWS($A$1:F4)+$B$3)),INDEX(orderHistory[invoice_date], SMALL(IF(ISNUMBER(MATCH(orderHistory[customer], $E$9, 0)*MATCH(YEAR(orderHistory[order_date]),$P$5,0)), MATCH(ROW(orderHistory[customer]),ROW(orderHistory[customer])), ""), ROWS($A$1:F4)+$B$3))),"")</f>
        <v/>
      </c>
      <c r="S13" s="304" t="str">
        <f t="array" ref="S13">IFERROR(IF($P$5="",INDEX(orderHistory[payed], SMALL(IF(ISNUMBER(MATCH(orderHistory[customer], $E$9, 0)), MATCH(ROW(orderHistory[customer]),ROW(orderHistory[customer])), ""), ROWS($A$1:G4)+$B$3)),INDEX(orderHistory[payed], SMALL(IF(ISNUMBER(MATCH(orderHistory[customer], $E$9, 0)*MATCH(YEAR(orderHistory[order_date]),$P$5,0)), MATCH(ROW(orderHistory[customer]),ROW(orderHistory[customer])), ""), ROWS($A$1:G4)+$B$3))),"")</f>
        <v/>
      </c>
      <c r="T13" s="303" t="str">
        <f t="array" ref="T13">IFERROR(IF($P$5="",INDEX(orderHistory[payment_date], SMALL(IF(ISNUMBER(MATCH(orderHistory[customer], $E$9, 0)), MATCH(ROW(orderHistory[customer]),ROW(orderHistory[customer])), ""), ROWS($A$1:H4)+$B$3)),INDEX(orderHistory[payment_date], SMALL(IF(ISNUMBER(MATCH(orderHistory[customer], $E$9, 0)*MATCH(YEAR(orderHistory[order_date]),$P$5,0)), MATCH(ROW(orderHistory[customer]),ROW(orderHistory[customer])), ""), ROWS($A$1:H4)+$B$3))),"")</f>
        <v/>
      </c>
      <c r="U13" s="305" t="str">
        <f t="array" ref="U13">IFERROR(IF($P$5="",INDEX(orderHistory[amount_sold], SMALL(IF(ISNUMBER(MATCH(orderHistory[customer], $E$9, 0)), MATCH(ROW(orderHistory[customer]),ROW(orderHistory[customer])), ""), ROWS($A$1:I4)+$B$3)),INDEX(orderHistory[amount_sold], SMALL(IF(ISNUMBER(MATCH(orderHistory[customer], $E$9, 0)*MATCH(YEAR(orderHistory[order_date]),$P$5,0)), MATCH(ROW(orderHistory[customer]),ROW(orderHistory[customer])), ""), ROWS($A$1:I4)+$B$3))),"")</f>
        <v/>
      </c>
      <c r="V13" s="306" t="str">
        <f t="array" ref="V13">IFERROR(IF($P$5="",INDEX(orderHistory[status], SMALL(IF(ISNUMBER(MATCH(orderHistory[customer], $E$9, 0)), MATCH(ROW(orderHistory[customer]),ROW(orderHistory[customer])), ""), ROWS($A$1:J4)+$B$3)),INDEX(orderHistory[status], SMALL(IF(ISNUMBER(MATCH(orderHistory[customer], $E$9, 0)*MATCH(YEAR(orderHistory[order_date]),$P$5,0)), MATCH(ROW(orderHistory[customer]),ROW(orderHistory[customer])), ""), ROWS($A$1:J4)+$B$3))),"")</f>
        <v/>
      </c>
      <c r="W13" s="290"/>
      <c r="AQ13" s="274" t="s">
        <v>376</v>
      </c>
      <c r="AR13" s="275" t="e">
        <f>VLOOKUP(AR10,orderHistory[],4,FALSE)</f>
        <v>#N/A</v>
      </c>
      <c r="AS13" s="268"/>
      <c r="AT13" s="268"/>
      <c r="AU13" s="269"/>
      <c r="AW13" s="369" t="str">
        <f t="array" ref="AW13">IFERROR(IF($AO$9="ALL","ERR.",INDEX(salesHistory[sku],SMALL(IF(ISNUMBER(MATCH(salesHistory[order_no], $AO$11, 0)), MATCH(ROW(salesHistory[order_no]),ROW(salesHistory[order_no])), ""), ROWS($A$1:A4)+$B$8))),"")</f>
        <v/>
      </c>
      <c r="AX13" s="325" t="str">
        <f t="array" ref="AX13">IFERROR(IF($AO$9="ALL","ERR.",INDEX(salesHistory[description],SMALL(IF(ISNUMBER(MATCH(salesHistory[order_no], $AO$11, 0)), MATCH(ROW(salesHistory[order_no]),ROW(salesHistory[order_no])), ""), ROWS($A$1:A4)+$B$8))),"")</f>
        <v/>
      </c>
      <c r="AY13" s="314" t="str">
        <f t="array" ref="AY13">IFERROR(IF($AO$9="ALL","ERR.",INDEX(salesHistory[qty],SMALL(IF(ISNUMBER(MATCH(salesHistory[order_no], $AO$11, 0)), MATCH(ROW(salesHistory[order_no]),ROW(salesHistory[order_no])), ""), ROWS($A$1:A4)+$B$8))),"")</f>
        <v/>
      </c>
      <c r="AZ13" s="317" t="str">
        <f t="array" ref="AZ13">IFERROR(IF($AO$9="ALL","ERR.",INDEX(salesHistory[sale_price],SMALL(IF(ISNUMBER(MATCH(salesHistory[order_no], $AO$11, 0)), MATCH(ROW(salesHistory[order_no]),ROW(salesHistory[order_no])), ""), ROWS($A$1:A4)+$B$8))),"")</f>
        <v/>
      </c>
      <c r="BA13" s="317" t="str">
        <f t="array" ref="BA13">IFERROR(IF($AO$9="ALL","ERR.",INDEX(salesHistory[cost_price],SMALL(IF(ISNUMBER(MATCH(salesHistory[order_no], $AO$11, 0)), MATCH(ROW(salesHistory[order_no]),ROW(salesHistory[order_no])), ""), ROWS($A$1:A4)+$B$8))),"")</f>
        <v/>
      </c>
      <c r="BB13" s="320" t="str">
        <f t="array" ref="BB13">IFERROR(IF($AO$9="ALL","ERR.",INDEX(salesHistory[disc_qty],SMALL(IF(ISNUMBER(MATCH(salesHistory[order_no], $AO$11, 0)), MATCH(ROW(salesHistory[order_no]),ROW(salesHistory[order_no])), ""), ROWS($A$1:A4)+$B$8))),"")</f>
        <v/>
      </c>
      <c r="BC13" s="326" t="str">
        <f t="array" ref="BC13">IFERROR(IF($AO$9="ALL","ERR.",INDEX(salesHistory[disc_price],SMALL(IF(ISNUMBER(MATCH(salesHistory[order_no], $AO$11, 0)), MATCH(ROW(salesHistory[order_no]),ROW(salesHistory[order_no])), ""), ROWS($A$1:A4)+$B$8))),"")</f>
        <v/>
      </c>
      <c r="BD13" s="314" t="str">
        <f t="array" ref="BD13">IFERROR(IF($AO$9="ALL","ERR.",INDEX(salesHistory[foc_qty],SMALL(IF(ISNUMBER(MATCH(salesHistory[order_no], $AO$11, 0)), MATCH(ROW(salesHistory[order_no]),ROW(salesHistory[order_no])), ""), ROWS($A$1:A4)+$B$8))),"")</f>
        <v/>
      </c>
      <c r="BE13" s="317" t="str">
        <f t="array" ref="BE13">IFERROR(IF($AO$9="ALL","ERR.",INDEX(salesHistory[tot_cost],SMALL(IF(ISNUMBER(MATCH(salesHistory[order_no], $AO$11, 0)), MATCH(ROW(salesHistory[order_no]),ROW(salesHistory[order_no])), ""), ROWS($A$1:A4)+$B$8))),"")</f>
        <v/>
      </c>
      <c r="BF13" s="317" t="str">
        <f t="array" ref="BF13">IFERROR(IF($AO$9="ALL","ERR.",INDEX(salesHistory[tot_sold],SMALL(IF(ISNUMBER(MATCH(salesHistory[order_no], $AO$11, 0)), MATCH(ROW(salesHistory[order_no]),ROW(salesHistory[order_no])), ""), ROWS($A$1:A4)+$B$8))),"")</f>
        <v/>
      </c>
      <c r="BG13" s="314"/>
      <c r="BH13" s="327"/>
      <c r="BI13" s="290"/>
      <c r="BK13" s="381" t="str">
        <f t="array" ref="BK13">IFERROR(IF($AO$9="",INDEX(orderHistory[order_date],ROW()-9),INDEX(orderHistory[order_date], MATCH(0, IF($AO$9=orderHistory[customer],COUNTIF($BK$9:$BK12,orderHistory[order_date]), "")), 0)),"")</f>
        <v/>
      </c>
      <c r="BL13" s="382" t="str">
        <f t="array" ref="BL13">IFERROR(IF($AO$9="ALL",INDEX(orderHistory[order_id],ROW()-9),INDEX(orderHistory[order_id], MATCH(0, IF($AO$9=orderHistory[customer],COUNTIF($BL$9:$BL12,orderHistory[order_id]), "")), 0)),"")</f>
        <v/>
      </c>
      <c r="BM13" s="383" t="str">
        <f t="shared" si="1"/>
        <v/>
      </c>
      <c r="BN13" s="382" t="str">
        <f t="array" aca="1" ref="BN13" ca="1">IFERROR(INDEX(orderYearForSelectedClient, MATCH(0, COUNTIF($BN$9:BN12, orderYearForSelectedClient&amp;"") + IF(orderYearForSelectedClient="",1,0), 0)), "")</f>
        <v/>
      </c>
      <c r="BO13" s="383" t="str">
        <f t="shared" si="0"/>
        <v/>
      </c>
      <c r="CG13" s="251" t="s">
        <v>430</v>
      </c>
      <c r="CL13" s="252"/>
    </row>
    <row r="14" spans="1:90">
      <c r="G14" s="568" t="s">
        <v>477</v>
      </c>
      <c r="H14" s="587">
        <f>INDEX(dbClienti[payment_account],MATCH($E$9,dbClienti[cod_cliente],0))</f>
        <v>0</v>
      </c>
      <c r="I14" s="588"/>
      <c r="J14" s="589"/>
      <c r="K14" s="269"/>
      <c r="M14" s="302" t="str">
        <f t="array" ref="M14">IFERROR(IF($P$5="",INDEX(orderHistory[order_id], SMALL(IF(ISNUMBER(MATCH(orderHistory[customer], $E$9, 0)), MATCH(ROW(orderHistory[customer]),ROW(orderHistory[customer])), ""), ROWS($A$1:A5)+$B$3)),INDEX(orderHistory[order_id], SMALL(IF(ISNUMBER(MATCH(orderHistory[customer], $E$9, 0)*MATCH(YEAR(orderHistory[order_date]),$P$5,0)), MATCH(ROW(orderHistory[customer]),ROW(orderHistory[customer])), ""), ROWS($A$1:A5)+$B$3))),"")</f>
        <v/>
      </c>
      <c r="N14" s="303" t="str">
        <f t="array" ref="N14">IFERROR(IF($P$5="",INDEX(orderHistory[order_date], SMALL(IF(ISNUMBER(MATCH(orderHistory[customer], $E$9, 0)), MATCH(ROW(orderHistory[customer]),ROW(orderHistory[customer])), ""), ROWS($A$1:B5)+$B$3)),INDEX(orderHistory[order_date], SMALL(IF(ISNUMBER(MATCH(orderHistory[customer], $E$9, 0)*MATCH(YEAR(orderHistory[order_date]),$P$5,0)), MATCH(ROW(orderHistory[customer]),ROW(orderHistory[customer])), ""), ROWS($A$1:B5)+$B$3))),"")</f>
        <v/>
      </c>
      <c r="O14" s="304" t="str">
        <f t="array" ref="O14">IFERROR(IF($P$5="",INDEX(orderHistory[carton_no], SMALL(IF(ISNUMBER(MATCH(orderHistory[customer], $E$9, 0)), MATCH(ROW(orderHistory[customer]),ROW(orderHistory[customer])), ""), ROWS($A$1:C5)+$B$3)),INDEX(orderHistory[carton_no], SMALL(IF(ISNUMBER(MATCH(orderHistory[customer], $E$9, 0)*MATCH(YEAR(orderHistory[order_date]),$P$5,0)), MATCH(ROW(orderHistory[customer]),ROW(orderHistory[customer])), ""), ROWS($A$1:C5)+$B$3))),"")</f>
        <v/>
      </c>
      <c r="P14" s="304" t="str">
        <f t="array" ref="P14">IFERROR(IF($P$5="",INDEX(orderHistory[pallet_no], SMALL(IF(ISNUMBER(MATCH(orderHistory[customer], $E$9, 0)), MATCH(ROW(orderHistory[customer]),ROW(orderHistory[customer])), ""), ROWS($A$1:D5)+$B$3)),INDEX(orderHistory[pallet_no], SMALL(IF(ISNUMBER(MATCH(orderHistory[customer], $E$9, 0)*MATCH(YEAR(orderHistory[order_date]),$P$5,0)), MATCH(ROW(orderHistory[customer]),ROW(orderHistory[customer])), ""), ROWS($A$1:D5)+$B$3))),"")</f>
        <v/>
      </c>
      <c r="Q14" s="304" t="str">
        <f t="array" ref="Q14">IFERROR(IF($P$5="",INDEX(orderHistory[invoice_no], SMALL(IF(ISNUMBER(MATCH(orderHistory[customer], $E$9, 0)), MATCH(ROW(orderHistory[customer]),ROW(orderHistory[customer])), ""), ROWS($A$1:E5)+$B$3)),INDEX(orderHistory[invoice_no], SMALL(IF(ISNUMBER(MATCH(orderHistory[customer], $E$9, 0)*MATCH(YEAR(orderHistory[order_date]),$P$5,0)), MATCH(ROW(orderHistory[customer]),ROW(orderHistory[customer])), ""), ROWS($A$1:E5)+$B$3))),"")</f>
        <v/>
      </c>
      <c r="R14" s="303" t="str">
        <f t="array" ref="R14">IFERROR(IF($P$5="",INDEX(orderHistory[invoice_date], SMALL(IF(ISNUMBER(MATCH(orderHistory[customer], $E$9, 0)), MATCH(ROW(orderHistory[customer]),ROW(orderHistory[customer])), ""), ROWS($A$1:F5)+$B$3)),INDEX(orderHistory[invoice_date], SMALL(IF(ISNUMBER(MATCH(orderHistory[customer], $E$9, 0)*MATCH(YEAR(orderHistory[order_date]),$P$5,0)), MATCH(ROW(orderHistory[customer]),ROW(orderHistory[customer])), ""), ROWS($A$1:F5)+$B$3))),"")</f>
        <v/>
      </c>
      <c r="S14" s="304" t="str">
        <f t="array" ref="S14">IFERROR(IF($P$5="",INDEX(orderHistory[payed], SMALL(IF(ISNUMBER(MATCH(orderHistory[customer], $E$9, 0)), MATCH(ROW(orderHistory[customer]),ROW(orderHistory[customer])), ""), ROWS($A$1:G5)+$B$3)),INDEX(orderHistory[payed], SMALL(IF(ISNUMBER(MATCH(orderHistory[customer], $E$9, 0)*MATCH(YEAR(orderHistory[order_date]),$P$5,0)), MATCH(ROW(orderHistory[customer]),ROW(orderHistory[customer])), ""), ROWS($A$1:G5)+$B$3))),"")</f>
        <v/>
      </c>
      <c r="T14" s="303" t="str">
        <f t="array" ref="T14">IFERROR(IF($P$5="",INDEX(orderHistory[payment_date], SMALL(IF(ISNUMBER(MATCH(orderHistory[customer], $E$9, 0)), MATCH(ROW(orderHistory[customer]),ROW(orderHistory[customer])), ""), ROWS($A$1:H5)+$B$3)),INDEX(orderHistory[payment_date], SMALL(IF(ISNUMBER(MATCH(orderHistory[customer], $E$9, 0)*MATCH(YEAR(orderHistory[order_date]),$P$5,0)), MATCH(ROW(orderHistory[customer]),ROW(orderHistory[customer])), ""), ROWS($A$1:H5)+$B$3))),"")</f>
        <v/>
      </c>
      <c r="U14" s="305" t="str">
        <f t="array" ref="U14">IFERROR(IF($P$5="",INDEX(orderHistory[amount_sold], SMALL(IF(ISNUMBER(MATCH(orderHistory[customer], $E$9, 0)), MATCH(ROW(orderHistory[customer]),ROW(orderHistory[customer])), ""), ROWS($A$1:I5)+$B$3)),INDEX(orderHistory[amount_sold], SMALL(IF(ISNUMBER(MATCH(orderHistory[customer], $E$9, 0)*MATCH(YEAR(orderHistory[order_date]),$P$5,0)), MATCH(ROW(orderHistory[customer]),ROW(orderHistory[customer])), ""), ROWS($A$1:I5)+$B$3))),"")</f>
        <v/>
      </c>
      <c r="V14" s="306" t="str">
        <f t="array" ref="V14">IFERROR(IF($P$5="",INDEX(orderHistory[status], SMALL(IF(ISNUMBER(MATCH(orderHistory[customer], $E$9, 0)), MATCH(ROW(orderHistory[customer]),ROW(orderHistory[customer])), ""), ROWS($A$1:J5)+$B$3)),INDEX(orderHistory[status], SMALL(IF(ISNUMBER(MATCH(orderHistory[customer], $E$9, 0)*MATCH(YEAR(orderHistory[order_date]),$P$5,0)), MATCH(ROW(orderHistory[customer]),ROW(orderHistory[customer])), ""), ROWS($A$1:J5)+$B$3))),"")</f>
        <v/>
      </c>
      <c r="W14" s="290"/>
      <c r="AQ14" s="274" t="s">
        <v>405</v>
      </c>
      <c r="AR14" s="275" t="e">
        <f>VLOOKUP(AR10,orderHistory[],5,FALSE)</f>
        <v>#N/A</v>
      </c>
      <c r="AS14" s="268"/>
      <c r="AT14" s="268"/>
      <c r="AU14" s="269"/>
      <c r="AW14" s="369" t="str">
        <f t="array" ref="AW14">IFERROR(IF($AO$9="ALL","ERR.",INDEX(salesHistory[sku],SMALL(IF(ISNUMBER(MATCH(salesHistory[order_no], $AO$11, 0)), MATCH(ROW(salesHistory[order_no]),ROW(salesHistory[order_no])), ""), ROWS($A$1:A5)+$B$8))),"")</f>
        <v/>
      </c>
      <c r="AX14" s="325" t="str">
        <f t="array" ref="AX14">IFERROR(IF($AO$9="ALL","ERR.",INDEX(salesHistory[description],SMALL(IF(ISNUMBER(MATCH(salesHistory[order_no], $AO$11, 0)), MATCH(ROW(salesHistory[order_no]),ROW(salesHistory[order_no])), ""), ROWS($A$1:A5)+$B$8))),"")</f>
        <v/>
      </c>
      <c r="AY14" s="314" t="str">
        <f t="array" ref="AY14">IFERROR(IF($AO$9="ALL","ERR.",INDEX(salesHistory[qty],SMALL(IF(ISNUMBER(MATCH(salesHistory[order_no], $AO$11, 0)), MATCH(ROW(salesHistory[order_no]),ROW(salesHistory[order_no])), ""), ROWS($A$1:A5)+$B$8))),"")</f>
        <v/>
      </c>
      <c r="AZ14" s="317" t="str">
        <f t="array" ref="AZ14">IFERROR(IF($AO$9="ALL","ERR.",INDEX(salesHistory[sale_price],SMALL(IF(ISNUMBER(MATCH(salesHistory[order_no], $AO$11, 0)), MATCH(ROW(salesHistory[order_no]),ROW(salesHistory[order_no])), ""), ROWS($A$1:A5)+$B$8))),"")</f>
        <v/>
      </c>
      <c r="BA14" s="317" t="str">
        <f t="array" ref="BA14">IFERROR(IF($AO$9="ALL","ERR.",INDEX(salesHistory[cost_price],SMALL(IF(ISNUMBER(MATCH(salesHistory[order_no], $AO$11, 0)), MATCH(ROW(salesHistory[order_no]),ROW(salesHistory[order_no])), ""), ROWS($A$1:A5)+$B$8))),"")</f>
        <v/>
      </c>
      <c r="BB14" s="320" t="str">
        <f t="array" ref="BB14">IFERROR(IF($AO$9="ALL","ERR.",INDEX(salesHistory[disc_qty],SMALL(IF(ISNUMBER(MATCH(salesHistory[order_no], $AO$11, 0)), MATCH(ROW(salesHistory[order_no]),ROW(salesHistory[order_no])), ""), ROWS($A$1:A5)+$B$8))),"")</f>
        <v/>
      </c>
      <c r="BC14" s="326" t="str">
        <f t="array" ref="BC14">IFERROR(IF($AO$9="ALL","ERR.",INDEX(salesHistory[disc_price],SMALL(IF(ISNUMBER(MATCH(salesHistory[order_no], $AO$11, 0)), MATCH(ROW(salesHistory[order_no]),ROW(salesHistory[order_no])), ""), ROWS($A$1:A5)+$B$8))),"")</f>
        <v/>
      </c>
      <c r="BD14" s="314" t="str">
        <f t="array" ref="BD14">IFERROR(IF($AO$9="ALL","ERR.",INDEX(salesHistory[foc_qty],SMALL(IF(ISNUMBER(MATCH(salesHistory[order_no], $AO$11, 0)), MATCH(ROW(salesHistory[order_no]),ROW(salesHistory[order_no])), ""), ROWS($A$1:A5)+$B$8))),"")</f>
        <v/>
      </c>
      <c r="BE14" s="317" t="str">
        <f t="array" ref="BE14">IFERROR(IF($AO$9="ALL","ERR.",INDEX(salesHistory[tot_cost],SMALL(IF(ISNUMBER(MATCH(salesHistory[order_no], $AO$11, 0)), MATCH(ROW(salesHistory[order_no]),ROW(salesHistory[order_no])), ""), ROWS($A$1:A5)+$B$8))),"")</f>
        <v/>
      </c>
      <c r="BF14" s="317" t="str">
        <f t="array" ref="BF14">IFERROR(IF($AO$9="ALL","ERR.",INDEX(salesHistory[tot_sold],SMALL(IF(ISNUMBER(MATCH(salesHistory[order_no], $AO$11, 0)), MATCH(ROW(salesHistory[order_no]),ROW(salesHistory[order_no])), ""), ROWS($A$1:A5)+$B$8))),"")</f>
        <v/>
      </c>
      <c r="BG14" s="314"/>
      <c r="BH14" s="327"/>
      <c r="BI14" s="290"/>
      <c r="BK14" s="381" t="str">
        <f t="array" ref="BK14">IFERROR(IF($AO$9="",INDEX(orderHistory[order_date],ROW()-9),INDEX(orderHistory[order_date], MATCH(0, IF($AO$9=orderHistory[customer],COUNTIF($BK$9:$BK13,orderHistory[order_date]), "")), 0)),"")</f>
        <v/>
      </c>
      <c r="BL14" s="382" t="str">
        <f t="array" ref="BL14">IFERROR(IF($AO$9="ALL",INDEX(orderHistory[order_id],ROW()-9),INDEX(orderHistory[order_id], MATCH(0, IF($AO$9=orderHistory[customer],COUNTIF($BL$9:$BL13,orderHistory[order_id]), "")), 0)),"")</f>
        <v/>
      </c>
      <c r="BM14" s="383" t="str">
        <f t="shared" si="1"/>
        <v/>
      </c>
      <c r="BN14" s="382" t="str">
        <f t="array" aca="1" ref="BN14" ca="1">IFERROR(INDEX(orderYearForSelectedClient, MATCH(0, COUNTIF($BN$9:BN13, orderYearForSelectedClient&amp;"") + IF(orderYearForSelectedClient="",1,0), 0)), "")</f>
        <v/>
      </c>
      <c r="BO14" s="383" t="str">
        <f t="shared" si="0"/>
        <v/>
      </c>
      <c r="BX14" s="15" t="s">
        <v>493</v>
      </c>
      <c r="CG14" s="251"/>
      <c r="CL14" s="252"/>
    </row>
    <row r="15" spans="1:90" ht="14.5" customHeight="1" thickBot="1">
      <c r="G15" s="568"/>
      <c r="H15" s="590"/>
      <c r="I15" s="591"/>
      <c r="J15" s="592"/>
      <c r="K15" s="269"/>
      <c r="M15" s="302" t="str">
        <f t="array" ref="M15">IFERROR(IF($P$5="",INDEX(orderHistory[order_id], SMALL(IF(ISNUMBER(MATCH(orderHistory[customer], $E$9, 0)), MATCH(ROW(orderHistory[customer]),ROW(orderHistory[customer])), ""), ROWS($A$1:A6)+$B$3)),INDEX(orderHistory[order_id], SMALL(IF(ISNUMBER(MATCH(orderHistory[customer], $E$9, 0)*MATCH(YEAR(orderHistory[order_date]),$P$5,0)), MATCH(ROW(orderHistory[customer]),ROW(orderHistory[customer])), ""), ROWS($A$1:A6)+$B$3))),"")</f>
        <v/>
      </c>
      <c r="N15" s="303" t="str">
        <f t="array" ref="N15">IFERROR(IF($P$5="",INDEX(orderHistory[order_date], SMALL(IF(ISNUMBER(MATCH(orderHistory[customer], $E$9, 0)), MATCH(ROW(orderHistory[customer]),ROW(orderHistory[customer])), ""), ROWS($A$1:B6)+$B$3)),INDEX(orderHistory[order_date], SMALL(IF(ISNUMBER(MATCH(orderHistory[customer], $E$9, 0)*MATCH(YEAR(orderHistory[order_date]),$P$5,0)), MATCH(ROW(orderHistory[customer]),ROW(orderHistory[customer])), ""), ROWS($A$1:B6)+$B$3))),"")</f>
        <v/>
      </c>
      <c r="O15" s="304" t="str">
        <f t="array" ref="O15">IFERROR(IF($P$5="",INDEX(orderHistory[carton_no], SMALL(IF(ISNUMBER(MATCH(orderHistory[customer], $E$9, 0)), MATCH(ROW(orderHistory[customer]),ROW(orderHistory[customer])), ""), ROWS($A$1:C6)+$B$3)),INDEX(orderHistory[carton_no], SMALL(IF(ISNUMBER(MATCH(orderHistory[customer], $E$9, 0)*MATCH(YEAR(orderHistory[order_date]),$P$5,0)), MATCH(ROW(orderHistory[customer]),ROW(orderHistory[customer])), ""), ROWS($A$1:C6)+$B$3))),"")</f>
        <v/>
      </c>
      <c r="P15" s="304" t="str">
        <f t="array" ref="P15">IFERROR(IF($P$5="",INDEX(orderHistory[pallet_no], SMALL(IF(ISNUMBER(MATCH(orderHistory[customer], $E$9, 0)), MATCH(ROW(orderHistory[customer]),ROW(orderHistory[customer])), ""), ROWS($A$1:D6)+$B$3)),INDEX(orderHistory[pallet_no], SMALL(IF(ISNUMBER(MATCH(orderHistory[customer], $E$9, 0)*MATCH(YEAR(orderHistory[order_date]),$P$5,0)), MATCH(ROW(orderHistory[customer]),ROW(orderHistory[customer])), ""), ROWS($A$1:D6)+$B$3))),"")</f>
        <v/>
      </c>
      <c r="Q15" s="304" t="str">
        <f t="array" ref="Q15">IFERROR(IF($P$5="",INDEX(orderHistory[invoice_no], SMALL(IF(ISNUMBER(MATCH(orderHistory[customer], $E$9, 0)), MATCH(ROW(orderHistory[customer]),ROW(orderHistory[customer])), ""), ROWS($A$1:E6)+$B$3)),INDEX(orderHistory[invoice_no], SMALL(IF(ISNUMBER(MATCH(orderHistory[customer], $E$9, 0)*MATCH(YEAR(orderHistory[order_date]),$P$5,0)), MATCH(ROW(orderHistory[customer]),ROW(orderHistory[customer])), ""), ROWS($A$1:E6)+$B$3))),"")</f>
        <v/>
      </c>
      <c r="R15" s="303" t="str">
        <f t="array" ref="R15">IFERROR(IF($P$5="",INDEX(orderHistory[invoice_date], SMALL(IF(ISNUMBER(MATCH(orderHistory[customer], $E$9, 0)), MATCH(ROW(orderHistory[customer]),ROW(orderHistory[customer])), ""), ROWS($A$1:F6)+$B$3)),INDEX(orderHistory[invoice_date], SMALL(IF(ISNUMBER(MATCH(orderHistory[customer], $E$9, 0)*MATCH(YEAR(orderHistory[order_date]),$P$5,0)), MATCH(ROW(orderHistory[customer]),ROW(orderHistory[customer])), ""), ROWS($A$1:F6)+$B$3))),"")</f>
        <v/>
      </c>
      <c r="S15" s="304" t="str">
        <f t="array" ref="S15">IFERROR(IF($P$5="",INDEX(orderHistory[payed], SMALL(IF(ISNUMBER(MATCH(orderHistory[customer], $E$9, 0)), MATCH(ROW(orderHistory[customer]),ROW(orderHistory[customer])), ""), ROWS($A$1:G6)+$B$3)),INDEX(orderHistory[payed], SMALL(IF(ISNUMBER(MATCH(orderHistory[customer], $E$9, 0)*MATCH(YEAR(orderHistory[order_date]),$P$5,0)), MATCH(ROW(orderHistory[customer]),ROW(orderHistory[customer])), ""), ROWS($A$1:G6)+$B$3))),"")</f>
        <v/>
      </c>
      <c r="T15" s="303" t="str">
        <f t="array" ref="T15">IFERROR(IF($P$5="",INDEX(orderHistory[payment_date], SMALL(IF(ISNUMBER(MATCH(orderHistory[customer], $E$9, 0)), MATCH(ROW(orderHistory[customer]),ROW(orderHistory[customer])), ""), ROWS($A$1:H6)+$B$3)),INDEX(orderHistory[payment_date], SMALL(IF(ISNUMBER(MATCH(orderHistory[customer], $E$9, 0)*MATCH(YEAR(orderHistory[order_date]),$P$5,0)), MATCH(ROW(orderHistory[customer]),ROW(orderHistory[customer])), ""), ROWS($A$1:H6)+$B$3))),"")</f>
        <v/>
      </c>
      <c r="U15" s="305" t="str">
        <f t="array" ref="U15">IFERROR(IF($P$5="",INDEX(orderHistory[amount_sold], SMALL(IF(ISNUMBER(MATCH(orderHistory[customer], $E$9, 0)), MATCH(ROW(orderHistory[customer]),ROW(orderHistory[customer])), ""), ROWS($A$1:I6)+$B$3)),INDEX(orderHistory[amount_sold], SMALL(IF(ISNUMBER(MATCH(orderHistory[customer], $E$9, 0)*MATCH(YEAR(orderHistory[order_date]),$P$5,0)), MATCH(ROW(orderHistory[customer]),ROW(orderHistory[customer])), ""), ROWS($A$1:I6)+$B$3))),"")</f>
        <v/>
      </c>
      <c r="V15" s="306" t="str">
        <f t="array" ref="V15">IFERROR(IF($P$5="",INDEX(orderHistory[status], SMALL(IF(ISNUMBER(MATCH(orderHistory[customer], $E$9, 0)), MATCH(ROW(orderHistory[customer]),ROW(orderHistory[customer])), ""), ROWS($A$1:J6)+$B$3)),INDEX(orderHistory[status], SMALL(IF(ISNUMBER(MATCH(orderHistory[customer], $E$9, 0)*MATCH(YEAR(orderHistory[order_date]),$P$5,0)), MATCH(ROW(orderHistory[customer]),ROW(orderHistory[customer])), ""), ROWS($A$1:J6)+$B$3))),"")</f>
        <v/>
      </c>
      <c r="W15" s="291"/>
      <c r="X15" s="259"/>
      <c r="AQ15" s="284"/>
      <c r="AR15" s="271"/>
      <c r="AS15" s="271"/>
      <c r="AT15" s="271"/>
      <c r="AU15" s="272"/>
      <c r="AW15" s="369" t="str">
        <f t="array" ref="AW15">IFERROR(IF($AO$9="ALL","ERR.",INDEX(salesHistory[sku],SMALL(IF(ISNUMBER(MATCH(salesHistory[order_no], $AO$11, 0)), MATCH(ROW(salesHistory[order_no]),ROW(salesHistory[order_no])), ""), ROWS($A$1:A6)+$B$8))),"")</f>
        <v/>
      </c>
      <c r="AX15" s="325" t="str">
        <f t="array" ref="AX15">IFERROR(IF($AO$9="ALL","ERR.",INDEX(salesHistory[description],SMALL(IF(ISNUMBER(MATCH(salesHistory[order_no], $AO$11, 0)), MATCH(ROW(salesHistory[order_no]),ROW(salesHistory[order_no])), ""), ROWS($A$1:A6)+$B$8))),"")</f>
        <v/>
      </c>
      <c r="AY15" s="314" t="str">
        <f t="array" ref="AY15">IFERROR(IF($AO$9="ALL","ERR.",INDEX(salesHistory[qty],SMALL(IF(ISNUMBER(MATCH(salesHistory[order_no], $AO$11, 0)), MATCH(ROW(salesHistory[order_no]),ROW(salesHistory[order_no])), ""), ROWS($A$1:A6)+$B$8))),"")</f>
        <v/>
      </c>
      <c r="AZ15" s="317" t="str">
        <f t="array" ref="AZ15">IFERROR(IF($AO$9="ALL","ERR.",INDEX(salesHistory[sale_price],SMALL(IF(ISNUMBER(MATCH(salesHistory[order_no], $AO$11, 0)), MATCH(ROW(salesHistory[order_no]),ROW(salesHistory[order_no])), ""), ROWS($A$1:A6)+$B$8))),"")</f>
        <v/>
      </c>
      <c r="BA15" s="317" t="str">
        <f t="array" ref="BA15">IFERROR(IF($AO$9="ALL","ERR.",INDEX(salesHistory[cost_price],SMALL(IF(ISNUMBER(MATCH(salesHistory[order_no], $AO$11, 0)), MATCH(ROW(salesHistory[order_no]),ROW(salesHistory[order_no])), ""), ROWS($A$1:A6)+$B$8))),"")</f>
        <v/>
      </c>
      <c r="BB15" s="320" t="str">
        <f t="array" ref="BB15">IFERROR(IF($AO$9="ALL","ERR.",INDEX(salesHistory[disc_qty],SMALL(IF(ISNUMBER(MATCH(salesHistory[order_no], $AO$11, 0)), MATCH(ROW(salesHistory[order_no]),ROW(salesHistory[order_no])), ""), ROWS($A$1:A6)+$B$8))),"")</f>
        <v/>
      </c>
      <c r="BC15" s="326" t="str">
        <f t="array" ref="BC15">IFERROR(IF($AO$9="ALL","ERR.",INDEX(salesHistory[disc_price],SMALL(IF(ISNUMBER(MATCH(salesHistory[order_no], $AO$11, 0)), MATCH(ROW(salesHistory[order_no]),ROW(salesHistory[order_no])), ""), ROWS($A$1:A6)+$B$8))),"")</f>
        <v/>
      </c>
      <c r="BD15" s="314" t="str">
        <f t="array" ref="BD15">IFERROR(IF($AO$9="ALL","ERR.",INDEX(salesHistory[foc_qty],SMALL(IF(ISNUMBER(MATCH(salesHistory[order_no], $AO$11, 0)), MATCH(ROW(salesHistory[order_no]),ROW(salesHistory[order_no])), ""), ROWS($A$1:A6)+$B$8))),"")</f>
        <v/>
      </c>
      <c r="BE15" s="317" t="str">
        <f t="array" ref="BE15">IFERROR(IF($AO$9="ALL","ERR.",INDEX(salesHistory[tot_cost],SMALL(IF(ISNUMBER(MATCH(salesHistory[order_no], $AO$11, 0)), MATCH(ROW(salesHistory[order_no]),ROW(salesHistory[order_no])), ""), ROWS($A$1:A6)+$B$8))),"")</f>
        <v/>
      </c>
      <c r="BF15" s="317" t="str">
        <f t="array" ref="BF15">IFERROR(IF($AO$9="ALL","ERR.",INDEX(salesHistory[tot_sold],SMALL(IF(ISNUMBER(MATCH(salesHistory[order_no], $AO$11, 0)), MATCH(ROW(salesHistory[order_no]),ROW(salesHistory[order_no])), ""), ROWS($A$1:A6)+$B$8))),"")</f>
        <v/>
      </c>
      <c r="BG15" s="314"/>
      <c r="BH15" s="327"/>
      <c r="BI15" s="290"/>
      <c r="BK15" s="381" t="str">
        <f t="array" ref="BK15">IFERROR(IF($AO$9="",INDEX(orderHistory[order_date],ROW()-9),INDEX(orderHistory[order_date], MATCH(0, IF($AO$9=orderHistory[customer],COUNTIF($BK$9:$BK14,orderHistory[order_date]), "")), 0)),"")</f>
        <v/>
      </c>
      <c r="BL15" s="382" t="str">
        <f t="array" ref="BL15">IFERROR(IF($AO$9="ALL",INDEX(orderHistory[order_id],ROW()-9),INDEX(orderHistory[order_id], MATCH(0, IF($AO$9=orderHistory[customer],COUNTIF($BL$9:$BL14,orderHistory[order_id]), "")), 0)),"")</f>
        <v/>
      </c>
      <c r="BM15" s="383" t="str">
        <f t="shared" si="1"/>
        <v/>
      </c>
      <c r="BN15" s="382" t="str">
        <f t="array" aca="1" ref="BN15" ca="1">IFERROR(INDEX(orderYearForSelectedClient, MATCH(0, COUNTIF($BN$9:BN14, orderYearForSelectedClient&amp;"") + IF(orderYearForSelectedClient="",1,0), 0)), "")</f>
        <v/>
      </c>
      <c r="BO15" s="383" t="str">
        <f t="shared" si="0"/>
        <v/>
      </c>
      <c r="BX15" s="288"/>
      <c r="CG15" s="251" t="s">
        <v>431</v>
      </c>
      <c r="CL15" s="252"/>
    </row>
    <row r="16" spans="1:90" ht="15" thickBot="1">
      <c r="G16" s="287"/>
      <c r="H16" s="593"/>
      <c r="I16" s="594"/>
      <c r="J16" s="595"/>
      <c r="K16" s="269"/>
      <c r="M16" s="302" t="str">
        <f t="array" ref="M16">IFERROR(IF($P$5="",INDEX(orderHistory[order_id], SMALL(IF(ISNUMBER(MATCH(orderHistory[customer], $E$9, 0)), MATCH(ROW(orderHistory[customer]),ROW(orderHistory[customer])), ""), ROWS($A$1:A7)+$B$3)),INDEX(orderHistory[order_id], SMALL(IF(ISNUMBER(MATCH(orderHistory[customer], $E$9, 0)*MATCH(YEAR(orderHistory[order_date]),$P$5,0)), MATCH(ROW(orderHistory[customer]),ROW(orderHistory[customer])), ""), ROWS($A$1:A7)+$B$3))),"")</f>
        <v/>
      </c>
      <c r="N16" s="303" t="str">
        <f t="array" ref="N16">IFERROR(IF($P$5="",INDEX(orderHistory[order_date], SMALL(IF(ISNUMBER(MATCH(orderHistory[customer], $E$9, 0)), MATCH(ROW(orderHistory[customer]),ROW(orderHistory[customer])), ""), ROWS($A$1:B7)+$B$3)),INDEX(orderHistory[order_date], SMALL(IF(ISNUMBER(MATCH(orderHistory[customer], $E$9, 0)*MATCH(YEAR(orderHistory[order_date]),$P$5,0)), MATCH(ROW(orderHistory[customer]),ROW(orderHistory[customer])), ""), ROWS($A$1:B7)+$B$3))),"")</f>
        <v/>
      </c>
      <c r="O16" s="304" t="str">
        <f t="array" ref="O16">IFERROR(IF($P$5="",INDEX(orderHistory[carton_no], SMALL(IF(ISNUMBER(MATCH(orderHistory[customer], $E$9, 0)), MATCH(ROW(orderHistory[customer]),ROW(orderHistory[customer])), ""), ROWS($A$1:C7)+$B$3)),INDEX(orderHistory[carton_no], SMALL(IF(ISNUMBER(MATCH(orderHistory[customer], $E$9, 0)*MATCH(YEAR(orderHistory[order_date]),$P$5,0)), MATCH(ROW(orderHistory[customer]),ROW(orderHistory[customer])), ""), ROWS($A$1:C7)+$B$3))),"")</f>
        <v/>
      </c>
      <c r="P16" s="304" t="str">
        <f t="array" ref="P16">IFERROR(IF($P$5="",INDEX(orderHistory[pallet_no], SMALL(IF(ISNUMBER(MATCH(orderHistory[customer], $E$9, 0)), MATCH(ROW(orderHistory[customer]),ROW(orderHistory[customer])), ""), ROWS($A$1:D7)+$B$3)),INDEX(orderHistory[pallet_no], SMALL(IF(ISNUMBER(MATCH(orderHistory[customer], $E$9, 0)*MATCH(YEAR(orderHistory[order_date]),$P$5,0)), MATCH(ROW(orderHistory[customer]),ROW(orderHistory[customer])), ""), ROWS($A$1:D7)+$B$3))),"")</f>
        <v/>
      </c>
      <c r="Q16" s="304" t="str">
        <f t="array" ref="Q16">IFERROR(IF($P$5="",INDEX(orderHistory[invoice_no], SMALL(IF(ISNUMBER(MATCH(orderHistory[customer], $E$9, 0)), MATCH(ROW(orderHistory[customer]),ROW(orderHistory[customer])), ""), ROWS($A$1:E7)+$B$3)),INDEX(orderHistory[invoice_no], SMALL(IF(ISNUMBER(MATCH(orderHistory[customer], $E$9, 0)*MATCH(YEAR(orderHistory[order_date]),$P$5,0)), MATCH(ROW(orderHistory[customer]),ROW(orderHistory[customer])), ""), ROWS($A$1:E7)+$B$3))),"")</f>
        <v/>
      </c>
      <c r="R16" s="303" t="str">
        <f t="array" ref="R16">IFERROR(IF($P$5="",INDEX(orderHistory[invoice_date], SMALL(IF(ISNUMBER(MATCH(orderHistory[customer], $E$9, 0)), MATCH(ROW(orderHistory[customer]),ROW(orderHistory[customer])), ""), ROWS($A$1:F7)+$B$3)),INDEX(orderHistory[invoice_date], SMALL(IF(ISNUMBER(MATCH(orderHistory[customer], $E$9, 0)*MATCH(YEAR(orderHistory[order_date]),$P$5,0)), MATCH(ROW(orderHistory[customer]),ROW(orderHistory[customer])), ""), ROWS($A$1:F7)+$B$3))),"")</f>
        <v/>
      </c>
      <c r="S16" s="304" t="str">
        <f t="array" ref="S16">IFERROR(IF($P$5="",INDEX(orderHistory[payed], SMALL(IF(ISNUMBER(MATCH(orderHistory[customer], $E$9, 0)), MATCH(ROW(orderHistory[customer]),ROW(orderHistory[customer])), ""), ROWS($A$1:G7)+$B$3)),INDEX(orderHistory[payed], SMALL(IF(ISNUMBER(MATCH(orderHistory[customer], $E$9, 0)*MATCH(YEAR(orderHistory[order_date]),$P$5,0)), MATCH(ROW(orderHistory[customer]),ROW(orderHistory[customer])), ""), ROWS($A$1:G7)+$B$3))),"")</f>
        <v/>
      </c>
      <c r="T16" s="303" t="str">
        <f t="array" ref="T16">IFERROR(IF($P$5="",INDEX(orderHistory[payment_date], SMALL(IF(ISNUMBER(MATCH(orderHistory[customer], $E$9, 0)), MATCH(ROW(orderHistory[customer]),ROW(orderHistory[customer])), ""), ROWS($A$1:H7)+$B$3)),INDEX(orderHistory[payment_date], SMALL(IF(ISNUMBER(MATCH(orderHistory[customer], $E$9, 0)*MATCH(YEAR(orderHistory[order_date]),$P$5,0)), MATCH(ROW(orderHistory[customer]),ROW(orderHistory[customer])), ""), ROWS($A$1:H7)+$B$3))),"")</f>
        <v/>
      </c>
      <c r="U16" s="305" t="str">
        <f t="array" ref="U16">IFERROR(IF($P$5="",INDEX(orderHistory[amount_sold], SMALL(IF(ISNUMBER(MATCH(orderHistory[customer], $E$9, 0)), MATCH(ROW(orderHistory[customer]),ROW(orderHistory[customer])), ""), ROWS($A$1:I7)+$B$3)),INDEX(orderHistory[amount_sold], SMALL(IF(ISNUMBER(MATCH(orderHistory[customer], $E$9, 0)*MATCH(YEAR(orderHistory[order_date]),$P$5,0)), MATCH(ROW(orderHistory[customer]),ROW(orderHistory[customer])), ""), ROWS($A$1:I7)+$B$3))),"")</f>
        <v/>
      </c>
      <c r="V16" s="306" t="str">
        <f t="array" ref="V16">IFERROR(IF($P$5="",INDEX(orderHistory[status], SMALL(IF(ISNUMBER(MATCH(orderHistory[customer], $E$9, 0)), MATCH(ROW(orderHistory[customer]),ROW(orderHistory[customer])), ""), ROWS($A$1:J7)+$B$3)),INDEX(orderHistory[status], SMALL(IF(ISNUMBER(MATCH(orderHistory[customer], $E$9, 0)*MATCH(YEAR(orderHistory[order_date]),$P$5,0)), MATCH(ROW(orderHistory[customer]),ROW(orderHistory[customer])), ""), ROWS($A$1:J7)+$B$3))),"")</f>
        <v/>
      </c>
      <c r="W16" s="290"/>
      <c r="X16" s="259"/>
      <c r="AQ16" s="130" t="s">
        <v>514</v>
      </c>
      <c r="AW16" s="369" t="str">
        <f t="array" ref="AW16">IFERROR(IF($AO$9="ALL","ERR.",INDEX(salesHistory[sku],SMALL(IF(ISNUMBER(MATCH(salesHistory[order_no], $AO$11, 0)), MATCH(ROW(salesHistory[order_no]),ROW(salesHistory[order_no])), ""), ROWS($A$1:A7)+$B$8))),"")</f>
        <v/>
      </c>
      <c r="AX16" s="325" t="str">
        <f t="array" ref="AX16">IFERROR(IF($AO$9="ALL","ERR.",INDEX(salesHistory[description],SMALL(IF(ISNUMBER(MATCH(salesHistory[order_no], $AO$11, 0)), MATCH(ROW(salesHistory[order_no]),ROW(salesHistory[order_no])), ""), ROWS($A$1:A7)+$B$8))),"")</f>
        <v/>
      </c>
      <c r="AY16" s="314" t="str">
        <f t="array" ref="AY16">IFERROR(IF($AO$9="ALL","ERR.",INDEX(salesHistory[qty],SMALL(IF(ISNUMBER(MATCH(salesHistory[order_no], $AO$11, 0)), MATCH(ROW(salesHistory[order_no]),ROW(salesHistory[order_no])), ""), ROWS($A$1:A7)+$B$8))),"")</f>
        <v/>
      </c>
      <c r="AZ16" s="317" t="str">
        <f t="array" ref="AZ16">IFERROR(IF($AO$9="ALL","ERR.",INDEX(salesHistory[sale_price],SMALL(IF(ISNUMBER(MATCH(salesHistory[order_no], $AO$11, 0)), MATCH(ROW(salesHistory[order_no]),ROW(salesHistory[order_no])), ""), ROWS($A$1:A7)+$B$8))),"")</f>
        <v/>
      </c>
      <c r="BA16" s="317" t="str">
        <f t="array" ref="BA16">IFERROR(IF($AO$9="ALL","ERR.",INDEX(salesHistory[cost_price],SMALL(IF(ISNUMBER(MATCH(salesHistory[order_no], $AO$11, 0)), MATCH(ROW(salesHistory[order_no]),ROW(salesHistory[order_no])), ""), ROWS($A$1:A7)+$B$8))),"")</f>
        <v/>
      </c>
      <c r="BB16" s="320" t="str">
        <f t="array" ref="BB16">IFERROR(IF($AO$9="ALL","ERR.",INDEX(salesHistory[disc_qty],SMALL(IF(ISNUMBER(MATCH(salesHistory[order_no], $AO$11, 0)), MATCH(ROW(salesHistory[order_no]),ROW(salesHistory[order_no])), ""), ROWS($A$1:A7)+$B$8))),"")</f>
        <v/>
      </c>
      <c r="BC16" s="326" t="str">
        <f t="array" ref="BC16">IFERROR(IF($AO$9="ALL","ERR.",INDEX(salesHistory[disc_price],SMALL(IF(ISNUMBER(MATCH(salesHistory[order_no], $AO$11, 0)), MATCH(ROW(salesHistory[order_no]),ROW(salesHistory[order_no])), ""), ROWS($A$1:A7)+$B$8))),"")</f>
        <v/>
      </c>
      <c r="BD16" s="314" t="str">
        <f t="array" ref="BD16">IFERROR(IF($AO$9="ALL","ERR.",INDEX(salesHistory[foc_qty],SMALL(IF(ISNUMBER(MATCH(salesHistory[order_no], $AO$11, 0)), MATCH(ROW(salesHistory[order_no]),ROW(salesHistory[order_no])), ""), ROWS($A$1:A7)+$B$8))),"")</f>
        <v/>
      </c>
      <c r="BE16" s="317" t="str">
        <f t="array" ref="BE16">IFERROR(IF($AO$9="ALL","ERR.",INDEX(salesHistory[tot_cost],SMALL(IF(ISNUMBER(MATCH(salesHistory[order_no], $AO$11, 0)), MATCH(ROW(salesHistory[order_no]),ROW(salesHistory[order_no])), ""), ROWS($A$1:A7)+$B$8))),"")</f>
        <v/>
      </c>
      <c r="BF16" s="317" t="str">
        <f t="array" ref="BF16">IFERROR(IF($AO$9="ALL","ERR.",INDEX(salesHistory[tot_sold],SMALL(IF(ISNUMBER(MATCH(salesHistory[order_no], $AO$11, 0)), MATCH(ROW(salesHistory[order_no]),ROW(salesHistory[order_no])), ""), ROWS($A$1:A7)+$B$8))),"")</f>
        <v/>
      </c>
      <c r="BG16" s="314"/>
      <c r="BH16" s="327"/>
      <c r="BI16" s="290"/>
      <c r="BK16" s="381" t="str">
        <f t="array" ref="BK16">IFERROR(IF($AO$9="",INDEX(orderHistory[order_date],ROW()-9),INDEX(orderHistory[order_date], MATCH(0, IF($AO$9=orderHistory[customer],COUNTIF($BK$9:$BK15,orderHistory[order_date]), "")), 0)),"")</f>
        <v/>
      </c>
      <c r="BL16" s="382" t="str">
        <f t="array" ref="BL16">IFERROR(IF($AO$9="ALL",INDEX(orderHistory[order_id],ROW()-9),INDEX(orderHistory[order_id], MATCH(0, IF($AO$9=orderHistory[customer],COUNTIF($BL$9:$BL15,orderHistory[order_id]), "")), 0)),"")</f>
        <v/>
      </c>
      <c r="BM16" s="383" t="str">
        <f t="shared" si="1"/>
        <v/>
      </c>
      <c r="BN16" s="382" t="str">
        <f t="array" aca="1" ref="BN16" ca="1">IFERROR(INDEX(orderYearForSelectedClient, MATCH(0, COUNTIF($BN$9:BN15, orderYearForSelectedClient&amp;"") + IF(orderYearForSelectedClient="",1,0), 0)), "")</f>
        <v/>
      </c>
      <c r="BO16" s="383" t="str">
        <f t="shared" si="0"/>
        <v/>
      </c>
      <c r="CG16" s="251"/>
      <c r="CL16" s="252"/>
    </row>
    <row r="17" spans="7:90">
      <c r="G17" s="273"/>
      <c r="H17" s="268"/>
      <c r="I17" s="268"/>
      <c r="J17" s="268"/>
      <c r="K17" s="269"/>
      <c r="M17" s="302" t="str">
        <f t="array" ref="M17">IFERROR(IF($P$5="",INDEX(orderHistory[order_id], SMALL(IF(ISNUMBER(MATCH(orderHistory[customer], $E$9, 0)), MATCH(ROW(orderHistory[customer]),ROW(orderHistory[customer])), ""), ROWS($A$1:A8)+$B$3)),INDEX(orderHistory[order_id], SMALL(IF(ISNUMBER(MATCH(orderHistory[customer], $E$9, 0)*MATCH(YEAR(orderHistory[order_date]),$P$5,0)), MATCH(ROW(orderHistory[customer]),ROW(orderHistory[customer])), ""), ROWS($A$1:A8)+$B$3))),"")</f>
        <v/>
      </c>
      <c r="N17" s="303" t="str">
        <f t="array" ref="N17">IFERROR(IF($P$5="",INDEX(orderHistory[order_date], SMALL(IF(ISNUMBER(MATCH(orderHistory[customer], $E$9, 0)), MATCH(ROW(orderHistory[customer]),ROW(orderHistory[customer])), ""), ROWS($A$1:B8)+$B$3)),INDEX(orderHistory[order_date], SMALL(IF(ISNUMBER(MATCH(orderHistory[customer], $E$9, 0)*MATCH(YEAR(orderHistory[order_date]),$P$5,0)), MATCH(ROW(orderHistory[customer]),ROW(orderHistory[customer])), ""), ROWS($A$1:B8)+$B$3))),"")</f>
        <v/>
      </c>
      <c r="O17" s="304" t="str">
        <f t="array" ref="O17">IFERROR(IF($P$5="",INDEX(orderHistory[carton_no], SMALL(IF(ISNUMBER(MATCH(orderHistory[customer], $E$9, 0)), MATCH(ROW(orderHistory[customer]),ROW(orderHistory[customer])), ""), ROWS($A$1:C8)+$B$3)),INDEX(orderHistory[carton_no], SMALL(IF(ISNUMBER(MATCH(orderHistory[customer], $E$9, 0)*MATCH(YEAR(orderHistory[order_date]),$P$5,0)), MATCH(ROW(orderHistory[customer]),ROW(orderHistory[customer])), ""), ROWS($A$1:C8)+$B$3))),"")</f>
        <v/>
      </c>
      <c r="P17" s="307" t="str">
        <f t="array" ref="P17">IFERROR(IF($P$5="",INDEX(orderHistory[pallet_no], SMALL(IF(ISNUMBER(MATCH(orderHistory[customer], $E$9, 0)), MATCH(ROW(orderHistory[customer]),ROW(orderHistory[customer])), ""), ROWS($A$1:D8)+$B$3)),INDEX(orderHistory[pallet_no], SMALL(IF(ISNUMBER(MATCH(orderHistory[customer], $E$9, 0)*MATCH(YEAR(orderHistory[order_date]),$P$5,0)), MATCH(ROW(orderHistory[customer]),ROW(orderHistory[customer])), ""), ROWS($A$1:D8)+$B$3))),"")</f>
        <v/>
      </c>
      <c r="Q17" s="304" t="str">
        <f t="array" ref="Q17">IFERROR(IF($P$5="",INDEX(orderHistory[invoice_no], SMALL(IF(ISNUMBER(MATCH(orderHistory[customer], $E$9, 0)), MATCH(ROW(orderHistory[customer]),ROW(orderHistory[customer])), ""), ROWS($A$1:E8)+$B$3)),INDEX(orderHistory[invoice_no], SMALL(IF(ISNUMBER(MATCH(orderHistory[customer], $E$9, 0)*MATCH(YEAR(orderHistory[order_date]),$P$5,0)), MATCH(ROW(orderHistory[customer]),ROW(orderHistory[customer])), ""), ROWS($A$1:E8)+$B$3))),"")</f>
        <v/>
      </c>
      <c r="R17" s="303" t="str">
        <f t="array" ref="R17">IFERROR(IF($P$5="",INDEX(orderHistory[invoice_date], SMALL(IF(ISNUMBER(MATCH(orderHistory[customer], $E$9, 0)), MATCH(ROW(orderHistory[customer]),ROW(orderHistory[customer])), ""), ROWS($A$1:F8)+$B$3)),INDEX(orderHistory[invoice_date], SMALL(IF(ISNUMBER(MATCH(orderHistory[customer], $E$9, 0)*MATCH(YEAR(orderHistory[order_date]),$P$5,0)), MATCH(ROW(orderHistory[customer]),ROW(orderHistory[customer])), ""), ROWS($A$1:F8)+$B$3))),"")</f>
        <v/>
      </c>
      <c r="S17" s="304" t="str">
        <f t="array" ref="S17">IFERROR(IF($P$5="",INDEX(orderHistory[payed], SMALL(IF(ISNUMBER(MATCH(orderHistory[customer], $E$9, 0)), MATCH(ROW(orderHistory[customer]),ROW(orderHistory[customer])), ""), ROWS($A$1:G8)+$B$3)),INDEX(orderHistory[payed], SMALL(IF(ISNUMBER(MATCH(orderHistory[customer], $E$9, 0)*MATCH(YEAR(orderHistory[order_date]),$P$5,0)), MATCH(ROW(orderHistory[customer]),ROW(orderHistory[customer])), ""), ROWS($A$1:G8)+$B$3))),"")</f>
        <v/>
      </c>
      <c r="T17" s="303" t="str">
        <f t="array" ref="T17">IFERROR(IF($P$5="",INDEX(orderHistory[payment_date], SMALL(IF(ISNUMBER(MATCH(orderHistory[customer], $E$9, 0)), MATCH(ROW(orderHistory[customer]),ROW(orderHistory[customer])), ""), ROWS($A$1:H8)+$B$3)),INDEX(orderHistory[payment_date], SMALL(IF(ISNUMBER(MATCH(orderHistory[customer], $E$9, 0)*MATCH(YEAR(orderHistory[order_date]),$P$5,0)), MATCH(ROW(orderHistory[customer]),ROW(orderHistory[customer])), ""), ROWS($A$1:H8)+$B$3))),"")</f>
        <v/>
      </c>
      <c r="U17" s="305" t="str">
        <f t="array" ref="U17">IFERROR(IF($P$5="",INDEX(orderHistory[amount_sold], SMALL(IF(ISNUMBER(MATCH(orderHistory[customer], $E$9, 0)), MATCH(ROW(orderHistory[customer]),ROW(orderHistory[customer])), ""), ROWS($A$1:I8)+$B$3)),INDEX(orderHistory[amount_sold], SMALL(IF(ISNUMBER(MATCH(orderHistory[customer], $E$9, 0)*MATCH(YEAR(orderHistory[order_date]),$P$5,0)), MATCH(ROW(orderHistory[customer]),ROW(orderHistory[customer])), ""), ROWS($A$1:I8)+$B$3))),"")</f>
        <v/>
      </c>
      <c r="V17" s="306" t="str">
        <f t="array" ref="V17">IFERROR(IF($P$5="",INDEX(orderHistory[status], SMALL(IF(ISNUMBER(MATCH(orderHistory[customer], $E$9, 0)), MATCH(ROW(orderHistory[customer]),ROW(orderHistory[customer])), ""), ROWS($A$1:J8)+$B$3)),INDEX(orderHistory[status], SMALL(IF(ISNUMBER(MATCH(orderHistory[customer], $E$9, 0)*MATCH(YEAR(orderHistory[order_date]),$P$5,0)), MATCH(ROW(orderHistory[customer]),ROW(orderHistory[customer])), ""), ROWS($A$1:J8)+$B$3))),"")</f>
        <v/>
      </c>
      <c r="W17" s="290"/>
      <c r="X17" s="259"/>
      <c r="AQ17" s="285"/>
      <c r="AR17" s="266"/>
      <c r="AS17" s="266"/>
      <c r="AT17" s="266"/>
      <c r="AU17" s="267"/>
      <c r="AW17" s="369" t="str">
        <f t="array" ref="AW17">IFERROR(IF($AO$9="ALL","ERR.",INDEX(salesHistory[sku],SMALL(IF(ISNUMBER(MATCH(salesHistory[order_no], $AO$11, 0)), MATCH(ROW(salesHistory[order_no]),ROW(salesHistory[order_no])), ""), ROWS($A$1:A8)+$B$8))),"")</f>
        <v/>
      </c>
      <c r="AX17" s="325" t="str">
        <f t="array" ref="AX17">IFERROR(IF($AO$9="ALL","ERR.",INDEX(salesHistory[description],SMALL(IF(ISNUMBER(MATCH(salesHistory[order_no], $AO$11, 0)), MATCH(ROW(salesHistory[order_no]),ROW(salesHistory[order_no])), ""), ROWS($A$1:A8)+$B$8))),"")</f>
        <v/>
      </c>
      <c r="AY17" s="314" t="str">
        <f t="array" ref="AY17">IFERROR(IF($AO$9="ALL","ERR.",INDEX(salesHistory[qty],SMALL(IF(ISNUMBER(MATCH(salesHistory[order_no], $AO$11, 0)), MATCH(ROW(salesHistory[order_no]),ROW(salesHistory[order_no])), ""), ROWS($A$1:A8)+$B$8))),"")</f>
        <v/>
      </c>
      <c r="AZ17" s="317" t="str">
        <f t="array" ref="AZ17">IFERROR(IF($AO$9="ALL","ERR.",INDEX(salesHistory[sale_price],SMALL(IF(ISNUMBER(MATCH(salesHistory[order_no], $AO$11, 0)), MATCH(ROW(salesHistory[order_no]),ROW(salesHistory[order_no])), ""), ROWS($A$1:A8)+$B$8))),"")</f>
        <v/>
      </c>
      <c r="BA17" s="317" t="str">
        <f t="array" ref="BA17">IFERROR(IF($AO$9="ALL","ERR.",INDEX(salesHistory[cost_price],SMALL(IF(ISNUMBER(MATCH(salesHistory[order_no], $AO$11, 0)), MATCH(ROW(salesHistory[order_no]),ROW(salesHistory[order_no])), ""), ROWS($A$1:A8)+$B$8))),"")</f>
        <v/>
      </c>
      <c r="BB17" s="320" t="str">
        <f t="array" ref="BB17">IFERROR(IF($AO$9="ALL","ERR.",INDEX(salesHistory[disc_qty],SMALL(IF(ISNUMBER(MATCH(salesHistory[order_no], $AO$11, 0)), MATCH(ROW(salesHistory[order_no]),ROW(salesHistory[order_no])), ""), ROWS($A$1:A8)+$B$8))),"")</f>
        <v/>
      </c>
      <c r="BC17" s="326" t="str">
        <f t="array" ref="BC17">IFERROR(IF($AO$9="ALL","ERR.",INDEX(salesHistory[disc_price],SMALL(IF(ISNUMBER(MATCH(salesHistory[order_no], $AO$11, 0)), MATCH(ROW(salesHistory[order_no]),ROW(salesHistory[order_no])), ""), ROWS($A$1:A8)+$B$8))),"")</f>
        <v/>
      </c>
      <c r="BD17" s="314" t="str">
        <f t="array" ref="BD17">IFERROR(IF($AO$9="ALL","ERR.",INDEX(salesHistory[foc_qty],SMALL(IF(ISNUMBER(MATCH(salesHistory[order_no], $AO$11, 0)), MATCH(ROW(salesHistory[order_no]),ROW(salesHistory[order_no])), ""), ROWS($A$1:A8)+$B$8))),"")</f>
        <v/>
      </c>
      <c r="BE17" s="317" t="str">
        <f t="array" ref="BE17">IFERROR(IF($AO$9="ALL","ERR.",INDEX(salesHistory[tot_cost],SMALL(IF(ISNUMBER(MATCH(salesHistory[order_no], $AO$11, 0)), MATCH(ROW(salesHistory[order_no]),ROW(salesHistory[order_no])), ""), ROWS($A$1:A8)+$B$8))),"")</f>
        <v/>
      </c>
      <c r="BF17" s="317" t="str">
        <f t="array" ref="BF17">IFERROR(IF($AO$9="ALL","ERR.",INDEX(salesHistory[tot_sold],SMALL(IF(ISNUMBER(MATCH(salesHistory[order_no], $AO$11, 0)), MATCH(ROW(salesHistory[order_no]),ROW(salesHistory[order_no])), ""), ROWS($A$1:A8)+$B$8))),"")</f>
        <v/>
      </c>
      <c r="BG17" s="314"/>
      <c r="BH17" s="327"/>
      <c r="BI17" s="290"/>
      <c r="BK17" s="381" t="str">
        <f t="array" ref="BK17">IFERROR(IF($AO$9="",INDEX(orderHistory[order_date],ROW()-9),INDEX(orderHistory[order_date], MATCH(0, IF($AO$9=orderHistory[customer],COUNTIF($BK$9:$BK16,orderHistory[order_date]), "")), 0)),"")</f>
        <v/>
      </c>
      <c r="BL17" s="382" t="str">
        <f t="array" ref="BL17">IFERROR(IF($AO$9="ALL",INDEX(orderHistory[order_id],ROW()-9),INDEX(orderHistory[order_id], MATCH(0, IF($AO$9=orderHistory[customer],COUNTIF($BL$9:$BL16,orderHistory[order_id]), "")), 0)),"")</f>
        <v/>
      </c>
      <c r="BM17" s="383" t="str">
        <f t="shared" si="1"/>
        <v/>
      </c>
      <c r="BN17" s="382" t="str">
        <f t="array" aca="1" ref="BN17" ca="1">IFERROR(INDEX(orderYearForSelectedClient, MATCH(0, COUNTIF($BN$9:BN16, orderYearForSelectedClient&amp;"") + IF(orderYearForSelectedClient="",1,0), 0)), "")</f>
        <v/>
      </c>
      <c r="BO17" s="383" t="str">
        <f t="shared" si="0"/>
        <v/>
      </c>
      <c r="BX17" s="15" t="s">
        <v>494</v>
      </c>
      <c r="CG17" s="251" t="s">
        <v>417</v>
      </c>
      <c r="CL17" s="252"/>
    </row>
    <row r="18" spans="7:90" ht="14.5" customHeight="1">
      <c r="G18" s="286" t="s">
        <v>447</v>
      </c>
      <c r="H18" s="565">
        <f>INDEX(dbClienti[payment_method],MATCH($E$9,dbClienti[cod_cliente],0))</f>
        <v>0</v>
      </c>
      <c r="I18" s="566"/>
      <c r="J18" s="567"/>
      <c r="K18" s="269"/>
      <c r="M18" s="302" t="str">
        <f t="array" ref="M18">IFERROR(IF($P$5="",INDEX(orderHistory[order_id], SMALL(IF(ISNUMBER(MATCH(orderHistory[customer], $E$9, 0)), MATCH(ROW(orderHistory[customer]),ROW(orderHistory[customer])), ""), ROWS($A$1:A9)+$B$3)),INDEX(orderHistory[order_id], SMALL(IF(ISNUMBER(MATCH(orderHistory[customer], $E$9, 0)*MATCH(YEAR(orderHistory[order_date]),$P$5,0)), MATCH(ROW(orderHistory[customer]),ROW(orderHistory[customer])), ""), ROWS($A$1:A9)+$B$3))),"")</f>
        <v/>
      </c>
      <c r="N18" s="303" t="str">
        <f t="array" ref="N18">IFERROR(IF($P$5="",INDEX(orderHistory[order_date], SMALL(IF(ISNUMBER(MATCH(orderHistory[customer], $E$9, 0)), MATCH(ROW(orderHistory[customer]),ROW(orderHistory[customer])), ""), ROWS($A$1:B9)+$B$3)),INDEX(orderHistory[order_date], SMALL(IF(ISNUMBER(MATCH(orderHistory[customer], $E$9, 0)*MATCH(YEAR(orderHistory[order_date]),$P$5,0)), MATCH(ROW(orderHistory[customer]),ROW(orderHistory[customer])), ""), ROWS($A$1:B9)+$B$3))),"")</f>
        <v/>
      </c>
      <c r="O18" s="304" t="str">
        <f t="array" ref="O18">IFERROR(IF($P$5="",INDEX(orderHistory[carton_no], SMALL(IF(ISNUMBER(MATCH(orderHistory[customer], $E$9, 0)), MATCH(ROW(orderHistory[customer]),ROW(orderHistory[customer])), ""), ROWS($A$1:C9)+$B$3)),INDEX(orderHistory[carton_no], SMALL(IF(ISNUMBER(MATCH(orderHistory[customer], $E$9, 0)*MATCH(YEAR(orderHistory[order_date]),$P$5,0)), MATCH(ROW(orderHistory[customer]),ROW(orderHistory[customer])), ""), ROWS($A$1:C9)+$B$3))),"")</f>
        <v/>
      </c>
      <c r="P18" s="304" t="str">
        <f t="array" ref="P18">IFERROR(IF($P$5="",INDEX(orderHistory[pallet_no], SMALL(IF(ISNUMBER(MATCH(orderHistory[customer], $E$9, 0)), MATCH(ROW(orderHistory[customer]),ROW(orderHistory[customer])), ""), ROWS($A$1:D9)+$B$3)),INDEX(orderHistory[pallet_no], SMALL(IF(ISNUMBER(MATCH(orderHistory[customer], $E$9, 0)*MATCH(YEAR(orderHistory[order_date]),$P$5,0)), MATCH(ROW(orderHistory[customer]),ROW(orderHistory[customer])), ""), ROWS($A$1:D9)+$B$3))),"")</f>
        <v/>
      </c>
      <c r="Q18" s="304" t="str">
        <f t="array" ref="Q18">IFERROR(IF($P$5="",INDEX(orderHistory[invoice_no], SMALL(IF(ISNUMBER(MATCH(orderHistory[customer], $E$9, 0)), MATCH(ROW(orderHistory[customer]),ROW(orderHistory[customer])), ""), ROWS($A$1:E9)+$B$3)),INDEX(orderHistory[invoice_no], SMALL(IF(ISNUMBER(MATCH(orderHistory[customer], $E$9, 0)*MATCH(YEAR(orderHistory[order_date]),$P$5,0)), MATCH(ROW(orderHistory[customer]),ROW(orderHistory[customer])), ""), ROWS($A$1:E9)+$B$3))),"")</f>
        <v/>
      </c>
      <c r="R18" s="303" t="str">
        <f t="array" ref="R18">IFERROR(IF($P$5="",INDEX(orderHistory[invoice_date], SMALL(IF(ISNUMBER(MATCH(orderHistory[customer], $E$9, 0)), MATCH(ROW(orderHistory[customer]),ROW(orderHistory[customer])), ""), ROWS($A$1:F9)+$B$3)),INDEX(orderHistory[invoice_date], SMALL(IF(ISNUMBER(MATCH(orderHistory[customer], $E$9, 0)*MATCH(YEAR(orderHistory[order_date]),$P$5,0)), MATCH(ROW(orderHistory[customer]),ROW(orderHistory[customer])), ""), ROWS($A$1:F9)+$B$3))),"")</f>
        <v/>
      </c>
      <c r="S18" s="304" t="str">
        <f t="array" ref="S18">IFERROR(IF($P$5="",INDEX(orderHistory[payed], SMALL(IF(ISNUMBER(MATCH(orderHistory[customer], $E$9, 0)), MATCH(ROW(orderHistory[customer]),ROW(orderHistory[customer])), ""), ROWS($A$1:G9)+$B$3)),INDEX(orderHistory[payed], SMALL(IF(ISNUMBER(MATCH(orderHistory[customer], $E$9, 0)*MATCH(YEAR(orderHistory[order_date]),$P$5,0)), MATCH(ROW(orderHistory[customer]),ROW(orderHistory[customer])), ""), ROWS($A$1:G9)+$B$3))),"")</f>
        <v/>
      </c>
      <c r="T18" s="303" t="str">
        <f t="array" ref="T18">IFERROR(IF($P$5="",INDEX(orderHistory[payment_date], SMALL(IF(ISNUMBER(MATCH(orderHistory[customer], $E$9, 0)), MATCH(ROW(orderHistory[customer]),ROW(orderHistory[customer])), ""), ROWS($A$1:H9)+$B$3)),INDEX(orderHistory[payment_date], SMALL(IF(ISNUMBER(MATCH(orderHistory[customer], $E$9, 0)*MATCH(YEAR(orderHistory[order_date]),$P$5,0)), MATCH(ROW(orderHistory[customer]),ROW(orderHistory[customer])), ""), ROWS($A$1:H9)+$B$3))),"")</f>
        <v/>
      </c>
      <c r="U18" s="305" t="str">
        <f t="array" ref="U18">IFERROR(IF($P$5="",INDEX(orderHistory[amount_sold], SMALL(IF(ISNUMBER(MATCH(orderHistory[customer], $E$9, 0)), MATCH(ROW(orderHistory[customer]),ROW(orderHistory[customer])), ""), ROWS($A$1:I9)+$B$3)),INDEX(orderHistory[amount_sold], SMALL(IF(ISNUMBER(MATCH(orderHistory[customer], $E$9, 0)*MATCH(YEAR(orderHistory[order_date]),$P$5,0)), MATCH(ROW(orderHistory[customer]),ROW(orderHistory[customer])), ""), ROWS($A$1:I9)+$B$3))),"")</f>
        <v/>
      </c>
      <c r="V18" s="306" t="str">
        <f t="array" ref="V18">IFERROR(IF($P$5="",INDEX(orderHistory[status], SMALL(IF(ISNUMBER(MATCH(orderHistory[customer], $E$9, 0)), MATCH(ROW(orderHistory[customer]),ROW(orderHistory[customer])), ""), ROWS($A$1:J9)+$B$3)),INDEX(orderHistory[status], SMALL(IF(ISNUMBER(MATCH(orderHistory[customer], $E$9, 0)*MATCH(YEAR(orderHistory[order_date]),$P$5,0)), MATCH(ROW(orderHistory[customer]),ROW(orderHistory[customer])), ""), ROWS($A$1:J9)+$B$3))),"")</f>
        <v/>
      </c>
      <c r="W18" s="290"/>
      <c r="X18" s="259"/>
      <c r="AO18" s="15"/>
      <c r="AQ18" s="274" t="s">
        <v>517</v>
      </c>
      <c r="AR18" s="350">
        <f>SUMIF(salesHistory[order_no],$AR$10,salesHistory[tot_sold])</f>
        <v>0</v>
      </c>
      <c r="AS18" s="331" t="s">
        <v>522</v>
      </c>
      <c r="AT18" s="349">
        <f>SUMIF(salesHistory[order_no],$AR$10,salesHistory[foc_qty])</f>
        <v>0</v>
      </c>
      <c r="AU18" s="269"/>
      <c r="AW18" s="369" t="str">
        <f t="array" ref="AW18">IFERROR(IF($AO$9="ALL","ERR.",INDEX(salesHistory[sku],SMALL(IF(ISNUMBER(MATCH(salesHistory[order_no], $AO$11, 0)), MATCH(ROW(salesHistory[order_no]),ROW(salesHistory[order_no])), ""), ROWS($A$1:A9)+$B$8))),"")</f>
        <v/>
      </c>
      <c r="AX18" s="325" t="str">
        <f t="array" ref="AX18">IFERROR(IF($AO$9="ALL","ERR.",INDEX(salesHistory[description],SMALL(IF(ISNUMBER(MATCH(salesHistory[order_no], $AO$11, 0)), MATCH(ROW(salesHistory[order_no]),ROW(salesHistory[order_no])), ""), ROWS($A$1:A9)+$B$8))),"")</f>
        <v/>
      </c>
      <c r="AY18" s="314" t="str">
        <f t="array" ref="AY18">IFERROR(IF($AO$9="ALL","ERR.",INDEX(salesHistory[qty],SMALL(IF(ISNUMBER(MATCH(salesHistory[order_no], $AO$11, 0)), MATCH(ROW(salesHistory[order_no]),ROW(salesHistory[order_no])), ""), ROWS($A$1:A9)+$B$8))),"")</f>
        <v/>
      </c>
      <c r="AZ18" s="317" t="str">
        <f t="array" ref="AZ18">IFERROR(IF($AO$9="ALL","ERR.",INDEX(salesHistory[sale_price],SMALL(IF(ISNUMBER(MATCH(salesHistory[order_no], $AO$11, 0)), MATCH(ROW(salesHistory[order_no]),ROW(salesHistory[order_no])), ""), ROWS($A$1:A9)+$B$8))),"")</f>
        <v/>
      </c>
      <c r="BA18" s="317" t="str">
        <f t="array" ref="BA18">IFERROR(IF($AO$9="ALL","ERR.",INDEX(salesHistory[cost_price],SMALL(IF(ISNUMBER(MATCH(salesHistory[order_no], $AO$11, 0)), MATCH(ROW(salesHistory[order_no]),ROW(salesHistory[order_no])), ""), ROWS($A$1:A9)+$B$8))),"")</f>
        <v/>
      </c>
      <c r="BB18" s="320" t="str">
        <f t="array" ref="BB18">IFERROR(IF($AO$9="ALL","ERR.",INDEX(salesHistory[disc_qty],SMALL(IF(ISNUMBER(MATCH(salesHistory[order_no], $AO$11, 0)), MATCH(ROW(salesHistory[order_no]),ROW(salesHistory[order_no])), ""), ROWS($A$1:A9)+$B$8))),"")</f>
        <v/>
      </c>
      <c r="BC18" s="326" t="str">
        <f t="array" ref="BC18">IFERROR(IF($AO$9="ALL","ERR.",INDEX(salesHistory[disc_price],SMALL(IF(ISNUMBER(MATCH(salesHistory[order_no], $AO$11, 0)), MATCH(ROW(salesHistory[order_no]),ROW(salesHistory[order_no])), ""), ROWS($A$1:A9)+$B$8))),"")</f>
        <v/>
      </c>
      <c r="BD18" s="314" t="str">
        <f t="array" ref="BD18">IFERROR(IF($AO$9="ALL","ERR.",INDEX(salesHistory[foc_qty],SMALL(IF(ISNUMBER(MATCH(salesHistory[order_no], $AO$11, 0)), MATCH(ROW(salesHistory[order_no]),ROW(salesHistory[order_no])), ""), ROWS($A$1:A9)+$B$8))),"")</f>
        <v/>
      </c>
      <c r="BE18" s="317" t="str">
        <f t="array" ref="BE18">IFERROR(IF($AO$9="ALL","ERR.",INDEX(salesHistory[tot_cost],SMALL(IF(ISNUMBER(MATCH(salesHistory[order_no], $AO$11, 0)), MATCH(ROW(salesHistory[order_no]),ROW(salesHistory[order_no])), ""), ROWS($A$1:A9)+$B$8))),"")</f>
        <v/>
      </c>
      <c r="BF18" s="317" t="str">
        <f t="array" ref="BF18">IFERROR(IF($AO$9="ALL","ERR.",INDEX(salesHistory[tot_sold],SMALL(IF(ISNUMBER(MATCH(salesHistory[order_no], $AO$11, 0)), MATCH(ROW(salesHistory[order_no]),ROW(salesHistory[order_no])), ""), ROWS($A$1:A9)+$B$8))),"")</f>
        <v/>
      </c>
      <c r="BG18" s="314"/>
      <c r="BH18" s="327"/>
      <c r="BI18" s="290"/>
      <c r="BK18" s="381" t="str">
        <f t="array" ref="BK18">IFERROR(IF($AO$9="",INDEX(orderHistory[order_date],ROW()-9),INDEX(orderHistory[order_date], MATCH(0, IF($AO$9=orderHistory[customer],COUNTIF($BK$9:$BK17,orderHistory[order_date]), "")), 0)),"")</f>
        <v/>
      </c>
      <c r="BL18" s="382" t="str">
        <f t="array" ref="BL18">IFERROR(IF($AO$9="ALL",INDEX(orderHistory[order_id],ROW()-9),INDEX(orderHistory[order_id], MATCH(0, IF($AO$9=orderHistory[customer],COUNTIF($BL$9:$BL17,orderHistory[order_id]), "")), 0)),"")</f>
        <v/>
      </c>
      <c r="BM18" s="383" t="str">
        <f t="shared" si="1"/>
        <v/>
      </c>
      <c r="BN18" s="382" t="str">
        <f t="array" aca="1" ref="BN18" ca="1">IFERROR(INDEX(orderYearForSelectedClient, MATCH(0, COUNTIF($BN$9:BN17, orderYearForSelectedClient&amp;"") + IF(orderYearForSelectedClient="",1,0), 0)), "")</f>
        <v/>
      </c>
      <c r="BO18" s="383" t="str">
        <f t="shared" si="0"/>
        <v/>
      </c>
      <c r="BX18" s="288"/>
      <c r="CG18" s="251"/>
      <c r="CL18" s="252"/>
    </row>
    <row r="19" spans="7:90">
      <c r="G19" s="276"/>
      <c r="H19" s="268"/>
      <c r="I19" s="268"/>
      <c r="J19" s="268"/>
      <c r="K19" s="269"/>
      <c r="M19" s="302" t="str">
        <f t="array" ref="M19">IFERROR(IF($P$5="",INDEX(orderHistory[order_id], SMALL(IF(ISNUMBER(MATCH(orderHistory[customer], $E$9, 0)), MATCH(ROW(orderHistory[customer]),ROW(orderHistory[customer])), ""), ROWS($A$1:A10)+$B$3)),INDEX(orderHistory[order_id], SMALL(IF(ISNUMBER(MATCH(orderHistory[customer], $E$9, 0)*MATCH(YEAR(orderHistory[order_date]),$P$5,0)), MATCH(ROW(orderHistory[customer]),ROW(orderHistory[customer])), ""), ROWS($A$1:A10)+$B$3))),"")</f>
        <v/>
      </c>
      <c r="N19" s="303" t="str">
        <f t="array" ref="N19">IFERROR(IF($P$5="",INDEX(orderHistory[order_date], SMALL(IF(ISNUMBER(MATCH(orderHistory[customer], $E$9, 0)), MATCH(ROW(orderHistory[customer]),ROW(orderHistory[customer])), ""), ROWS($A$1:B10)+$B$3)),INDEX(orderHistory[order_date], SMALL(IF(ISNUMBER(MATCH(orderHistory[customer], $E$9, 0)*MATCH(YEAR(orderHistory[order_date]),$P$5,0)), MATCH(ROW(orderHistory[customer]),ROW(orderHistory[customer])), ""), ROWS($A$1:B10)+$B$3))),"")</f>
        <v/>
      </c>
      <c r="O19" s="304" t="str">
        <f t="array" ref="O19">IFERROR(IF($P$5="",INDEX(orderHistory[carton_no], SMALL(IF(ISNUMBER(MATCH(orderHistory[customer], $E$9, 0)), MATCH(ROW(orderHistory[customer]),ROW(orderHistory[customer])), ""), ROWS($A$1:C10)+$B$3)),INDEX(orderHistory[carton_no], SMALL(IF(ISNUMBER(MATCH(orderHistory[customer], $E$9, 0)*MATCH(YEAR(orderHistory[order_date]),$P$5,0)), MATCH(ROW(orderHistory[customer]),ROW(orderHistory[customer])), ""), ROWS($A$1:C10)+$B$3))),"")</f>
        <v/>
      </c>
      <c r="P19" s="304" t="str">
        <f t="array" ref="P19">IFERROR(IF($P$5="",INDEX(orderHistory[pallet_no], SMALL(IF(ISNUMBER(MATCH(orderHistory[customer], $E$9, 0)), MATCH(ROW(orderHistory[customer]),ROW(orderHistory[customer])), ""), ROWS($A$1:D10)+$B$3)),INDEX(orderHistory[pallet_no], SMALL(IF(ISNUMBER(MATCH(orderHistory[customer], $E$9, 0)*MATCH(YEAR(orderHistory[order_date]),$P$5,0)), MATCH(ROW(orderHistory[customer]),ROW(orderHistory[customer])), ""), ROWS($A$1:D10)+$B$3))),"")</f>
        <v/>
      </c>
      <c r="Q19" s="304" t="str">
        <f t="array" ref="Q19">IFERROR(IF($P$5="",INDEX(orderHistory[invoice_no], SMALL(IF(ISNUMBER(MATCH(orderHistory[customer], $E$9, 0)), MATCH(ROW(orderHistory[customer]),ROW(orderHistory[customer])), ""), ROWS($A$1:E10)+$B$3)),INDEX(orderHistory[invoice_no], SMALL(IF(ISNUMBER(MATCH(orderHistory[customer], $E$9, 0)*MATCH(YEAR(orderHistory[order_date]),$P$5,0)), MATCH(ROW(orderHistory[customer]),ROW(orderHistory[customer])), ""), ROWS($A$1:E10)+$B$3))),"")</f>
        <v/>
      </c>
      <c r="R19" s="303" t="str">
        <f t="array" ref="R19">IFERROR(IF($P$5="",INDEX(orderHistory[invoice_date], SMALL(IF(ISNUMBER(MATCH(orderHistory[customer], $E$9, 0)), MATCH(ROW(orderHistory[customer]),ROW(orderHistory[customer])), ""), ROWS($A$1:F10)+$B$3)),INDEX(orderHistory[invoice_date], SMALL(IF(ISNUMBER(MATCH(orderHistory[customer], $E$9, 0)*MATCH(YEAR(orderHistory[order_date]),$P$5,0)), MATCH(ROW(orderHistory[customer]),ROW(orderHistory[customer])), ""), ROWS($A$1:F10)+$B$3))),"")</f>
        <v/>
      </c>
      <c r="S19" s="304" t="str">
        <f t="array" ref="S19">IFERROR(IF($P$5="",INDEX(orderHistory[payed], SMALL(IF(ISNUMBER(MATCH(orderHistory[customer], $E$9, 0)), MATCH(ROW(orderHistory[customer]),ROW(orderHistory[customer])), ""), ROWS($A$1:G10)+$B$3)),INDEX(orderHistory[payed], SMALL(IF(ISNUMBER(MATCH(orderHistory[customer], $E$9, 0)*MATCH(YEAR(orderHistory[order_date]),$P$5,0)), MATCH(ROW(orderHistory[customer]),ROW(orderHistory[customer])), ""), ROWS($A$1:G10)+$B$3))),"")</f>
        <v/>
      </c>
      <c r="T19" s="303" t="str">
        <f t="array" ref="T19">IFERROR(IF($P$5="",INDEX(orderHistory[payment_date], SMALL(IF(ISNUMBER(MATCH(orderHistory[customer], $E$9, 0)), MATCH(ROW(orderHistory[customer]),ROW(orderHistory[customer])), ""), ROWS($A$1:H10)+$B$3)),INDEX(orderHistory[payment_date], SMALL(IF(ISNUMBER(MATCH(orderHistory[customer], $E$9, 0)*MATCH(YEAR(orderHistory[order_date]),$P$5,0)), MATCH(ROW(orderHistory[customer]),ROW(orderHistory[customer])), ""), ROWS($A$1:H10)+$B$3))),"")</f>
        <v/>
      </c>
      <c r="U19" s="305" t="str">
        <f t="array" ref="U19">IFERROR(IF($P$5="",INDEX(orderHistory[amount_sold], SMALL(IF(ISNUMBER(MATCH(orderHistory[customer], $E$9, 0)), MATCH(ROW(orderHistory[customer]),ROW(orderHistory[customer])), ""), ROWS($A$1:I10)+$B$3)),INDEX(orderHistory[amount_sold], SMALL(IF(ISNUMBER(MATCH(orderHistory[customer], $E$9, 0)*MATCH(YEAR(orderHistory[order_date]),$P$5,0)), MATCH(ROW(orderHistory[customer]),ROW(orderHistory[customer])), ""), ROWS($A$1:I10)+$B$3))),"")</f>
        <v/>
      </c>
      <c r="V19" s="306" t="str">
        <f t="array" ref="V19">IFERROR(IF($P$5="",INDEX(orderHistory[status], SMALL(IF(ISNUMBER(MATCH(orderHistory[customer], $E$9, 0)), MATCH(ROW(orderHistory[customer]),ROW(orderHistory[customer])), ""), ROWS($A$1:J10)+$B$3)),INDEX(orderHistory[status], SMALL(IF(ISNUMBER(MATCH(orderHistory[customer], $E$9, 0)*MATCH(YEAR(orderHistory[order_date]),$P$5,0)), MATCH(ROW(orderHistory[customer]),ROW(orderHistory[customer])), ""), ROWS($A$1:J10)+$B$3))),"")</f>
        <v/>
      </c>
      <c r="W19" s="290"/>
      <c r="X19" s="259"/>
      <c r="AQ19" s="274" t="s">
        <v>518</v>
      </c>
      <c r="AR19" s="350">
        <f>SUMIF(salesHistory[order_no],$AR$10,salesHistory[tot_cost])</f>
        <v>0</v>
      </c>
      <c r="AS19" s="331" t="s">
        <v>523</v>
      </c>
      <c r="AT19" s="350">
        <f t="array" ref="AT19">SUMPRODUCT((salesHistory[order_no]=$AR$10)*(salesHistory[foc_qty])*(salesHistory[cost_price]))</f>
        <v>0</v>
      </c>
      <c r="AU19" s="269"/>
      <c r="AW19" s="369" t="str">
        <f t="array" ref="AW19">IFERROR(IF($AO$9="ALL","ERR.",INDEX(salesHistory[sku],SMALL(IF(ISNUMBER(MATCH(salesHistory[order_no], $AO$11, 0)), MATCH(ROW(salesHistory[order_no]),ROW(salesHistory[order_no])), ""), ROWS($A$1:A10)+$B$8))),"")</f>
        <v/>
      </c>
      <c r="AX19" s="325" t="str">
        <f t="array" ref="AX19">IFERROR(IF($AO$9="ALL","ERR.",INDEX(salesHistory[description],SMALL(IF(ISNUMBER(MATCH(salesHistory[order_no], $AO$11, 0)), MATCH(ROW(salesHistory[order_no]),ROW(salesHistory[order_no])), ""), ROWS($A$1:A10)+$B$8))),"")</f>
        <v/>
      </c>
      <c r="AY19" s="314" t="str">
        <f t="array" ref="AY19">IFERROR(IF($AO$9="ALL","ERR.",INDEX(salesHistory[qty],SMALL(IF(ISNUMBER(MATCH(salesHistory[order_no], $AO$11, 0)), MATCH(ROW(salesHistory[order_no]),ROW(salesHistory[order_no])), ""), ROWS($A$1:A10)+$B$8))),"")</f>
        <v/>
      </c>
      <c r="AZ19" s="317" t="str">
        <f t="array" ref="AZ19">IFERROR(IF($AO$9="ALL","ERR.",INDEX(salesHistory[sale_price],SMALL(IF(ISNUMBER(MATCH(salesHistory[order_no], $AO$11, 0)), MATCH(ROW(salesHistory[order_no]),ROW(salesHistory[order_no])), ""), ROWS($A$1:A10)+$B$8))),"")</f>
        <v/>
      </c>
      <c r="BA19" s="317" t="str">
        <f t="array" ref="BA19">IFERROR(IF($AO$9="ALL","ERR.",INDEX(salesHistory[cost_price],SMALL(IF(ISNUMBER(MATCH(salesHistory[order_no], $AO$11, 0)), MATCH(ROW(salesHistory[order_no]),ROW(salesHistory[order_no])), ""), ROWS($A$1:A10)+$B$8))),"")</f>
        <v/>
      </c>
      <c r="BB19" s="320" t="str">
        <f t="array" ref="BB19">IFERROR(IF($AO$9="ALL","ERR.",INDEX(salesHistory[disc_qty],SMALL(IF(ISNUMBER(MATCH(salesHistory[order_no], $AO$11, 0)), MATCH(ROW(salesHistory[order_no]),ROW(salesHistory[order_no])), ""), ROWS($A$1:A10)+$B$8))),"")</f>
        <v/>
      </c>
      <c r="BC19" s="326" t="str">
        <f t="array" ref="BC19">IFERROR(IF($AO$9="ALL","ERR.",INDEX(salesHistory[disc_price],SMALL(IF(ISNUMBER(MATCH(salesHistory[order_no], $AO$11, 0)), MATCH(ROW(salesHistory[order_no]),ROW(salesHistory[order_no])), ""), ROWS($A$1:A10)+$B$8))),"")</f>
        <v/>
      </c>
      <c r="BD19" s="314" t="str">
        <f t="array" ref="BD19">IFERROR(IF($AO$9="ALL","ERR.",INDEX(salesHistory[foc_qty],SMALL(IF(ISNUMBER(MATCH(salesHistory[order_no], $AO$11, 0)), MATCH(ROW(salesHistory[order_no]),ROW(salesHistory[order_no])), ""), ROWS($A$1:A10)+$B$8))),"")</f>
        <v/>
      </c>
      <c r="BE19" s="317" t="str">
        <f t="array" ref="BE19">IFERROR(IF($AO$9="ALL","ERR.",INDEX(salesHistory[tot_cost],SMALL(IF(ISNUMBER(MATCH(salesHistory[order_no], $AO$11, 0)), MATCH(ROW(salesHistory[order_no]),ROW(salesHistory[order_no])), ""), ROWS($A$1:A10)+$B$8))),"")</f>
        <v/>
      </c>
      <c r="BF19" s="317" t="str">
        <f t="array" ref="BF19">IFERROR(IF($AO$9="ALL","ERR.",INDEX(salesHistory[tot_sold],SMALL(IF(ISNUMBER(MATCH(salesHistory[order_no], $AO$11, 0)), MATCH(ROW(salesHistory[order_no]),ROW(salesHistory[order_no])), ""), ROWS($A$1:A10)+$B$8))),"")</f>
        <v/>
      </c>
      <c r="BG19" s="314"/>
      <c r="BH19" s="327"/>
      <c r="BI19" s="290"/>
      <c r="BK19" s="381" t="str">
        <f t="array" ref="BK19">IFERROR(IF($AO$9="",INDEX(orderHistory[order_date],ROW()-9),INDEX(orderHistory[order_date], MATCH(0, IF($AO$9=orderHistory[customer],COUNTIF($BK$9:$BK18,orderHistory[order_date]), "")), 0)),"")</f>
        <v/>
      </c>
      <c r="BL19" s="382" t="str">
        <f t="array" ref="BL19">IFERROR(IF($AO$9="ALL",INDEX(orderHistory[order_id],ROW()-9),INDEX(orderHistory[order_id], MATCH(0, IF($AO$9=orderHistory[customer],COUNTIF($BL$9:$BL18,orderHistory[order_id]), "")), 0)),"")</f>
        <v/>
      </c>
      <c r="BM19" s="383" t="str">
        <f t="shared" si="1"/>
        <v/>
      </c>
      <c r="BN19" s="382" t="str">
        <f t="array" aca="1" ref="BN19" ca="1">IFERROR(INDEX(orderYearForSelectedClient, MATCH(0, COUNTIF($BN$9:BN18, orderYearForSelectedClient&amp;"") + IF(orderYearForSelectedClient="",1,0), 0)), "")</f>
        <v/>
      </c>
      <c r="BO19" s="383" t="str">
        <f t="shared" si="0"/>
        <v/>
      </c>
      <c r="CG19" s="251" t="s">
        <v>418</v>
      </c>
      <c r="CL19" s="252"/>
    </row>
    <row r="20" spans="7:90">
      <c r="G20" s="273" t="s">
        <v>446</v>
      </c>
      <c r="H20" s="565">
        <f>INDEX(dbClienti[vat_no],MATCH($E$9,dbClienti[cod_cliente],0))</f>
        <v>0</v>
      </c>
      <c r="I20" s="566"/>
      <c r="J20" s="567"/>
      <c r="K20" s="269"/>
      <c r="M20" s="302" t="str">
        <f t="array" ref="M20">IFERROR(IF($P$5="",INDEX(orderHistory[order_id], SMALL(IF(ISNUMBER(MATCH(orderHistory[customer], $E$9, 0)), MATCH(ROW(orderHistory[customer]),ROW(orderHistory[customer])), ""), ROWS($A$1:A11)+$B$3)),INDEX(orderHistory[order_id], SMALL(IF(ISNUMBER(MATCH(orderHistory[customer], $E$9, 0)*MATCH(YEAR(orderHistory[order_date]),$P$5,0)), MATCH(ROW(orderHistory[customer]),ROW(orderHistory[customer])), ""), ROWS($A$1:A11)+$B$3))),"")</f>
        <v/>
      </c>
      <c r="N20" s="303" t="str">
        <f t="array" ref="N20">IFERROR(IF($P$5="",INDEX(orderHistory[order_date], SMALL(IF(ISNUMBER(MATCH(orderHistory[customer], $E$9, 0)), MATCH(ROW(orderHistory[customer]),ROW(orderHistory[customer])), ""), ROWS($A$1:B11)+$B$3)),INDEX(orderHistory[order_date], SMALL(IF(ISNUMBER(MATCH(orderHistory[customer], $E$9, 0)*MATCH(YEAR(orderHistory[order_date]),$P$5,0)), MATCH(ROW(orderHistory[customer]),ROW(orderHistory[customer])), ""), ROWS($A$1:B11)+$B$3))),"")</f>
        <v/>
      </c>
      <c r="O20" s="304" t="str">
        <f t="array" ref="O20">IFERROR(IF($P$5="",INDEX(orderHistory[carton_no], SMALL(IF(ISNUMBER(MATCH(orderHistory[customer], $E$9, 0)), MATCH(ROW(orderHistory[customer]),ROW(orderHistory[customer])), ""), ROWS($A$1:C11)+$B$3)),INDEX(orderHistory[carton_no], SMALL(IF(ISNUMBER(MATCH(orderHistory[customer], $E$9, 0)*MATCH(YEAR(orderHistory[order_date]),$P$5,0)), MATCH(ROW(orderHistory[customer]),ROW(orderHistory[customer])), ""), ROWS($A$1:C11)+$B$3))),"")</f>
        <v/>
      </c>
      <c r="P20" s="304" t="str">
        <f t="array" ref="P20">IFERROR(IF($P$5="",INDEX(orderHistory[pallet_no], SMALL(IF(ISNUMBER(MATCH(orderHistory[customer], $E$9, 0)), MATCH(ROW(orderHistory[customer]),ROW(orderHistory[customer])), ""), ROWS($A$1:D11)+$B$3)),INDEX(orderHistory[pallet_no], SMALL(IF(ISNUMBER(MATCH(orderHistory[customer], $E$9, 0)*MATCH(YEAR(orderHistory[order_date]),$P$5,0)), MATCH(ROW(orderHistory[customer]),ROW(orderHistory[customer])), ""), ROWS($A$1:D11)+$B$3))),"")</f>
        <v/>
      </c>
      <c r="Q20" s="304" t="str">
        <f t="array" ref="Q20">IFERROR(IF($P$5="",INDEX(orderHistory[invoice_no], SMALL(IF(ISNUMBER(MATCH(orderHistory[customer], $E$9, 0)), MATCH(ROW(orderHistory[customer]),ROW(orderHistory[customer])), ""), ROWS($A$1:E11)+$B$3)),INDEX(orderHistory[invoice_no], SMALL(IF(ISNUMBER(MATCH(orderHistory[customer], $E$9, 0)*MATCH(YEAR(orderHistory[order_date]),$P$5,0)), MATCH(ROW(orderHistory[customer]),ROW(orderHistory[customer])), ""), ROWS($A$1:E11)+$B$3))),"")</f>
        <v/>
      </c>
      <c r="R20" s="303" t="str">
        <f t="array" ref="R20">IFERROR(IF($P$5="",INDEX(orderHistory[invoice_date], SMALL(IF(ISNUMBER(MATCH(orderHistory[customer], $E$9, 0)), MATCH(ROW(orderHistory[customer]),ROW(orderHistory[customer])), ""), ROWS($A$1:F11)+$B$3)),INDEX(orderHistory[invoice_date], SMALL(IF(ISNUMBER(MATCH(orderHistory[customer], $E$9, 0)*MATCH(YEAR(orderHistory[order_date]),$P$5,0)), MATCH(ROW(orderHistory[customer]),ROW(orderHistory[customer])), ""), ROWS($A$1:F11)+$B$3))),"")</f>
        <v/>
      </c>
      <c r="S20" s="304" t="str">
        <f t="array" ref="S20">IFERROR(IF($P$5="",INDEX(orderHistory[payed], SMALL(IF(ISNUMBER(MATCH(orderHistory[customer], $E$9, 0)), MATCH(ROW(orderHistory[customer]),ROW(orderHistory[customer])), ""), ROWS($A$1:G11)+$B$3)),INDEX(orderHistory[payed], SMALL(IF(ISNUMBER(MATCH(orderHistory[customer], $E$9, 0)*MATCH(YEAR(orderHistory[order_date]),$P$5,0)), MATCH(ROW(orderHistory[customer]),ROW(orderHistory[customer])), ""), ROWS($A$1:G11)+$B$3))),"")</f>
        <v/>
      </c>
      <c r="T20" s="303" t="str">
        <f t="array" ref="T20">IFERROR(IF($P$5="",INDEX(orderHistory[payment_date], SMALL(IF(ISNUMBER(MATCH(orderHistory[customer], $E$9, 0)), MATCH(ROW(orderHistory[customer]),ROW(orderHistory[customer])), ""), ROWS($A$1:H11)+$B$3)),INDEX(orderHistory[payment_date], SMALL(IF(ISNUMBER(MATCH(orderHistory[customer], $E$9, 0)*MATCH(YEAR(orderHistory[order_date]),$P$5,0)), MATCH(ROW(orderHistory[customer]),ROW(orderHistory[customer])), ""), ROWS($A$1:H11)+$B$3))),"")</f>
        <v/>
      </c>
      <c r="U20" s="305" t="str">
        <f t="array" ref="U20">IFERROR(IF($P$5="",INDEX(orderHistory[amount_sold], SMALL(IF(ISNUMBER(MATCH(orderHistory[customer], $E$9, 0)), MATCH(ROW(orderHistory[customer]),ROW(orderHistory[customer])), ""), ROWS($A$1:I11)+$B$3)),INDEX(orderHistory[amount_sold], SMALL(IF(ISNUMBER(MATCH(orderHistory[customer], $E$9, 0)*MATCH(YEAR(orderHistory[order_date]),$P$5,0)), MATCH(ROW(orderHistory[customer]),ROW(orderHistory[customer])), ""), ROWS($A$1:I11)+$B$3))),"")</f>
        <v/>
      </c>
      <c r="V20" s="306" t="str">
        <f t="array" ref="V20">IFERROR(IF($P$5="",INDEX(orderHistory[status], SMALL(IF(ISNUMBER(MATCH(orderHistory[customer], $E$9, 0)), MATCH(ROW(orderHistory[customer]),ROW(orderHistory[customer])), ""), ROWS($A$1:J11)+$B$3)),INDEX(orderHistory[status], SMALL(IF(ISNUMBER(MATCH(orderHistory[customer], $E$9, 0)*MATCH(YEAR(orderHistory[order_date]),$P$5,0)), MATCH(ROW(orderHistory[customer]),ROW(orderHistory[customer])), ""), ROWS($A$1:J11)+$B$3))),"")</f>
        <v/>
      </c>
      <c r="W20" s="290"/>
      <c r="X20" s="259"/>
      <c r="AQ20" s="274" t="s">
        <v>451</v>
      </c>
      <c r="AR20" s="350">
        <f>AR18-AR19</f>
        <v>0</v>
      </c>
      <c r="AS20" s="268"/>
      <c r="AT20" s="268"/>
      <c r="AU20" s="269"/>
      <c r="AW20" s="369" t="str">
        <f t="array" ref="AW20">IFERROR(IF($AO$9="ALL","ERR.",INDEX(salesHistory[sku],SMALL(IF(ISNUMBER(MATCH(salesHistory[order_no], $AO$11, 0)), MATCH(ROW(salesHistory[order_no]),ROW(salesHistory[order_no])), ""), ROWS($A$1:A11)+$B$8))),"")</f>
        <v/>
      </c>
      <c r="AX20" s="325" t="str">
        <f t="array" ref="AX20">IFERROR(IF($AO$9="ALL","ERR.",INDEX(salesHistory[description],SMALL(IF(ISNUMBER(MATCH(salesHistory[order_no], $AO$11, 0)), MATCH(ROW(salesHistory[order_no]),ROW(salesHistory[order_no])), ""), ROWS($A$1:A11)+$B$8))),"")</f>
        <v/>
      </c>
      <c r="AY20" s="314" t="str">
        <f t="array" ref="AY20">IFERROR(IF($AO$9="ALL","ERR.",INDEX(salesHistory[qty],SMALL(IF(ISNUMBER(MATCH(salesHistory[order_no], $AO$11, 0)), MATCH(ROW(salesHistory[order_no]),ROW(salesHistory[order_no])), ""), ROWS($A$1:A11)+$B$8))),"")</f>
        <v/>
      </c>
      <c r="AZ20" s="317" t="str">
        <f t="array" ref="AZ20">IFERROR(IF($AO$9="ALL","ERR.",INDEX(salesHistory[sale_price],SMALL(IF(ISNUMBER(MATCH(salesHistory[order_no], $AO$11, 0)), MATCH(ROW(salesHistory[order_no]),ROW(salesHistory[order_no])), ""), ROWS($A$1:A11)+$B$8))),"")</f>
        <v/>
      </c>
      <c r="BA20" s="317" t="str">
        <f t="array" ref="BA20">IFERROR(IF($AO$9="ALL","ERR.",INDEX(salesHistory[cost_price],SMALL(IF(ISNUMBER(MATCH(salesHistory[order_no], $AO$11, 0)), MATCH(ROW(salesHistory[order_no]),ROW(salesHistory[order_no])), ""), ROWS($A$1:A11)+$B$8))),"")</f>
        <v/>
      </c>
      <c r="BB20" s="320" t="str">
        <f t="array" ref="BB20">IFERROR(IF($AO$9="ALL","ERR.",INDEX(salesHistory[disc_qty],SMALL(IF(ISNUMBER(MATCH(salesHistory[order_no], $AO$11, 0)), MATCH(ROW(salesHistory[order_no]),ROW(salesHistory[order_no])), ""), ROWS($A$1:A11)+$B$8))),"")</f>
        <v/>
      </c>
      <c r="BC20" s="326" t="str">
        <f t="array" ref="BC20">IFERROR(IF($AO$9="ALL","ERR.",INDEX(salesHistory[disc_price],SMALL(IF(ISNUMBER(MATCH(salesHistory[order_no], $AO$11, 0)), MATCH(ROW(salesHistory[order_no]),ROW(salesHistory[order_no])), ""), ROWS($A$1:A11)+$B$8))),"")</f>
        <v/>
      </c>
      <c r="BD20" s="314" t="str">
        <f t="array" ref="BD20">IFERROR(IF($AO$9="ALL","ERR.",INDEX(salesHistory[foc_qty],SMALL(IF(ISNUMBER(MATCH(salesHistory[order_no], $AO$11, 0)), MATCH(ROW(salesHistory[order_no]),ROW(salesHistory[order_no])), ""), ROWS($A$1:A11)+$B$8))),"")</f>
        <v/>
      </c>
      <c r="BE20" s="317" t="str">
        <f t="array" ref="BE20">IFERROR(IF($AO$9="ALL","ERR.",INDEX(salesHistory[tot_cost],SMALL(IF(ISNUMBER(MATCH(salesHistory[order_no], $AO$11, 0)), MATCH(ROW(salesHistory[order_no]),ROW(salesHistory[order_no])), ""), ROWS($A$1:A11)+$B$8))),"")</f>
        <v/>
      </c>
      <c r="BF20" s="317" t="str">
        <f t="array" ref="BF20">IFERROR(IF($AO$9="ALL","ERR.",INDEX(salesHistory[tot_sold],SMALL(IF(ISNUMBER(MATCH(salesHistory[order_no], $AO$11, 0)), MATCH(ROW(salesHistory[order_no]),ROW(salesHistory[order_no])), ""), ROWS($A$1:A11)+$B$8))),"")</f>
        <v/>
      </c>
      <c r="BG20" s="314"/>
      <c r="BH20" s="327"/>
      <c r="BI20" s="290"/>
      <c r="BK20" s="381" t="str">
        <f t="array" ref="BK20">IFERROR(IF($AO$9="",INDEX(orderHistory[order_date],ROW()-9),INDEX(orderHistory[order_date], MATCH(0, IF($AO$9=orderHistory[customer],COUNTIF($BK$9:$BK19,orderHistory[order_date]), "")), 0)),"")</f>
        <v/>
      </c>
      <c r="BL20" s="382" t="str">
        <f t="array" ref="BL20">IFERROR(IF($AO$9="ALL",INDEX(orderHistory[order_id],ROW()-9),INDEX(orderHistory[order_id], MATCH(0, IF($AO$9=orderHistory[customer],COUNTIF($BL$9:$BL19,orderHistory[order_id]), "")), 0)),"")</f>
        <v/>
      </c>
      <c r="BM20" s="383" t="str">
        <f t="shared" si="1"/>
        <v/>
      </c>
      <c r="BN20" s="382" t="str">
        <f t="array" aca="1" ref="BN20" ca="1">IFERROR(INDEX(orderYearForSelectedClient, MATCH(0, COUNTIF($BN$9:BN19, orderYearForSelectedClient&amp;"") + IF(orderYearForSelectedClient="",1,0), 0)), "")</f>
        <v/>
      </c>
      <c r="BO20" s="383" t="str">
        <f t="shared" si="0"/>
        <v/>
      </c>
      <c r="CG20" s="251"/>
      <c r="CL20" s="252"/>
    </row>
    <row r="21" spans="7:90">
      <c r="G21" s="273"/>
      <c r="H21" s="268"/>
      <c r="I21" s="268"/>
      <c r="J21" s="268"/>
      <c r="K21" s="269"/>
      <c r="M21" s="302" t="str">
        <f t="array" ref="M21">IFERROR(IF($P$5="",INDEX(orderHistory[order_id], SMALL(IF(ISNUMBER(MATCH(orderHistory[customer], $E$9, 0)), MATCH(ROW(orderHistory[customer]),ROW(orderHistory[customer])), ""), ROWS($A$1:A12)+$B$3)),INDEX(orderHistory[order_id], SMALL(IF(ISNUMBER(MATCH(orderHistory[customer], $E$9, 0)*MATCH(YEAR(orderHistory[order_date]),$P$5,0)), MATCH(ROW(orderHistory[customer]),ROW(orderHistory[customer])), ""), ROWS($A$1:A12)+$B$3))),"")</f>
        <v/>
      </c>
      <c r="N21" s="303" t="str">
        <f t="array" ref="N21">IFERROR(IF($P$5="",INDEX(orderHistory[order_date], SMALL(IF(ISNUMBER(MATCH(orderHistory[customer], $E$9, 0)), MATCH(ROW(orderHistory[customer]),ROW(orderHistory[customer])), ""), ROWS($A$1:B12)+$B$3)),INDEX(orderHistory[order_date], SMALL(IF(ISNUMBER(MATCH(orderHistory[customer], $E$9, 0)*MATCH(YEAR(orderHistory[order_date]),$P$5,0)), MATCH(ROW(orderHistory[customer]),ROW(orderHistory[customer])), ""), ROWS($A$1:B12)+$B$3))),"")</f>
        <v/>
      </c>
      <c r="O21" s="304" t="str">
        <f t="array" ref="O21">IFERROR(IF($P$5="",INDEX(orderHistory[carton_no], SMALL(IF(ISNUMBER(MATCH(orderHistory[customer], $E$9, 0)), MATCH(ROW(orderHistory[customer]),ROW(orderHistory[customer])), ""), ROWS($A$1:C12)+$B$3)),INDEX(orderHistory[carton_no], SMALL(IF(ISNUMBER(MATCH(orderHistory[customer], $E$9, 0)*MATCH(YEAR(orderHistory[order_date]),$P$5,0)), MATCH(ROW(orderHistory[customer]),ROW(orderHistory[customer])), ""), ROWS($A$1:C12)+$B$3))),"")</f>
        <v/>
      </c>
      <c r="P21" s="304" t="str">
        <f t="array" ref="P21">IFERROR(IF($P$5="",INDEX(orderHistory[pallet_no], SMALL(IF(ISNUMBER(MATCH(orderHistory[customer], $E$9, 0)), MATCH(ROW(orderHistory[customer]),ROW(orderHistory[customer])), ""), ROWS($A$1:D12)+$B$3)),INDEX(orderHistory[pallet_no], SMALL(IF(ISNUMBER(MATCH(orderHistory[customer], $E$9, 0)*MATCH(YEAR(orderHistory[order_date]),$P$5,0)), MATCH(ROW(orderHistory[customer]),ROW(orderHistory[customer])), ""), ROWS($A$1:D12)+$B$3))),"")</f>
        <v/>
      </c>
      <c r="Q21" s="304" t="str">
        <f t="array" ref="Q21">IFERROR(IF($P$5="",INDEX(orderHistory[invoice_no], SMALL(IF(ISNUMBER(MATCH(orderHistory[customer], $E$9, 0)), MATCH(ROW(orderHistory[customer]),ROW(orderHistory[customer])), ""), ROWS($A$1:E12)+$B$3)),INDEX(orderHistory[invoice_no], SMALL(IF(ISNUMBER(MATCH(orderHistory[customer], $E$9, 0)*MATCH(YEAR(orderHistory[order_date]),$P$5,0)), MATCH(ROW(orderHistory[customer]),ROW(orderHistory[customer])), ""), ROWS($A$1:E12)+$B$3))),"")</f>
        <v/>
      </c>
      <c r="R21" s="303" t="str">
        <f t="array" ref="R21">IFERROR(IF($P$5="",INDEX(orderHistory[invoice_date], SMALL(IF(ISNUMBER(MATCH(orderHistory[customer], $E$9, 0)), MATCH(ROW(orderHistory[customer]),ROW(orderHistory[customer])), ""), ROWS($A$1:F12)+$B$3)),INDEX(orderHistory[invoice_date], SMALL(IF(ISNUMBER(MATCH(orderHistory[customer], $E$9, 0)*MATCH(YEAR(orderHistory[order_date]),$P$5,0)), MATCH(ROW(orderHistory[customer]),ROW(orderHistory[customer])), ""), ROWS($A$1:F12)+$B$3))),"")</f>
        <v/>
      </c>
      <c r="S21" s="304" t="str">
        <f t="array" ref="S21">IFERROR(IF($P$5="",INDEX(orderHistory[payed], SMALL(IF(ISNUMBER(MATCH(orderHistory[customer], $E$9, 0)), MATCH(ROW(orderHistory[customer]),ROW(orderHistory[customer])), ""), ROWS($A$1:G12)+$B$3)),INDEX(orderHistory[payed], SMALL(IF(ISNUMBER(MATCH(orderHistory[customer], $E$9, 0)*MATCH(YEAR(orderHistory[order_date]),$P$5,0)), MATCH(ROW(orderHistory[customer]),ROW(orderHistory[customer])), ""), ROWS($A$1:G12)+$B$3))),"")</f>
        <v/>
      </c>
      <c r="T21" s="303" t="str">
        <f t="array" ref="T21">IFERROR(IF($P$5="",INDEX(orderHistory[payment_date], SMALL(IF(ISNUMBER(MATCH(orderHistory[customer], $E$9, 0)), MATCH(ROW(orderHistory[customer]),ROW(orderHistory[customer])), ""), ROWS($A$1:H12)+$B$3)),INDEX(orderHistory[payment_date], SMALL(IF(ISNUMBER(MATCH(orderHistory[customer], $E$9, 0)*MATCH(YEAR(orderHistory[order_date]),$P$5,0)), MATCH(ROW(orderHistory[customer]),ROW(orderHistory[customer])), ""), ROWS($A$1:H12)+$B$3))),"")</f>
        <v/>
      </c>
      <c r="U21" s="305" t="str">
        <f t="array" ref="U21">IFERROR(IF($P$5="",INDEX(orderHistory[amount_sold], SMALL(IF(ISNUMBER(MATCH(orderHistory[customer], $E$9, 0)), MATCH(ROW(orderHistory[customer]),ROW(orderHistory[customer])), ""), ROWS($A$1:I12)+$B$3)),INDEX(orderHistory[amount_sold], SMALL(IF(ISNUMBER(MATCH(orderHistory[customer], $E$9, 0)*MATCH(YEAR(orderHistory[order_date]),$P$5,0)), MATCH(ROW(orderHistory[customer]),ROW(orderHistory[customer])), ""), ROWS($A$1:I12)+$B$3))),"")</f>
        <v/>
      </c>
      <c r="V21" s="306" t="str">
        <f t="array" ref="V21">IFERROR(IF($P$5="",INDEX(orderHistory[status], SMALL(IF(ISNUMBER(MATCH(orderHistory[customer], $E$9, 0)), MATCH(ROW(orderHistory[customer]),ROW(orderHistory[customer])), ""), ROWS($A$1:J12)+$B$3)),INDEX(orderHistory[status], SMALL(IF(ISNUMBER(MATCH(orderHistory[customer], $E$9, 0)*MATCH(YEAR(orderHistory[order_date]),$P$5,0)), MATCH(ROW(orderHistory[customer]),ROW(orderHistory[customer])), ""), ROWS($A$1:J12)+$B$3))),"")</f>
        <v/>
      </c>
      <c r="W21" s="290"/>
      <c r="X21" s="259"/>
      <c r="AQ21" s="274" t="s">
        <v>452</v>
      </c>
      <c r="AR21" s="350">
        <f>AR18*7%</f>
        <v>0</v>
      </c>
      <c r="AS21" s="268"/>
      <c r="AT21" s="268"/>
      <c r="AU21" s="269"/>
      <c r="AW21" s="369" t="str">
        <f t="array" ref="AW21">IFERROR(IF($AO$9="ALL","ERR.",INDEX(salesHistory[sku],SMALL(IF(ISNUMBER(MATCH(salesHistory[order_no], $AO$11, 0)), MATCH(ROW(salesHistory[order_no]),ROW(salesHistory[order_no])), ""), ROWS($A$1:A12)+$B$8))),"")</f>
        <v/>
      </c>
      <c r="AX21" s="325" t="str">
        <f t="array" ref="AX21">IFERROR(IF($AO$9="ALL","ERR.",INDEX(salesHistory[description],SMALL(IF(ISNUMBER(MATCH(salesHistory[order_no], $AO$11, 0)), MATCH(ROW(salesHistory[order_no]),ROW(salesHistory[order_no])), ""), ROWS($A$1:A12)+$B$8))),"")</f>
        <v/>
      </c>
      <c r="AY21" s="314" t="str">
        <f t="array" ref="AY21">IFERROR(IF($AO$9="ALL","ERR.",INDEX(salesHistory[qty],SMALL(IF(ISNUMBER(MATCH(salesHistory[order_no], $AO$11, 0)), MATCH(ROW(salesHistory[order_no]),ROW(salesHistory[order_no])), ""), ROWS($A$1:A12)+$B$8))),"")</f>
        <v/>
      </c>
      <c r="AZ21" s="317" t="str">
        <f t="array" ref="AZ21">IFERROR(IF($AO$9="ALL","ERR.",INDEX(salesHistory[sale_price],SMALL(IF(ISNUMBER(MATCH(salesHistory[order_no], $AO$11, 0)), MATCH(ROW(salesHistory[order_no]),ROW(salesHistory[order_no])), ""), ROWS($A$1:A12)+$B$8))),"")</f>
        <v/>
      </c>
      <c r="BA21" s="317" t="str">
        <f t="array" ref="BA21">IFERROR(IF($AO$9="ALL","ERR.",INDEX(salesHistory[cost_price],SMALL(IF(ISNUMBER(MATCH(salesHistory[order_no], $AO$11, 0)), MATCH(ROW(salesHistory[order_no]),ROW(salesHistory[order_no])), ""), ROWS($A$1:A12)+$B$8))),"")</f>
        <v/>
      </c>
      <c r="BB21" s="320" t="str">
        <f t="array" ref="BB21">IFERROR(IF($AO$9="ALL","ERR.",INDEX(salesHistory[disc_qty],SMALL(IF(ISNUMBER(MATCH(salesHistory[order_no], $AO$11, 0)), MATCH(ROW(salesHistory[order_no]),ROW(salesHistory[order_no])), ""), ROWS($A$1:A12)+$B$8))),"")</f>
        <v/>
      </c>
      <c r="BC21" s="326" t="str">
        <f t="array" ref="BC21">IFERROR(IF($AO$9="ALL","ERR.",INDEX(salesHistory[disc_price],SMALL(IF(ISNUMBER(MATCH(salesHistory[order_no], $AO$11, 0)), MATCH(ROW(salesHistory[order_no]),ROW(salesHistory[order_no])), ""), ROWS($A$1:A12)+$B$8))),"")</f>
        <v/>
      </c>
      <c r="BD21" s="314" t="str">
        <f t="array" ref="BD21">IFERROR(IF($AO$9="ALL","ERR.",INDEX(salesHistory[foc_qty],SMALL(IF(ISNUMBER(MATCH(salesHistory[order_no], $AO$11, 0)), MATCH(ROW(salesHistory[order_no]),ROW(salesHistory[order_no])), ""), ROWS($A$1:A12)+$B$8))),"")</f>
        <v/>
      </c>
      <c r="BE21" s="317" t="str">
        <f t="array" ref="BE21">IFERROR(IF($AO$9="ALL","ERR.",INDEX(salesHistory[tot_cost],SMALL(IF(ISNUMBER(MATCH(salesHistory[order_no], $AO$11, 0)), MATCH(ROW(salesHistory[order_no]),ROW(salesHistory[order_no])), ""), ROWS($A$1:A12)+$B$8))),"")</f>
        <v/>
      </c>
      <c r="BF21" s="317" t="str">
        <f t="array" ref="BF21">IFERROR(IF($AO$9="ALL","ERR.",INDEX(salesHistory[tot_sold],SMALL(IF(ISNUMBER(MATCH(salesHistory[order_no], $AO$11, 0)), MATCH(ROW(salesHistory[order_no]),ROW(salesHistory[order_no])), ""), ROWS($A$1:A12)+$B$8))),"")</f>
        <v/>
      </c>
      <c r="BG21" s="314"/>
      <c r="BH21" s="327"/>
      <c r="BI21" s="290"/>
      <c r="BK21" s="381" t="str">
        <f t="array" ref="BK21">IFERROR(IF($AO$9="",INDEX(orderHistory[order_date],ROW()-9),INDEX(orderHistory[order_date], MATCH(0, IF($AO$9=orderHistory[customer],COUNTIF($BK$9:$BK20,orderHistory[order_date]), "")), 0)),"")</f>
        <v/>
      </c>
      <c r="BL21" s="382" t="str">
        <f t="array" ref="BL21">IFERROR(IF($AO$9="ALL",INDEX(orderHistory[order_id],ROW()-9),INDEX(orderHistory[order_id], MATCH(0, IF($AO$9=orderHistory[customer],COUNTIF($BL$9:$BL20,orderHistory[order_id]), "")), 0)),"")</f>
        <v/>
      </c>
      <c r="BM21" s="383" t="str">
        <f t="shared" si="1"/>
        <v/>
      </c>
      <c r="BN21" s="382" t="str">
        <f t="array" aca="1" ref="BN21" ca="1">IFERROR(INDEX(orderYearForSelectedClient, MATCH(0, COUNTIF($BN$9:BN20, orderYearForSelectedClient&amp;"") + IF(orderYearForSelectedClient="",1,0), 0)), "")</f>
        <v/>
      </c>
      <c r="BO21" s="383" t="str">
        <f t="shared" si="0"/>
        <v/>
      </c>
      <c r="CG21" s="251"/>
      <c r="CL21" s="252"/>
    </row>
    <row r="22" spans="7:90" ht="15" thickBot="1">
      <c r="G22" s="273" t="s">
        <v>450</v>
      </c>
      <c r="H22" s="596">
        <f>INDEX(dbClienti[hq_address1],MATCH($E$9,dbClienti[cod_cliente],0))</f>
        <v>0</v>
      </c>
      <c r="I22" s="597"/>
      <c r="J22" s="598"/>
      <c r="K22" s="269"/>
      <c r="M22" s="302" t="str">
        <f t="array" ref="M22">IFERROR(IF($P$5="",INDEX(orderHistory[order_id], SMALL(IF(ISNUMBER(MATCH(orderHistory[customer], $E$9, 0)), MATCH(ROW(orderHistory[customer]),ROW(orderHistory[customer])), ""), ROWS($A$1:A13)+$B$3)),INDEX(orderHistory[order_id], SMALL(IF(ISNUMBER(MATCH(orderHistory[customer], $E$9, 0)*MATCH(YEAR(orderHistory[order_date]),$P$5,0)), MATCH(ROW(orderHistory[customer]),ROW(orderHistory[customer])), ""), ROWS($A$1:A13)+$B$3))),"")</f>
        <v/>
      </c>
      <c r="N22" s="303" t="str">
        <f t="array" ref="N22">IFERROR(IF($P$5="",INDEX(orderHistory[order_date], SMALL(IF(ISNUMBER(MATCH(orderHistory[customer], $E$9, 0)), MATCH(ROW(orderHistory[customer]),ROW(orderHistory[customer])), ""), ROWS($A$1:B13)+$B$3)),INDEX(orderHistory[order_date], SMALL(IF(ISNUMBER(MATCH(orderHistory[customer], $E$9, 0)*MATCH(YEAR(orderHistory[order_date]),$P$5,0)), MATCH(ROW(orderHistory[customer]),ROW(orderHistory[customer])), ""), ROWS($A$1:B13)+$B$3))),"")</f>
        <v/>
      </c>
      <c r="O22" s="304" t="str">
        <f t="array" ref="O22">IFERROR(IF($P$5="",INDEX(orderHistory[carton_no], SMALL(IF(ISNUMBER(MATCH(orderHistory[customer], $E$9, 0)), MATCH(ROW(orderHistory[customer]),ROW(orderHistory[customer])), ""), ROWS($A$1:C13)+$B$3)),INDEX(orderHistory[carton_no], SMALL(IF(ISNUMBER(MATCH(orderHistory[customer], $E$9, 0)*MATCH(YEAR(orderHistory[order_date]),$P$5,0)), MATCH(ROW(orderHistory[customer]),ROW(orderHistory[customer])), ""), ROWS($A$1:C13)+$B$3))),"")</f>
        <v/>
      </c>
      <c r="P22" s="304" t="str">
        <f t="array" ref="P22">IFERROR(IF($P$5="",INDEX(orderHistory[pallet_no], SMALL(IF(ISNUMBER(MATCH(orderHistory[customer], $E$9, 0)), MATCH(ROW(orderHistory[customer]),ROW(orderHistory[customer])), ""), ROWS($A$1:D13)+$B$3)),INDEX(orderHistory[pallet_no], SMALL(IF(ISNUMBER(MATCH(orderHistory[customer], $E$9, 0)*MATCH(YEAR(orderHistory[order_date]),$P$5,0)), MATCH(ROW(orderHistory[customer]),ROW(orderHistory[customer])), ""), ROWS($A$1:D13)+$B$3))),"")</f>
        <v/>
      </c>
      <c r="Q22" s="304" t="str">
        <f t="array" ref="Q22">IFERROR(IF($P$5="",INDEX(orderHistory[invoice_no], SMALL(IF(ISNUMBER(MATCH(orderHistory[customer], $E$9, 0)), MATCH(ROW(orderHistory[customer]),ROW(orderHistory[customer])), ""), ROWS($A$1:E13)+$B$3)),INDEX(orderHistory[invoice_no], SMALL(IF(ISNUMBER(MATCH(orderHistory[customer], $E$9, 0)*MATCH(YEAR(orderHistory[order_date]),$P$5,0)), MATCH(ROW(orderHistory[customer]),ROW(orderHistory[customer])), ""), ROWS($A$1:E13)+$B$3))),"")</f>
        <v/>
      </c>
      <c r="R22" s="303" t="str">
        <f t="array" ref="R22">IFERROR(IF($P$5="",INDEX(orderHistory[invoice_date], SMALL(IF(ISNUMBER(MATCH(orderHistory[customer], $E$9, 0)), MATCH(ROW(orderHistory[customer]),ROW(orderHistory[customer])), ""), ROWS($A$1:F13)+$B$3)),INDEX(orderHistory[invoice_date], SMALL(IF(ISNUMBER(MATCH(orderHistory[customer], $E$9, 0)*MATCH(YEAR(orderHistory[order_date]),$P$5,0)), MATCH(ROW(orderHistory[customer]),ROW(orderHistory[customer])), ""), ROWS($A$1:F13)+$B$3))),"")</f>
        <v/>
      </c>
      <c r="S22" s="304" t="str">
        <f t="array" ref="S22">IFERROR(IF($P$5="",INDEX(orderHistory[payed], SMALL(IF(ISNUMBER(MATCH(orderHistory[customer], $E$9, 0)), MATCH(ROW(orderHistory[customer]),ROW(orderHistory[customer])), ""), ROWS($A$1:G13)+$B$3)),INDEX(orderHistory[payed], SMALL(IF(ISNUMBER(MATCH(orderHistory[customer], $E$9, 0)*MATCH(YEAR(orderHistory[order_date]),$P$5,0)), MATCH(ROW(orderHistory[customer]),ROW(orderHistory[customer])), ""), ROWS($A$1:G13)+$B$3))),"")</f>
        <v/>
      </c>
      <c r="T22" s="303" t="str">
        <f t="array" ref="T22">IFERROR(IF($P$5="",INDEX(orderHistory[payment_date], SMALL(IF(ISNUMBER(MATCH(orderHistory[customer], $E$9, 0)), MATCH(ROW(orderHistory[customer]),ROW(orderHistory[customer])), ""), ROWS($A$1:H13)+$B$3)),INDEX(orderHistory[payment_date], SMALL(IF(ISNUMBER(MATCH(orderHistory[customer], $E$9, 0)*MATCH(YEAR(orderHistory[order_date]),$P$5,0)), MATCH(ROW(orderHistory[customer]),ROW(orderHistory[customer])), ""), ROWS($A$1:H13)+$B$3))),"")</f>
        <v/>
      </c>
      <c r="U22" s="305" t="str">
        <f t="array" ref="U22">IFERROR(IF($P$5="",INDEX(orderHistory[amount_sold], SMALL(IF(ISNUMBER(MATCH(orderHistory[customer], $E$9, 0)), MATCH(ROW(orderHistory[customer]),ROW(orderHistory[customer])), ""), ROWS($A$1:I13)+$B$3)),INDEX(orderHistory[amount_sold], SMALL(IF(ISNUMBER(MATCH(orderHistory[customer], $E$9, 0)*MATCH(YEAR(orderHistory[order_date]),$P$5,0)), MATCH(ROW(orderHistory[customer]),ROW(orderHistory[customer])), ""), ROWS($A$1:I13)+$B$3))),"")</f>
        <v/>
      </c>
      <c r="V22" s="306" t="str">
        <f t="array" ref="V22">IFERROR(IF($P$5="",INDEX(orderHistory[status], SMALL(IF(ISNUMBER(MATCH(orderHistory[customer], $E$9, 0)), MATCH(ROW(orderHistory[customer]),ROW(orderHistory[customer])), ""), ROWS($A$1:J13)+$B$3)),INDEX(orderHistory[status], SMALL(IF(ISNUMBER(MATCH(orderHistory[customer], $E$9, 0)*MATCH(YEAR(orderHistory[order_date]),$P$5,0)), MATCH(ROW(orderHistory[customer]),ROW(orderHistory[customer])), ""), ROWS($A$1:J13)+$B$3))),"")</f>
        <v/>
      </c>
      <c r="W22" s="290"/>
      <c r="X22" s="259"/>
      <c r="AQ22" s="274"/>
      <c r="AR22" s="268"/>
      <c r="AS22" s="268"/>
      <c r="AT22" s="268"/>
      <c r="AU22" s="269"/>
      <c r="AW22" s="369" t="str">
        <f t="array" ref="AW22">IFERROR(IF($AO$9="ALL","ERR.",INDEX(salesHistory[sku],SMALL(IF(ISNUMBER(MATCH(salesHistory[order_no], $AO$11, 0)), MATCH(ROW(salesHistory[order_no]),ROW(salesHistory[order_no])), ""), ROWS($A$1:A13)+$B$8))),"")</f>
        <v/>
      </c>
      <c r="AX22" s="325" t="str">
        <f t="array" ref="AX22">IFERROR(IF($AO$9="ALL","ERR.",INDEX(salesHistory[description],SMALL(IF(ISNUMBER(MATCH(salesHistory[order_no], $AO$11, 0)), MATCH(ROW(salesHistory[order_no]),ROW(salesHistory[order_no])), ""), ROWS($A$1:A13)+$B$8))),"")</f>
        <v/>
      </c>
      <c r="AY22" s="314" t="str">
        <f t="array" ref="AY22">IFERROR(IF($AO$9="ALL","ERR.",INDEX(salesHistory[qty],SMALL(IF(ISNUMBER(MATCH(salesHistory[order_no], $AO$11, 0)), MATCH(ROW(salesHistory[order_no]),ROW(salesHistory[order_no])), ""), ROWS($A$1:A13)+$B$8))),"")</f>
        <v/>
      </c>
      <c r="AZ22" s="317" t="str">
        <f t="array" ref="AZ22">IFERROR(IF($AO$9="ALL","ERR.",INDEX(salesHistory[sale_price],SMALL(IF(ISNUMBER(MATCH(salesHistory[order_no], $AO$11, 0)), MATCH(ROW(salesHistory[order_no]),ROW(salesHistory[order_no])), ""), ROWS($A$1:A13)+$B$8))),"")</f>
        <v/>
      </c>
      <c r="BA22" s="317" t="str">
        <f t="array" ref="BA22">IFERROR(IF($AO$9="ALL","ERR.",INDEX(salesHistory[cost_price],SMALL(IF(ISNUMBER(MATCH(salesHistory[order_no], $AO$11, 0)), MATCH(ROW(salesHistory[order_no]),ROW(salesHistory[order_no])), ""), ROWS($A$1:A13)+$B$8))),"")</f>
        <v/>
      </c>
      <c r="BB22" s="320" t="str">
        <f t="array" ref="BB22">IFERROR(IF($AO$9="ALL","ERR.",INDEX(salesHistory[disc_qty],SMALL(IF(ISNUMBER(MATCH(salesHistory[order_no], $AO$11, 0)), MATCH(ROW(salesHistory[order_no]),ROW(salesHistory[order_no])), ""), ROWS($A$1:A13)+$B$8))),"")</f>
        <v/>
      </c>
      <c r="BC22" s="326" t="str">
        <f t="array" ref="BC22">IFERROR(IF($AO$9="ALL","ERR.",INDEX(salesHistory[disc_price],SMALL(IF(ISNUMBER(MATCH(salesHistory[order_no], $AO$11, 0)), MATCH(ROW(salesHistory[order_no]),ROW(salesHistory[order_no])), ""), ROWS($A$1:A13)+$B$8))),"")</f>
        <v/>
      </c>
      <c r="BD22" s="314" t="str">
        <f t="array" ref="BD22">IFERROR(IF($AO$9="ALL","ERR.",INDEX(salesHistory[foc_qty],SMALL(IF(ISNUMBER(MATCH(salesHistory[order_no], $AO$11, 0)), MATCH(ROW(salesHistory[order_no]),ROW(salesHistory[order_no])), ""), ROWS($A$1:A13)+$B$8))),"")</f>
        <v/>
      </c>
      <c r="BE22" s="317" t="str">
        <f t="array" ref="BE22">IFERROR(IF($AO$9="ALL","ERR.",INDEX(salesHistory[tot_cost],SMALL(IF(ISNUMBER(MATCH(salesHistory[order_no], $AO$11, 0)), MATCH(ROW(salesHistory[order_no]),ROW(salesHistory[order_no])), ""), ROWS($A$1:A13)+$B$8))),"")</f>
        <v/>
      </c>
      <c r="BF22" s="317" t="str">
        <f t="array" ref="BF22">IFERROR(IF($AO$9="ALL","ERR.",INDEX(salesHistory[tot_sold],SMALL(IF(ISNUMBER(MATCH(salesHistory[order_no], $AO$11, 0)), MATCH(ROW(salesHistory[order_no]),ROW(salesHistory[order_no])), ""), ROWS($A$1:A13)+$B$8))),"")</f>
        <v/>
      </c>
      <c r="BG22" s="314"/>
      <c r="BH22" s="327"/>
      <c r="BI22" s="290"/>
      <c r="BK22" s="381" t="str">
        <f t="array" ref="BK22">IFERROR(IF($AO$9="",INDEX(orderHistory[order_date],ROW()-9),INDEX(orderHistory[order_date], MATCH(0, IF($AO$9=orderHistory[customer],COUNTIF($BK$9:$BK21,orderHistory[order_date]), "")), 0)),"")</f>
        <v/>
      </c>
      <c r="BL22" s="382" t="str">
        <f t="array" ref="BL22">IFERROR(IF($AO$9="ALL",INDEX(orderHistory[order_id],ROW()-9),INDEX(orderHistory[order_id], MATCH(0, IF($AO$9=orderHistory[customer],COUNTIF($BL$9:$BL21,orderHistory[order_id]), "")), 0)),"")</f>
        <v/>
      </c>
      <c r="BM22" s="383" t="str">
        <f t="shared" si="1"/>
        <v/>
      </c>
      <c r="BN22" s="382" t="str">
        <f t="array" aca="1" ref="BN22" ca="1">IFERROR(INDEX(orderYearForSelectedClient, MATCH(0, COUNTIF($BN$9:BN21, orderYearForSelectedClient&amp;"") + IF(orderYearForSelectedClient="",1,0), 0)), "")</f>
        <v/>
      </c>
      <c r="BO22" s="383" t="str">
        <f t="shared" si="0"/>
        <v/>
      </c>
      <c r="CG22" s="251"/>
      <c r="CL22" s="252"/>
    </row>
    <row r="23" spans="7:90" ht="15" thickBot="1">
      <c r="G23" s="273"/>
      <c r="H23" s="605">
        <f>INDEX(dbClienti[hq_address2],MATCH($E$9,dbClienti[cod_cliente],0))</f>
        <v>0</v>
      </c>
      <c r="I23" s="606"/>
      <c r="J23" s="607"/>
      <c r="K23" s="269"/>
      <c r="M23" s="302" t="str">
        <f t="array" ref="M23">IFERROR(IF($P$5="",INDEX(orderHistory[order_id], SMALL(IF(ISNUMBER(MATCH(orderHistory[customer], $E$9, 0)), MATCH(ROW(orderHistory[customer]),ROW(orderHistory[customer])), ""), ROWS($A$1:A14)+$B$3)),INDEX(orderHistory[order_id], SMALL(IF(ISNUMBER(MATCH(orderHistory[customer], $E$9, 0)*MATCH(YEAR(orderHistory[order_date]),$P$5,0)), MATCH(ROW(orderHistory[customer]),ROW(orderHistory[customer])), ""), ROWS($A$1:A14)+$B$3))),"")</f>
        <v/>
      </c>
      <c r="N23" s="303" t="str">
        <f t="array" ref="N23">IFERROR(IF($P$5="",INDEX(orderHistory[order_date], SMALL(IF(ISNUMBER(MATCH(orderHistory[customer], $E$9, 0)), MATCH(ROW(orderHistory[customer]),ROW(orderHistory[customer])), ""), ROWS($A$1:B14)+$B$3)),INDEX(orderHistory[order_date], SMALL(IF(ISNUMBER(MATCH(orderHistory[customer], $E$9, 0)*MATCH(YEAR(orderHistory[order_date]),$P$5,0)), MATCH(ROW(orderHistory[customer]),ROW(orderHistory[customer])), ""), ROWS($A$1:B14)+$B$3))),"")</f>
        <v/>
      </c>
      <c r="O23" s="304" t="str">
        <f t="array" ref="O23">IFERROR(IF($P$5="",INDEX(orderHistory[carton_no], SMALL(IF(ISNUMBER(MATCH(orderHistory[customer], $E$9, 0)), MATCH(ROW(orderHistory[customer]),ROW(orderHistory[customer])), ""), ROWS($A$1:C14)+$B$3)),INDEX(orderHistory[carton_no], SMALL(IF(ISNUMBER(MATCH(orderHistory[customer], $E$9, 0)*MATCH(YEAR(orderHistory[order_date]),$P$5,0)), MATCH(ROW(orderHistory[customer]),ROW(orderHistory[customer])), ""), ROWS($A$1:C14)+$B$3))),"")</f>
        <v/>
      </c>
      <c r="P23" s="304" t="str">
        <f t="array" ref="P23">IFERROR(IF($P$5="",INDEX(orderHistory[pallet_no], SMALL(IF(ISNUMBER(MATCH(orderHistory[customer], $E$9, 0)), MATCH(ROW(orderHistory[customer]),ROW(orderHistory[customer])), ""), ROWS($A$1:D14)+$B$3)),INDEX(orderHistory[pallet_no], SMALL(IF(ISNUMBER(MATCH(orderHistory[customer], $E$9, 0)*MATCH(YEAR(orderHistory[order_date]),$P$5,0)), MATCH(ROW(orderHistory[customer]),ROW(orderHistory[customer])), ""), ROWS($A$1:D14)+$B$3))),"")</f>
        <v/>
      </c>
      <c r="Q23" s="304" t="str">
        <f t="array" ref="Q23">IFERROR(IF($P$5="",INDEX(orderHistory[invoice_no], SMALL(IF(ISNUMBER(MATCH(orderHistory[customer], $E$9, 0)), MATCH(ROW(orderHistory[customer]),ROW(orderHistory[customer])), ""), ROWS($A$1:E14)+$B$3)),INDEX(orderHistory[invoice_no], SMALL(IF(ISNUMBER(MATCH(orderHistory[customer], $E$9, 0)*MATCH(YEAR(orderHistory[order_date]),$P$5,0)), MATCH(ROW(orderHistory[customer]),ROW(orderHistory[customer])), ""), ROWS($A$1:E14)+$B$3))),"")</f>
        <v/>
      </c>
      <c r="R23" s="303" t="str">
        <f t="array" ref="R23">IFERROR(IF($P$5="",INDEX(orderHistory[invoice_date], SMALL(IF(ISNUMBER(MATCH(orderHistory[customer], $E$9, 0)), MATCH(ROW(orderHistory[customer]),ROW(orderHistory[customer])), ""), ROWS($A$1:F14)+$B$3)),INDEX(orderHistory[invoice_date], SMALL(IF(ISNUMBER(MATCH(orderHistory[customer], $E$9, 0)*MATCH(YEAR(orderHistory[order_date]),$P$5,0)), MATCH(ROW(orderHistory[customer]),ROW(orderHistory[customer])), ""), ROWS($A$1:F14)+$B$3))),"")</f>
        <v/>
      </c>
      <c r="S23" s="304" t="str">
        <f t="array" ref="S23">IFERROR(IF($P$5="",INDEX(orderHistory[payed], SMALL(IF(ISNUMBER(MATCH(orderHistory[customer], $E$9, 0)), MATCH(ROW(orderHistory[customer]),ROW(orderHistory[customer])), ""), ROWS($A$1:G14)+$B$3)),INDEX(orderHistory[payed], SMALL(IF(ISNUMBER(MATCH(orderHistory[customer], $E$9, 0)*MATCH(YEAR(orderHistory[order_date]),$P$5,0)), MATCH(ROW(orderHistory[customer]),ROW(orderHistory[customer])), ""), ROWS($A$1:G14)+$B$3))),"")</f>
        <v/>
      </c>
      <c r="T23" s="303" t="str">
        <f t="array" ref="T23">IFERROR(IF($P$5="",INDEX(orderHistory[payment_date], SMALL(IF(ISNUMBER(MATCH(orderHistory[customer], $E$9, 0)), MATCH(ROW(orderHistory[customer]),ROW(orderHistory[customer])), ""), ROWS($A$1:H14)+$B$3)),INDEX(orderHistory[payment_date], SMALL(IF(ISNUMBER(MATCH(orderHistory[customer], $E$9, 0)*MATCH(YEAR(orderHistory[order_date]),$P$5,0)), MATCH(ROW(orderHistory[customer]),ROW(orderHistory[customer])), ""), ROWS($A$1:H14)+$B$3))),"")</f>
        <v/>
      </c>
      <c r="U23" s="305" t="str">
        <f t="array" ref="U23">IFERROR(IF($P$5="",INDEX(orderHistory[amount_sold], SMALL(IF(ISNUMBER(MATCH(orderHistory[customer], $E$9, 0)), MATCH(ROW(orderHistory[customer]),ROW(orderHistory[customer])), ""), ROWS($A$1:I14)+$B$3)),INDEX(orderHistory[amount_sold], SMALL(IF(ISNUMBER(MATCH(orderHistory[customer], $E$9, 0)*MATCH(YEAR(orderHistory[order_date]),$P$5,0)), MATCH(ROW(orderHistory[customer]),ROW(orderHistory[customer])), ""), ROWS($A$1:I14)+$B$3))),"")</f>
        <v/>
      </c>
      <c r="V23" s="306" t="str">
        <f t="array" ref="V23">IFERROR(IF($P$5="",INDEX(orderHistory[status], SMALL(IF(ISNUMBER(MATCH(orderHistory[customer], $E$9, 0)), MATCH(ROW(orderHistory[customer]),ROW(orderHistory[customer])), ""), ROWS($A$1:J14)+$B$3)),INDEX(orderHistory[status], SMALL(IF(ISNUMBER(MATCH(orderHistory[customer], $E$9, 0)*MATCH(YEAR(orderHistory[order_date]),$P$5,0)), MATCH(ROW(orderHistory[customer]),ROW(orderHistory[customer])), ""), ROWS($A$1:J14)+$B$3))),"")</f>
        <v/>
      </c>
      <c r="W23" s="290"/>
      <c r="AQ23" s="332" t="s">
        <v>384</v>
      </c>
      <c r="AR23" s="333"/>
      <c r="AS23" s="333"/>
      <c r="AT23" s="333"/>
      <c r="AU23" s="333"/>
      <c r="AW23" s="369" t="str">
        <f t="array" ref="AW23">IFERROR(IF($AO$9="ALL","ERR.",INDEX(salesHistory[sku],SMALL(IF(ISNUMBER(MATCH(salesHistory[order_no], $AO$11, 0)), MATCH(ROW(salesHistory[order_no]),ROW(salesHistory[order_no])), ""), ROWS($A$1:A14)+$B$8))),"")</f>
        <v/>
      </c>
      <c r="AX23" s="325" t="str">
        <f t="array" ref="AX23">IFERROR(IF($AO$9="ALL","ERR.",INDEX(salesHistory[description],SMALL(IF(ISNUMBER(MATCH(salesHistory[order_no], $AO$11, 0)), MATCH(ROW(salesHistory[order_no]),ROW(salesHistory[order_no])), ""), ROWS($A$1:A14)+$B$8))),"")</f>
        <v/>
      </c>
      <c r="AY23" s="314" t="str">
        <f t="array" ref="AY23">IFERROR(IF($AO$9="ALL","ERR.",INDEX(salesHistory[qty],SMALL(IF(ISNUMBER(MATCH(salesHistory[order_no], $AO$11, 0)), MATCH(ROW(salesHistory[order_no]),ROW(salesHistory[order_no])), ""), ROWS($A$1:A14)+$B$8))),"")</f>
        <v/>
      </c>
      <c r="AZ23" s="317" t="str">
        <f t="array" ref="AZ23">IFERROR(IF($AO$9="ALL","ERR.",INDEX(salesHistory[sale_price],SMALL(IF(ISNUMBER(MATCH(salesHistory[order_no], $AO$11, 0)), MATCH(ROW(salesHistory[order_no]),ROW(salesHistory[order_no])), ""), ROWS($A$1:A14)+$B$8))),"")</f>
        <v/>
      </c>
      <c r="BA23" s="317" t="str">
        <f t="array" ref="BA23">IFERROR(IF($AO$9="ALL","ERR.",INDEX(salesHistory[cost_price],SMALL(IF(ISNUMBER(MATCH(salesHistory[order_no], $AO$11, 0)), MATCH(ROW(salesHistory[order_no]),ROW(salesHistory[order_no])), ""), ROWS($A$1:A14)+$B$8))),"")</f>
        <v/>
      </c>
      <c r="BB23" s="320" t="str">
        <f t="array" ref="BB23">IFERROR(IF($AO$9="ALL","ERR.",INDEX(salesHistory[disc_qty],SMALL(IF(ISNUMBER(MATCH(salesHistory[order_no], $AO$11, 0)), MATCH(ROW(salesHistory[order_no]),ROW(salesHistory[order_no])), ""), ROWS($A$1:A14)+$B$8))),"")</f>
        <v/>
      </c>
      <c r="BC23" s="326" t="str">
        <f t="array" ref="BC23">IFERROR(IF($AO$9="ALL","ERR.",INDEX(salesHistory[disc_price],SMALL(IF(ISNUMBER(MATCH(salesHistory[order_no], $AO$11, 0)), MATCH(ROW(salesHistory[order_no]),ROW(salesHistory[order_no])), ""), ROWS($A$1:A14)+$B$8))),"")</f>
        <v/>
      </c>
      <c r="BD23" s="314" t="str">
        <f t="array" ref="BD23">IFERROR(IF($AO$9="ALL","ERR.",INDEX(salesHistory[foc_qty],SMALL(IF(ISNUMBER(MATCH(salesHistory[order_no], $AO$11, 0)), MATCH(ROW(salesHistory[order_no]),ROW(salesHistory[order_no])), ""), ROWS($A$1:A14)+$B$8))),"")</f>
        <v/>
      </c>
      <c r="BE23" s="317" t="str">
        <f t="array" ref="BE23">IFERROR(IF($AO$9="ALL","ERR.",INDEX(salesHistory[tot_cost],SMALL(IF(ISNUMBER(MATCH(salesHistory[order_no], $AO$11, 0)), MATCH(ROW(salesHistory[order_no]),ROW(salesHistory[order_no])), ""), ROWS($A$1:A14)+$B$8))),"")</f>
        <v/>
      </c>
      <c r="BF23" s="317" t="str">
        <f t="array" ref="BF23">IFERROR(IF($AO$9="ALL","ERR.",INDEX(salesHistory[tot_sold],SMALL(IF(ISNUMBER(MATCH(salesHistory[order_no], $AO$11, 0)), MATCH(ROW(salesHistory[order_no]),ROW(salesHistory[order_no])), ""), ROWS($A$1:A14)+$B$8))),"")</f>
        <v/>
      </c>
      <c r="BG23" s="314"/>
      <c r="BH23" s="327"/>
      <c r="BI23" s="290"/>
      <c r="BK23" s="381" t="str">
        <f t="array" ref="BK23">IFERROR(IF($AO$9="",INDEX(orderHistory[order_date],ROW()-9),INDEX(orderHistory[order_date], MATCH(0, IF($AO$9=orderHistory[customer],COUNTIF($BK$9:$BK22,orderHistory[order_date]), "")), 0)),"")</f>
        <v/>
      </c>
      <c r="BL23" s="382" t="str">
        <f t="array" ref="BL23">IFERROR(IF($AO$9="ALL",INDEX(orderHistory[order_id],ROW()-9),INDEX(orderHistory[order_id], MATCH(0, IF($AO$9=orderHistory[customer],COUNTIF($BL$9:$BL22,orderHistory[order_id]), "")), 0)),"")</f>
        <v/>
      </c>
      <c r="BM23" s="383" t="str">
        <f t="shared" si="1"/>
        <v/>
      </c>
      <c r="BN23" s="382" t="str">
        <f t="array" aca="1" ref="BN23" ca="1">IFERROR(INDEX(orderYearForSelectedClient, MATCH(0, COUNTIF($BN$9:BN22, orderYearForSelectedClient&amp;"") + IF(orderYearForSelectedClient="",1,0), 0)), "")</f>
        <v/>
      </c>
      <c r="BO23" s="383" t="str">
        <f t="shared" si="0"/>
        <v/>
      </c>
      <c r="CG23" s="251"/>
      <c r="CL23" s="252"/>
    </row>
    <row r="24" spans="7:90" ht="15" thickBot="1">
      <c r="G24" s="273"/>
      <c r="H24" s="608">
        <f>INDEX(dbClienti[hq_address3],MATCH($E$9,dbClienti[cod_cliente],0))</f>
        <v>0</v>
      </c>
      <c r="I24" s="609"/>
      <c r="J24" s="610"/>
      <c r="K24" s="269"/>
      <c r="M24" s="302" t="str">
        <f t="array" ref="M24">IFERROR(IF($P$5="",INDEX(orderHistory[order_id], SMALL(IF(ISNUMBER(MATCH(orderHistory[customer], $E$9, 0)), MATCH(ROW(orderHistory[customer]),ROW(orderHistory[customer])), ""), ROWS($A$1:A15)+$B$3)),INDEX(orderHistory[order_id], SMALL(IF(ISNUMBER(MATCH(orderHistory[customer], $E$9, 0)*MATCH(YEAR(orderHistory[order_date]),$P$5,0)), MATCH(ROW(orderHistory[customer]),ROW(orderHistory[customer])), ""), ROWS($A$1:A15)+$B$3))),"")</f>
        <v/>
      </c>
      <c r="N24" s="303" t="str">
        <f t="array" ref="N24">IFERROR(IF($P$5="",INDEX(orderHistory[order_date], SMALL(IF(ISNUMBER(MATCH(orderHistory[customer], $E$9, 0)), MATCH(ROW(orderHistory[customer]),ROW(orderHistory[customer])), ""), ROWS($A$1:B15)+$B$3)),INDEX(orderHistory[order_date], SMALL(IF(ISNUMBER(MATCH(orderHistory[customer], $E$9, 0)*MATCH(YEAR(orderHistory[order_date]),$P$5,0)), MATCH(ROW(orderHistory[customer]),ROW(orderHistory[customer])), ""), ROWS($A$1:B15)+$B$3))),"")</f>
        <v/>
      </c>
      <c r="O24" s="304" t="str">
        <f t="array" ref="O24">IFERROR(IF($P$5="",INDEX(orderHistory[carton_no], SMALL(IF(ISNUMBER(MATCH(orderHistory[customer], $E$9, 0)), MATCH(ROW(orderHistory[customer]),ROW(orderHistory[customer])), ""), ROWS($A$1:C15)+$B$3)),INDEX(orderHistory[carton_no], SMALL(IF(ISNUMBER(MATCH(orderHistory[customer], $E$9, 0)*MATCH(YEAR(orderHistory[order_date]),$P$5,0)), MATCH(ROW(orderHistory[customer]),ROW(orderHistory[customer])), ""), ROWS($A$1:C15)+$B$3))),"")</f>
        <v/>
      </c>
      <c r="P24" s="304" t="str">
        <f t="array" ref="P24">IFERROR(IF($P$5="",INDEX(orderHistory[pallet_no], SMALL(IF(ISNUMBER(MATCH(orderHistory[customer], $E$9, 0)), MATCH(ROW(orderHistory[customer]),ROW(orderHistory[customer])), ""), ROWS($A$1:D15)+$B$3)),INDEX(orderHistory[pallet_no], SMALL(IF(ISNUMBER(MATCH(orderHistory[customer], $E$9, 0)*MATCH(YEAR(orderHistory[order_date]),$P$5,0)), MATCH(ROW(orderHistory[customer]),ROW(orderHistory[customer])), ""), ROWS($A$1:D15)+$B$3))),"")</f>
        <v/>
      </c>
      <c r="Q24" s="304" t="str">
        <f t="array" ref="Q24">IFERROR(IF($P$5="",INDEX(orderHistory[invoice_no], SMALL(IF(ISNUMBER(MATCH(orderHistory[customer], $E$9, 0)), MATCH(ROW(orderHistory[customer]),ROW(orderHistory[customer])), ""), ROWS($A$1:E15)+$B$3)),INDEX(orderHistory[invoice_no], SMALL(IF(ISNUMBER(MATCH(orderHistory[customer], $E$9, 0)*MATCH(YEAR(orderHistory[order_date]),$P$5,0)), MATCH(ROW(orderHistory[customer]),ROW(orderHistory[customer])), ""), ROWS($A$1:E15)+$B$3))),"")</f>
        <v/>
      </c>
      <c r="R24" s="303" t="str">
        <f t="array" ref="R24">IFERROR(IF($P$5="",INDEX(orderHistory[invoice_date], SMALL(IF(ISNUMBER(MATCH(orderHistory[customer], $E$9, 0)), MATCH(ROW(orderHistory[customer]),ROW(orderHistory[customer])), ""), ROWS($A$1:F15)+$B$3)),INDEX(orderHistory[invoice_date], SMALL(IF(ISNUMBER(MATCH(orderHistory[customer], $E$9, 0)*MATCH(YEAR(orderHistory[order_date]),$P$5,0)), MATCH(ROW(orderHistory[customer]),ROW(orderHistory[customer])), ""), ROWS($A$1:F15)+$B$3))),"")</f>
        <v/>
      </c>
      <c r="S24" s="304" t="str">
        <f t="array" ref="S24">IFERROR(IF($P$5="",INDEX(orderHistory[payed], SMALL(IF(ISNUMBER(MATCH(orderHistory[customer], $E$9, 0)), MATCH(ROW(orderHistory[customer]),ROW(orderHistory[customer])), ""), ROWS($A$1:G15)+$B$3)),INDEX(orderHistory[payed], SMALL(IF(ISNUMBER(MATCH(orderHistory[customer], $E$9, 0)*MATCH(YEAR(orderHistory[order_date]),$P$5,0)), MATCH(ROW(orderHistory[customer]),ROW(orderHistory[customer])), ""), ROWS($A$1:G15)+$B$3))),"")</f>
        <v/>
      </c>
      <c r="T24" s="303" t="str">
        <f t="array" ref="T24">IFERROR(IF($P$5="",INDEX(orderHistory[payment_date], SMALL(IF(ISNUMBER(MATCH(orderHistory[customer], $E$9, 0)), MATCH(ROW(orderHistory[customer]),ROW(orderHistory[customer])), ""), ROWS($A$1:H15)+$B$3)),INDEX(orderHistory[payment_date], SMALL(IF(ISNUMBER(MATCH(orderHistory[customer], $E$9, 0)*MATCH(YEAR(orderHistory[order_date]),$P$5,0)), MATCH(ROW(orderHistory[customer]),ROW(orderHistory[customer])), ""), ROWS($A$1:H15)+$B$3))),"")</f>
        <v/>
      </c>
      <c r="U24" s="305" t="str">
        <f t="array" ref="U24">IFERROR(IF($P$5="",INDEX(orderHistory[amount_sold], SMALL(IF(ISNUMBER(MATCH(orderHistory[customer], $E$9, 0)), MATCH(ROW(orderHistory[customer]),ROW(orderHistory[customer])), ""), ROWS($A$1:I15)+$B$3)),INDEX(orderHistory[amount_sold], SMALL(IF(ISNUMBER(MATCH(orderHistory[customer], $E$9, 0)*MATCH(YEAR(orderHistory[order_date]),$P$5,0)), MATCH(ROW(orderHistory[customer]),ROW(orderHistory[customer])), ""), ROWS($A$1:I15)+$B$3))),"")</f>
        <v/>
      </c>
      <c r="V24" s="306" t="str">
        <f t="array" ref="V24">IFERROR(IF($P$5="",INDEX(orderHistory[status], SMALL(IF(ISNUMBER(MATCH(orderHistory[customer], $E$9, 0)), MATCH(ROW(orderHistory[customer]),ROW(orderHistory[customer])), ""), ROWS($A$1:J15)+$B$3)),INDEX(orderHistory[status], SMALL(IF(ISNUMBER(MATCH(orderHistory[customer], $E$9, 0)*MATCH(YEAR(orderHistory[order_date]),$P$5,0)), MATCH(ROW(orderHistory[customer]),ROW(orderHistory[customer])), ""), ROWS($A$1:J15)+$B$3))),"")</f>
        <v/>
      </c>
      <c r="W24" s="290"/>
      <c r="AQ24" s="273"/>
      <c r="AR24" s="268"/>
      <c r="AS24" s="268"/>
      <c r="AT24" s="295"/>
      <c r="AU24" s="296"/>
      <c r="AV24" s="256"/>
      <c r="AW24" s="369" t="str">
        <f t="array" ref="AW24">IFERROR(IF($AO$9="ALL","ERR.",INDEX(salesHistory[sku],SMALL(IF(ISNUMBER(MATCH(salesHistory[order_no], $AO$11, 0)), MATCH(ROW(salesHistory[order_no]),ROW(salesHistory[order_no])), ""), ROWS($A$1:A15)+$B$8))),"")</f>
        <v/>
      </c>
      <c r="AX24" s="325" t="str">
        <f t="array" ref="AX24">IFERROR(IF($AO$9="ALL","ERR.",INDEX(salesHistory[description],SMALL(IF(ISNUMBER(MATCH(salesHistory[order_no], $AO$11, 0)), MATCH(ROW(salesHistory[order_no]),ROW(salesHistory[order_no])), ""), ROWS($A$1:A15)+$B$8))),"")</f>
        <v/>
      </c>
      <c r="AY24" s="314" t="str">
        <f t="array" ref="AY24">IFERROR(IF($AO$9="ALL","ERR.",INDEX(salesHistory[qty],SMALL(IF(ISNUMBER(MATCH(salesHistory[order_no], $AO$11, 0)), MATCH(ROW(salesHistory[order_no]),ROW(salesHistory[order_no])), ""), ROWS($A$1:A15)+$B$8))),"")</f>
        <v/>
      </c>
      <c r="AZ24" s="317" t="str">
        <f t="array" ref="AZ24">IFERROR(IF($AO$9="ALL","ERR.",INDEX(salesHistory[sale_price],SMALL(IF(ISNUMBER(MATCH(salesHistory[order_no], $AO$11, 0)), MATCH(ROW(salesHistory[order_no]),ROW(salesHistory[order_no])), ""), ROWS($A$1:A15)+$B$8))),"")</f>
        <v/>
      </c>
      <c r="BA24" s="317" t="str">
        <f t="array" ref="BA24">IFERROR(IF($AO$9="ALL","ERR.",INDEX(salesHistory[cost_price],SMALL(IF(ISNUMBER(MATCH(salesHistory[order_no], $AO$11, 0)), MATCH(ROW(salesHistory[order_no]),ROW(salesHistory[order_no])), ""), ROWS($A$1:A15)+$B$8))),"")</f>
        <v/>
      </c>
      <c r="BB24" s="320" t="str">
        <f t="array" ref="BB24">IFERROR(IF($AO$9="ALL","ERR.",INDEX(salesHistory[disc_qty],SMALL(IF(ISNUMBER(MATCH(salesHistory[order_no], $AO$11, 0)), MATCH(ROW(salesHistory[order_no]),ROW(salesHistory[order_no])), ""), ROWS($A$1:A15)+$B$8))),"")</f>
        <v/>
      </c>
      <c r="BC24" s="326" t="str">
        <f t="array" ref="BC24">IFERROR(IF($AO$9="ALL","ERR.",INDEX(salesHistory[disc_price],SMALL(IF(ISNUMBER(MATCH(salesHistory[order_no], $AO$11, 0)), MATCH(ROW(salesHistory[order_no]),ROW(salesHistory[order_no])), ""), ROWS($A$1:A15)+$B$8))),"")</f>
        <v/>
      </c>
      <c r="BD24" s="314" t="str">
        <f t="array" ref="BD24">IFERROR(IF($AO$9="ALL","ERR.",INDEX(salesHistory[foc_qty],SMALL(IF(ISNUMBER(MATCH(salesHistory[order_no], $AO$11, 0)), MATCH(ROW(salesHistory[order_no]),ROW(salesHistory[order_no])), ""), ROWS($A$1:A15)+$B$8))),"")</f>
        <v/>
      </c>
      <c r="BE24" s="317" t="str">
        <f t="array" ref="BE24">IFERROR(IF($AO$9="ALL","ERR.",INDEX(salesHistory[tot_cost],SMALL(IF(ISNUMBER(MATCH(salesHistory[order_no], $AO$11, 0)), MATCH(ROW(salesHistory[order_no]),ROW(salesHistory[order_no])), ""), ROWS($A$1:A15)+$B$8))),"")</f>
        <v/>
      </c>
      <c r="BF24" s="317" t="str">
        <f t="array" ref="BF24">IFERROR(IF($AO$9="ALL","ERR.",INDEX(salesHistory[tot_sold],SMALL(IF(ISNUMBER(MATCH(salesHistory[order_no], $AO$11, 0)), MATCH(ROW(salesHistory[order_no]),ROW(salesHistory[order_no])), ""), ROWS($A$1:A15)+$B$8))),"")</f>
        <v/>
      </c>
      <c r="BG24" s="314"/>
      <c r="BH24" s="327"/>
      <c r="BI24" s="290"/>
      <c r="BK24" s="381" t="str">
        <f t="array" ref="BK24">IFERROR(IF($AO$9="",INDEX(orderHistory[order_date],ROW()-9),INDEX(orderHistory[order_date], MATCH(0, IF($AO$9=orderHistory[customer],COUNTIF($BK$9:$BK23,orderHistory[order_date]), "")), 0)),"")</f>
        <v/>
      </c>
      <c r="BL24" s="382" t="str">
        <f t="array" ref="BL24">IFERROR(IF($AO$9="ALL",INDEX(orderHistory[order_id],ROW()-9),INDEX(orderHistory[order_id], MATCH(0, IF($AO$9=orderHistory[customer],COUNTIF($BL$9:$BL23,orderHistory[order_id]), "")), 0)),"")</f>
        <v/>
      </c>
      <c r="BM24" s="383" t="str">
        <f t="shared" si="1"/>
        <v/>
      </c>
      <c r="BN24" s="382" t="str">
        <f t="array" aca="1" ref="BN24" ca="1">IFERROR(INDEX(orderYearForSelectedClient, MATCH(0, COUNTIF($BN$9:BN23, orderYearForSelectedClient&amp;"") + IF(orderYearForSelectedClient="",1,0), 0)), "")</f>
        <v/>
      </c>
      <c r="BO24" s="383" t="str">
        <f t="shared" si="0"/>
        <v/>
      </c>
      <c r="CG24" s="253"/>
      <c r="CH24" s="254"/>
      <c r="CI24" s="254"/>
      <c r="CJ24" s="254"/>
      <c r="CK24" s="254"/>
      <c r="CL24" s="255"/>
    </row>
    <row r="25" spans="7:90">
      <c r="G25" s="273"/>
      <c r="H25" s="268"/>
      <c r="I25" s="268"/>
      <c r="J25" s="268"/>
      <c r="K25" s="269"/>
      <c r="M25" s="302" t="str">
        <f t="array" ref="M25">IFERROR(IF($P$5="",INDEX(orderHistory[order_id], SMALL(IF(ISNUMBER(MATCH(orderHistory[customer], $E$9, 0)), MATCH(ROW(orderHistory[customer]),ROW(orderHistory[customer])), ""), ROWS($A$1:A16)+$B$3)),INDEX(orderHistory[order_id], SMALL(IF(ISNUMBER(MATCH(orderHistory[customer], $E$9, 0)*MATCH(YEAR(orderHistory[order_date]),$P$5,0)), MATCH(ROW(orderHistory[customer]),ROW(orderHistory[customer])), ""), ROWS($A$1:A16)+$B$3))),"")</f>
        <v/>
      </c>
      <c r="N25" s="303" t="str">
        <f t="array" ref="N25">IFERROR(IF($P$5="",INDEX(orderHistory[order_date], SMALL(IF(ISNUMBER(MATCH(orderHistory[customer], $E$9, 0)), MATCH(ROW(orderHistory[customer]),ROW(orderHistory[customer])), ""), ROWS($A$1:B16)+$B$3)),INDEX(orderHistory[order_date], SMALL(IF(ISNUMBER(MATCH(orderHistory[customer], $E$9, 0)*MATCH(YEAR(orderHistory[order_date]),$P$5,0)), MATCH(ROW(orderHistory[customer]),ROW(orderHistory[customer])), ""), ROWS($A$1:B16)+$B$3))),"")</f>
        <v/>
      </c>
      <c r="O25" s="304" t="str">
        <f t="array" ref="O25">IFERROR(IF($P$5="",INDEX(orderHistory[carton_no], SMALL(IF(ISNUMBER(MATCH(orderHistory[customer], $E$9, 0)), MATCH(ROW(orderHistory[customer]),ROW(orderHistory[customer])), ""), ROWS($A$1:C16)+$B$3)),INDEX(orderHistory[carton_no], SMALL(IF(ISNUMBER(MATCH(orderHistory[customer], $E$9, 0)*MATCH(YEAR(orderHistory[order_date]),$P$5,0)), MATCH(ROW(orderHistory[customer]),ROW(orderHistory[customer])), ""), ROWS($A$1:C16)+$B$3))),"")</f>
        <v/>
      </c>
      <c r="P25" s="304" t="str">
        <f t="array" ref="P25">IFERROR(IF($P$5="",INDEX(orderHistory[pallet_no], SMALL(IF(ISNUMBER(MATCH(orderHistory[customer], $E$9, 0)), MATCH(ROW(orderHistory[customer]),ROW(orderHistory[customer])), ""), ROWS($A$1:D16)+$B$3)),INDEX(orderHistory[pallet_no], SMALL(IF(ISNUMBER(MATCH(orderHistory[customer], $E$9, 0)*MATCH(YEAR(orderHistory[order_date]),$P$5,0)), MATCH(ROW(orderHistory[customer]),ROW(orderHistory[customer])), ""), ROWS($A$1:D16)+$B$3))),"")</f>
        <v/>
      </c>
      <c r="Q25" s="304" t="str">
        <f t="array" ref="Q25">IFERROR(IF($P$5="",INDEX(orderHistory[invoice_no], SMALL(IF(ISNUMBER(MATCH(orderHistory[customer], $E$9, 0)), MATCH(ROW(orderHistory[customer]),ROW(orderHistory[customer])), ""), ROWS($A$1:E16)+$B$3)),INDEX(orderHistory[invoice_no], SMALL(IF(ISNUMBER(MATCH(orderHistory[customer], $E$9, 0)*MATCH(YEAR(orderHistory[order_date]),$P$5,0)), MATCH(ROW(orderHistory[customer]),ROW(orderHistory[customer])), ""), ROWS($A$1:E16)+$B$3))),"")</f>
        <v/>
      </c>
      <c r="R25" s="303" t="str">
        <f t="array" ref="R25">IFERROR(IF($P$5="",INDEX(orderHistory[invoice_date], SMALL(IF(ISNUMBER(MATCH(orderHistory[customer], $E$9, 0)), MATCH(ROW(orderHistory[customer]),ROW(orderHistory[customer])), ""), ROWS($A$1:F16)+$B$3)),INDEX(orderHistory[invoice_date], SMALL(IF(ISNUMBER(MATCH(orderHistory[customer], $E$9, 0)*MATCH(YEAR(orderHistory[order_date]),$P$5,0)), MATCH(ROW(orderHistory[customer]),ROW(orderHistory[customer])), ""), ROWS($A$1:F16)+$B$3))),"")</f>
        <v/>
      </c>
      <c r="S25" s="304" t="str">
        <f t="array" ref="S25">IFERROR(IF($P$5="",INDEX(orderHistory[payed], SMALL(IF(ISNUMBER(MATCH(orderHistory[customer], $E$9, 0)), MATCH(ROW(orderHistory[customer]),ROW(orderHistory[customer])), ""), ROWS($A$1:G16)+$B$3)),INDEX(orderHistory[payed], SMALL(IF(ISNUMBER(MATCH(orderHistory[customer], $E$9, 0)*MATCH(YEAR(orderHistory[order_date]),$P$5,0)), MATCH(ROW(orderHistory[customer]),ROW(orderHistory[customer])), ""), ROWS($A$1:G16)+$B$3))),"")</f>
        <v/>
      </c>
      <c r="T25" s="303" t="str">
        <f t="array" ref="T25">IFERROR(IF($P$5="",INDEX(orderHistory[payment_date], SMALL(IF(ISNUMBER(MATCH(orderHistory[customer], $E$9, 0)), MATCH(ROW(orderHistory[customer]),ROW(orderHistory[customer])), ""), ROWS($A$1:H16)+$B$3)),INDEX(orderHistory[payment_date], SMALL(IF(ISNUMBER(MATCH(orderHistory[customer], $E$9, 0)*MATCH(YEAR(orderHistory[order_date]),$P$5,0)), MATCH(ROW(orderHistory[customer]),ROW(orderHistory[customer])), ""), ROWS($A$1:H16)+$B$3))),"")</f>
        <v/>
      </c>
      <c r="U25" s="305" t="str">
        <f t="array" ref="U25">IFERROR(IF($P$5="",INDEX(orderHistory[amount_sold], SMALL(IF(ISNUMBER(MATCH(orderHistory[customer], $E$9, 0)), MATCH(ROW(orderHistory[customer]),ROW(orderHistory[customer])), ""), ROWS($A$1:I16)+$B$3)),INDEX(orderHistory[amount_sold], SMALL(IF(ISNUMBER(MATCH(orderHistory[customer], $E$9, 0)*MATCH(YEAR(orderHistory[order_date]),$P$5,0)), MATCH(ROW(orderHistory[customer]),ROW(orderHistory[customer])), ""), ROWS($A$1:I16)+$B$3))),"")</f>
        <v/>
      </c>
      <c r="V25" s="306" t="str">
        <f t="array" ref="V25">IFERROR(IF($P$5="",INDEX(orderHistory[status], SMALL(IF(ISNUMBER(MATCH(orderHistory[customer], $E$9, 0)), MATCH(ROW(orderHistory[customer]),ROW(orderHistory[customer])), ""), ROWS($A$1:J16)+$B$3)),INDEX(orderHistory[status], SMALL(IF(ISNUMBER(MATCH(orderHistory[customer], $E$9, 0)*MATCH(YEAR(orderHistory[order_date]),$P$5,0)), MATCH(ROW(orderHistory[customer]),ROW(orderHistory[customer])), ""), ROWS($A$1:J16)+$B$3))),"")</f>
        <v/>
      </c>
      <c r="W25" s="290"/>
      <c r="AQ25" s="274" t="s">
        <v>453</v>
      </c>
      <c r="AR25" s="571" t="str">
        <f>VLOOKUP(AO9,dbClienti[],14,FALSE)</f>
        <v>PL6423224141</v>
      </c>
      <c r="AS25" s="571"/>
      <c r="AT25" s="571"/>
      <c r="AU25" s="296"/>
      <c r="AV25" s="256"/>
      <c r="AW25" s="369" t="str">
        <f t="array" ref="AW25">IFERROR(IF($AO$9="ALL","ERR.",INDEX(salesHistory[sku],SMALL(IF(ISNUMBER(MATCH(salesHistory[order_no], $AO$11, 0)), MATCH(ROW(salesHistory[order_no]),ROW(salesHistory[order_no])), ""), ROWS($A$1:A16)+$B$8))),"")</f>
        <v/>
      </c>
      <c r="AX25" s="325" t="str">
        <f t="array" ref="AX25">IFERROR(IF($AO$9="ALL","ERR.",INDEX(salesHistory[description],SMALL(IF(ISNUMBER(MATCH(salesHistory[order_no], $AO$11, 0)), MATCH(ROW(salesHistory[order_no]),ROW(salesHistory[order_no])), ""), ROWS($A$1:A16)+$B$8))),"")</f>
        <v/>
      </c>
      <c r="AY25" s="314" t="str">
        <f t="array" ref="AY25">IFERROR(IF($AO$9="ALL","ERR.",INDEX(salesHistory[qty],SMALL(IF(ISNUMBER(MATCH(salesHistory[order_no], $AO$11, 0)), MATCH(ROW(salesHistory[order_no]),ROW(salesHistory[order_no])), ""), ROWS($A$1:A16)+$B$8))),"")</f>
        <v/>
      </c>
      <c r="AZ25" s="317" t="str">
        <f t="array" ref="AZ25">IFERROR(IF($AO$9="ALL","ERR.",INDEX(salesHistory[sale_price],SMALL(IF(ISNUMBER(MATCH(salesHistory[order_no], $AO$11, 0)), MATCH(ROW(salesHistory[order_no]),ROW(salesHistory[order_no])), ""), ROWS($A$1:A16)+$B$8))),"")</f>
        <v/>
      </c>
      <c r="BA25" s="317" t="str">
        <f t="array" ref="BA25">IFERROR(IF($AO$9="ALL","ERR.",INDEX(salesHistory[cost_price],SMALL(IF(ISNUMBER(MATCH(salesHistory[order_no], $AO$11, 0)), MATCH(ROW(salesHistory[order_no]),ROW(salesHistory[order_no])), ""), ROWS($A$1:A16)+$B$8))),"")</f>
        <v/>
      </c>
      <c r="BB25" s="320" t="str">
        <f t="array" ref="BB25">IFERROR(IF($AO$9="ALL","ERR.",INDEX(salesHistory[disc_qty],SMALL(IF(ISNUMBER(MATCH(salesHistory[order_no], $AO$11, 0)), MATCH(ROW(salesHistory[order_no]),ROW(salesHistory[order_no])), ""), ROWS($A$1:A16)+$B$8))),"")</f>
        <v/>
      </c>
      <c r="BC25" s="326" t="str">
        <f t="array" ref="BC25">IFERROR(IF($AO$9="ALL","ERR.",INDEX(salesHistory[disc_price],SMALL(IF(ISNUMBER(MATCH(salesHistory[order_no], $AO$11, 0)), MATCH(ROW(salesHistory[order_no]),ROW(salesHistory[order_no])), ""), ROWS($A$1:A16)+$B$8))),"")</f>
        <v/>
      </c>
      <c r="BD25" s="314" t="str">
        <f t="array" ref="BD25">IFERROR(IF($AO$9="ALL","ERR.",INDEX(salesHistory[foc_qty],SMALL(IF(ISNUMBER(MATCH(salesHistory[order_no], $AO$11, 0)), MATCH(ROW(salesHistory[order_no]),ROW(salesHistory[order_no])), ""), ROWS($A$1:A16)+$B$8))),"")</f>
        <v/>
      </c>
      <c r="BE25" s="317" t="str">
        <f t="array" ref="BE25">IFERROR(IF($AO$9="ALL","ERR.",INDEX(salesHistory[tot_cost],SMALL(IF(ISNUMBER(MATCH(salesHistory[order_no], $AO$11, 0)), MATCH(ROW(salesHistory[order_no]),ROW(salesHistory[order_no])), ""), ROWS($A$1:A16)+$B$8))),"")</f>
        <v/>
      </c>
      <c r="BF25" s="317" t="str">
        <f t="array" ref="BF25">IFERROR(IF($AO$9="ALL","ERR.",INDEX(salesHistory[tot_sold],SMALL(IF(ISNUMBER(MATCH(salesHistory[order_no], $AO$11, 0)), MATCH(ROW(salesHistory[order_no]),ROW(salesHistory[order_no])), ""), ROWS($A$1:A16)+$B$8))),"")</f>
        <v/>
      </c>
      <c r="BG25" s="314"/>
      <c r="BH25" s="327"/>
      <c r="BI25" s="290"/>
      <c r="BK25" s="381" t="str">
        <f t="array" ref="BK25">IFERROR(IF($AO$9="",INDEX(orderHistory[order_date],ROW()-9),INDEX(orderHistory[order_date], MATCH(0, IF($AO$9=orderHistory[customer],COUNTIF($BK$9:$BK24,orderHistory[order_date]), "")), 0)),"")</f>
        <v/>
      </c>
      <c r="BL25" s="382" t="str">
        <f t="array" ref="BL25">IFERROR(IF($AO$9="ALL",INDEX(orderHistory[order_id],ROW()-9),INDEX(orderHistory[order_id], MATCH(0, IF($AO$9=orderHistory[customer],COUNTIF($BL$9:$BL24,orderHistory[order_id]), "")), 0)),"")</f>
        <v/>
      </c>
      <c r="BM25" s="383" t="str">
        <f t="shared" si="1"/>
        <v/>
      </c>
      <c r="BN25" s="382" t="str">
        <f t="array" aca="1" ref="BN25" ca="1">IFERROR(INDEX(orderYearForSelectedClient, MATCH(0, COUNTIF($BN$9:BN24, orderYearForSelectedClient&amp;"") + IF(orderYearForSelectedClient="",1,0), 0)), "")</f>
        <v/>
      </c>
      <c r="BO25" s="383" t="str">
        <f t="shared" si="0"/>
        <v/>
      </c>
    </row>
    <row r="26" spans="7:90">
      <c r="G26" s="273" t="s">
        <v>478</v>
      </c>
      <c r="H26" s="596">
        <f>INDEX(dbClienti[logistic_address1],MATCH($E$9,dbClienti[cod_cliente],0))</f>
        <v>0</v>
      </c>
      <c r="I26" s="597"/>
      <c r="J26" s="598"/>
      <c r="K26" s="269"/>
      <c r="M26" s="302" t="str">
        <f t="array" ref="M26">IFERROR(IF($P$5="",INDEX(orderHistory[order_id], SMALL(IF(ISNUMBER(MATCH(orderHistory[customer], $E$9, 0)), MATCH(ROW(orderHistory[customer]),ROW(orderHistory[customer])), ""), ROWS($A$1:A17)+$B$3)),INDEX(orderHistory[order_id], SMALL(IF(ISNUMBER(MATCH(orderHistory[customer], $E$9, 0)*MATCH(YEAR(orderHistory[order_date]),$P$5,0)), MATCH(ROW(orderHistory[customer]),ROW(orderHistory[customer])), ""), ROWS($A$1:A17)+$B$3))),"")</f>
        <v/>
      </c>
      <c r="N26" s="303" t="str">
        <f t="array" ref="N26">IFERROR(IF($P$5="",INDEX(orderHistory[order_date], SMALL(IF(ISNUMBER(MATCH(orderHistory[customer], $E$9, 0)), MATCH(ROW(orderHistory[customer]),ROW(orderHistory[customer])), ""), ROWS($A$1:B17)+$B$3)),INDEX(orderHistory[order_date], SMALL(IF(ISNUMBER(MATCH(orderHistory[customer], $E$9, 0)*MATCH(YEAR(orderHistory[order_date]),$P$5,0)), MATCH(ROW(orderHistory[customer]),ROW(orderHistory[customer])), ""), ROWS($A$1:B17)+$B$3))),"")</f>
        <v/>
      </c>
      <c r="O26" s="304" t="str">
        <f t="array" ref="O26">IFERROR(IF($P$5="",INDEX(orderHistory[carton_no], SMALL(IF(ISNUMBER(MATCH(orderHistory[customer], $E$9, 0)), MATCH(ROW(orderHistory[customer]),ROW(orderHistory[customer])), ""), ROWS($A$1:C17)+$B$3)),INDEX(orderHistory[carton_no], SMALL(IF(ISNUMBER(MATCH(orderHistory[customer], $E$9, 0)*MATCH(YEAR(orderHistory[order_date]),$P$5,0)), MATCH(ROW(orderHistory[customer]),ROW(orderHistory[customer])), ""), ROWS($A$1:C17)+$B$3))),"")</f>
        <v/>
      </c>
      <c r="P26" s="304" t="str">
        <f t="array" ref="P26">IFERROR(IF($P$5="",INDEX(orderHistory[pallet_no], SMALL(IF(ISNUMBER(MATCH(orderHistory[customer], $E$9, 0)), MATCH(ROW(orderHistory[customer]),ROW(orderHistory[customer])), ""), ROWS($A$1:D17)+$B$3)),INDEX(orderHistory[pallet_no], SMALL(IF(ISNUMBER(MATCH(orderHistory[customer], $E$9, 0)*MATCH(YEAR(orderHistory[order_date]),$P$5,0)), MATCH(ROW(orderHistory[customer]),ROW(orderHistory[customer])), ""), ROWS($A$1:D17)+$B$3))),"")</f>
        <v/>
      </c>
      <c r="Q26" s="304" t="str">
        <f t="array" ref="Q26">IFERROR(IF($P$5="",INDEX(orderHistory[invoice_no], SMALL(IF(ISNUMBER(MATCH(orderHistory[customer], $E$9, 0)), MATCH(ROW(orderHistory[customer]),ROW(orderHistory[customer])), ""), ROWS($A$1:E17)+$B$3)),INDEX(orderHistory[invoice_no], SMALL(IF(ISNUMBER(MATCH(orderHistory[customer], $E$9, 0)*MATCH(YEAR(orderHistory[order_date]),$P$5,0)), MATCH(ROW(orderHistory[customer]),ROW(orderHistory[customer])), ""), ROWS($A$1:E17)+$B$3))),"")</f>
        <v/>
      </c>
      <c r="R26" s="303" t="str">
        <f t="array" ref="R26">IFERROR(IF($P$5="",INDEX(orderHistory[invoice_date], SMALL(IF(ISNUMBER(MATCH(orderHistory[customer], $E$9, 0)), MATCH(ROW(orderHistory[customer]),ROW(orderHistory[customer])), ""), ROWS($A$1:F17)+$B$3)),INDEX(orderHistory[invoice_date], SMALL(IF(ISNUMBER(MATCH(orderHistory[customer], $E$9, 0)*MATCH(YEAR(orderHistory[order_date]),$P$5,0)), MATCH(ROW(orderHistory[customer]),ROW(orderHistory[customer])), ""), ROWS($A$1:F17)+$B$3))),"")</f>
        <v/>
      </c>
      <c r="S26" s="304" t="str">
        <f t="array" ref="S26">IFERROR(IF($P$5="",INDEX(orderHistory[payed], SMALL(IF(ISNUMBER(MATCH(orderHistory[customer], $E$9, 0)), MATCH(ROW(orderHistory[customer]),ROW(orderHistory[customer])), ""), ROWS($A$1:G17)+$B$3)),INDEX(orderHistory[payed], SMALL(IF(ISNUMBER(MATCH(orderHistory[customer], $E$9, 0)*MATCH(YEAR(orderHistory[order_date]),$P$5,0)), MATCH(ROW(orderHistory[customer]),ROW(orderHistory[customer])), ""), ROWS($A$1:G17)+$B$3))),"")</f>
        <v/>
      </c>
      <c r="T26" s="303" t="str">
        <f t="array" ref="T26">IFERROR(IF($P$5="",INDEX(orderHistory[payment_date], SMALL(IF(ISNUMBER(MATCH(orderHistory[customer], $E$9, 0)), MATCH(ROW(orderHistory[customer]),ROW(orderHistory[customer])), ""), ROWS($A$1:H17)+$B$3)),INDEX(orderHistory[payment_date], SMALL(IF(ISNUMBER(MATCH(orderHistory[customer], $E$9, 0)*MATCH(YEAR(orderHistory[order_date]),$P$5,0)), MATCH(ROW(orderHistory[customer]),ROW(orderHistory[customer])), ""), ROWS($A$1:H17)+$B$3))),"")</f>
        <v/>
      </c>
      <c r="U26" s="305" t="str">
        <f t="array" ref="U26">IFERROR(IF($P$5="",INDEX(orderHistory[amount_sold], SMALL(IF(ISNUMBER(MATCH(orderHistory[customer], $E$9, 0)), MATCH(ROW(orderHistory[customer]),ROW(orderHistory[customer])), ""), ROWS($A$1:I17)+$B$3)),INDEX(orderHistory[amount_sold], SMALL(IF(ISNUMBER(MATCH(orderHistory[customer], $E$9, 0)*MATCH(YEAR(orderHistory[order_date]),$P$5,0)), MATCH(ROW(orderHistory[customer]),ROW(orderHistory[customer])), ""), ROWS($A$1:I17)+$B$3))),"")</f>
        <v/>
      </c>
      <c r="V26" s="306" t="str">
        <f t="array" ref="V26">IFERROR(IF($P$5="",INDEX(orderHistory[status], SMALL(IF(ISNUMBER(MATCH(orderHistory[customer], $E$9, 0)), MATCH(ROW(orderHistory[customer]),ROW(orderHistory[customer])), ""), ROWS($A$1:J17)+$B$3)),INDEX(orderHistory[status], SMALL(IF(ISNUMBER(MATCH(orderHistory[customer], $E$9, 0)*MATCH(YEAR(orderHistory[order_date]),$P$5,0)), MATCH(ROW(orderHistory[customer]),ROW(orderHistory[customer])), ""), ROWS($A$1:J17)+$B$3))),"")</f>
        <v/>
      </c>
      <c r="W26" s="290"/>
      <c r="AQ26" s="274"/>
      <c r="AR26" s="571"/>
      <c r="AS26" s="571"/>
      <c r="AT26" s="571"/>
      <c r="AU26" s="296"/>
      <c r="AV26" s="256"/>
      <c r="AW26" s="369" t="str">
        <f t="array" ref="AW26">IFERROR(IF($AO$9="ALL","ERR.",INDEX(salesHistory[sku],SMALL(IF(ISNUMBER(MATCH(salesHistory[order_no], $AO$11, 0)), MATCH(ROW(salesHistory[order_no]),ROW(salesHistory[order_no])), ""), ROWS($A$1:A17)+$B$8))),"")</f>
        <v/>
      </c>
      <c r="AX26" s="325" t="str">
        <f t="array" ref="AX26">IFERROR(IF($AO$9="ALL","ERR.",INDEX(salesHistory[description],SMALL(IF(ISNUMBER(MATCH(salesHistory[order_no], $AO$11, 0)), MATCH(ROW(salesHistory[order_no]),ROW(salesHistory[order_no])), ""), ROWS($A$1:A17)+$B$8))),"")</f>
        <v/>
      </c>
      <c r="AY26" s="314" t="str">
        <f t="array" ref="AY26">IFERROR(IF($AO$9="ALL","ERR.",INDEX(salesHistory[qty],SMALL(IF(ISNUMBER(MATCH(salesHistory[order_no], $AO$11, 0)), MATCH(ROW(salesHistory[order_no]),ROW(salesHistory[order_no])), ""), ROWS($A$1:A17)+$B$8))),"")</f>
        <v/>
      </c>
      <c r="AZ26" s="317" t="str">
        <f t="array" ref="AZ26">IFERROR(IF($AO$9="ALL","ERR.",INDEX(salesHistory[sale_price],SMALL(IF(ISNUMBER(MATCH(salesHistory[order_no], $AO$11, 0)), MATCH(ROW(salesHistory[order_no]),ROW(salesHistory[order_no])), ""), ROWS($A$1:A17)+$B$8))),"")</f>
        <v/>
      </c>
      <c r="BA26" s="317" t="str">
        <f t="array" ref="BA26">IFERROR(IF($AO$9="ALL","ERR.",INDEX(salesHistory[cost_price],SMALL(IF(ISNUMBER(MATCH(salesHistory[order_no], $AO$11, 0)), MATCH(ROW(salesHistory[order_no]),ROW(salesHistory[order_no])), ""), ROWS($A$1:A17)+$B$8))),"")</f>
        <v/>
      </c>
      <c r="BB26" s="320" t="str">
        <f t="array" ref="BB26">IFERROR(IF($AO$9="ALL","ERR.",INDEX(salesHistory[disc_qty],SMALL(IF(ISNUMBER(MATCH(salesHistory[order_no], $AO$11, 0)), MATCH(ROW(salesHistory[order_no]),ROW(salesHistory[order_no])), ""), ROWS($A$1:A17)+$B$8))),"")</f>
        <v/>
      </c>
      <c r="BC26" s="326" t="str">
        <f t="array" ref="BC26">IFERROR(IF($AO$9="ALL","ERR.",INDEX(salesHistory[disc_price],SMALL(IF(ISNUMBER(MATCH(salesHistory[order_no], $AO$11, 0)), MATCH(ROW(salesHistory[order_no]),ROW(salesHistory[order_no])), ""), ROWS($A$1:A17)+$B$8))),"")</f>
        <v/>
      </c>
      <c r="BD26" s="314" t="str">
        <f t="array" ref="BD26">IFERROR(IF($AO$9="ALL","ERR.",INDEX(salesHistory[foc_qty],SMALL(IF(ISNUMBER(MATCH(salesHistory[order_no], $AO$11, 0)), MATCH(ROW(salesHistory[order_no]),ROW(salesHistory[order_no])), ""), ROWS($A$1:A17)+$B$8))),"")</f>
        <v/>
      </c>
      <c r="BE26" s="317" t="str">
        <f t="array" ref="BE26">IFERROR(IF($AO$9="ALL","ERR.",INDEX(salesHistory[tot_cost],SMALL(IF(ISNUMBER(MATCH(salesHistory[order_no], $AO$11, 0)), MATCH(ROW(salesHistory[order_no]),ROW(salesHistory[order_no])), ""), ROWS($A$1:A17)+$B$8))),"")</f>
        <v/>
      </c>
      <c r="BF26" s="317" t="str">
        <f t="array" ref="BF26">IFERROR(IF($AO$9="ALL","ERR.",INDEX(salesHistory[tot_sold],SMALL(IF(ISNUMBER(MATCH(salesHistory[order_no], $AO$11, 0)), MATCH(ROW(salesHistory[order_no]),ROW(salesHistory[order_no])), ""), ROWS($A$1:A17)+$B$8))),"")</f>
        <v/>
      </c>
      <c r="BG26" s="314"/>
      <c r="BH26" s="327"/>
      <c r="BI26" s="290"/>
      <c r="BK26" s="381" t="str">
        <f t="array" ref="BK26">IFERROR(IF($AO$9="",INDEX(orderHistory[order_date],ROW()-9),INDEX(orderHistory[order_date], MATCH(0, IF($AO$9=orderHistory[customer],COUNTIF($BK$9:$BK25,orderHistory[order_date]), "")), 0)),"")</f>
        <v/>
      </c>
      <c r="BL26" s="382" t="str">
        <f t="array" ref="BL26">IFERROR(IF($AO$9="ALL",INDEX(orderHistory[order_id],ROW()-9),INDEX(orderHistory[order_id], MATCH(0, IF($AO$9=orderHistory[customer],COUNTIF($BL$9:$BL25,orderHistory[order_id]), "")), 0)),"")</f>
        <v/>
      </c>
      <c r="BM26" s="383" t="str">
        <f t="shared" si="1"/>
        <v/>
      </c>
      <c r="BN26" s="382" t="str">
        <f t="array" aca="1" ref="BN26" ca="1">IFERROR(INDEX(orderYearForSelectedClient, MATCH(0, COUNTIF($BN$9:BN25, orderYearForSelectedClient&amp;"") + IF(orderYearForSelectedClient="",1,0), 0)), "")</f>
        <v/>
      </c>
      <c r="BO26" s="383" t="str">
        <f t="shared" si="0"/>
        <v/>
      </c>
    </row>
    <row r="27" spans="7:90">
      <c r="G27" s="274"/>
      <c r="H27" s="599">
        <f>INDEX(dbClienti[logistic_address2],MATCH($E$9,dbClienti[cod_cliente],0))</f>
        <v>0</v>
      </c>
      <c r="I27" s="600"/>
      <c r="J27" s="601"/>
      <c r="K27" s="269"/>
      <c r="M27" s="302" t="str">
        <f t="array" ref="M27">IFERROR(IF($P$5="",INDEX(orderHistory[order_id], SMALL(IF(ISNUMBER(MATCH(orderHistory[customer], $E$9, 0)), MATCH(ROW(orderHistory[customer]),ROW(orderHistory[customer])), ""), ROWS($A$1:A18)+$B$3)),INDEX(orderHistory[order_id], SMALL(IF(ISNUMBER(MATCH(orderHistory[customer], $E$9, 0)*MATCH(YEAR(orderHistory[order_date]),$P$5,0)), MATCH(ROW(orderHistory[customer]),ROW(orderHistory[customer])), ""), ROWS($A$1:A18)+$B$3))),"")</f>
        <v/>
      </c>
      <c r="N27" s="303" t="str">
        <f t="array" ref="N27">IFERROR(IF($P$5="",INDEX(orderHistory[order_date], SMALL(IF(ISNUMBER(MATCH(orderHistory[customer], $E$9, 0)), MATCH(ROW(orderHistory[customer]),ROW(orderHistory[customer])), ""), ROWS($A$1:B18)+$B$3)),INDEX(orderHistory[order_date], SMALL(IF(ISNUMBER(MATCH(orderHistory[customer], $E$9, 0)*MATCH(YEAR(orderHistory[order_date]),$P$5,0)), MATCH(ROW(orderHistory[customer]),ROW(orderHistory[customer])), ""), ROWS($A$1:B18)+$B$3))),"")</f>
        <v/>
      </c>
      <c r="O27" s="304" t="str">
        <f t="array" ref="O27">IFERROR(IF($P$5="",INDEX(orderHistory[carton_no], SMALL(IF(ISNUMBER(MATCH(orderHistory[customer], $E$9, 0)), MATCH(ROW(orderHistory[customer]),ROW(orderHistory[customer])), ""), ROWS($A$1:C18)+$B$3)),INDEX(orderHistory[carton_no], SMALL(IF(ISNUMBER(MATCH(orderHistory[customer], $E$9, 0)*MATCH(YEAR(orderHistory[order_date]),$P$5,0)), MATCH(ROW(orderHistory[customer]),ROW(orderHistory[customer])), ""), ROWS($A$1:C18)+$B$3))),"")</f>
        <v/>
      </c>
      <c r="P27" s="304" t="str">
        <f t="array" ref="P27">IFERROR(IF($P$5="",INDEX(orderHistory[pallet_no], SMALL(IF(ISNUMBER(MATCH(orderHistory[customer], $E$9, 0)), MATCH(ROW(orderHistory[customer]),ROW(orderHistory[customer])), ""), ROWS($A$1:D18)+$B$3)),INDEX(orderHistory[pallet_no], SMALL(IF(ISNUMBER(MATCH(orderHistory[customer], $E$9, 0)*MATCH(YEAR(orderHistory[order_date]),$P$5,0)), MATCH(ROW(orderHistory[customer]),ROW(orderHistory[customer])), ""), ROWS($A$1:D18)+$B$3))),"")</f>
        <v/>
      </c>
      <c r="Q27" s="304" t="str">
        <f t="array" ref="Q27">IFERROR(IF($P$5="",INDEX(orderHistory[invoice_no], SMALL(IF(ISNUMBER(MATCH(orderHistory[customer], $E$9, 0)), MATCH(ROW(orderHistory[customer]),ROW(orderHistory[customer])), ""), ROWS($A$1:E18)+$B$3)),INDEX(orderHistory[invoice_no], SMALL(IF(ISNUMBER(MATCH(orderHistory[customer], $E$9, 0)*MATCH(YEAR(orderHistory[order_date]),$P$5,0)), MATCH(ROW(orderHistory[customer]),ROW(orderHistory[customer])), ""), ROWS($A$1:E18)+$B$3))),"")</f>
        <v/>
      </c>
      <c r="R27" s="303" t="str">
        <f t="array" ref="R27">IFERROR(IF($P$5="",INDEX(orderHistory[invoice_date], SMALL(IF(ISNUMBER(MATCH(orderHistory[customer], $E$9, 0)), MATCH(ROW(orderHistory[customer]),ROW(orderHistory[customer])), ""), ROWS($A$1:F18)+$B$3)),INDEX(orderHistory[invoice_date], SMALL(IF(ISNUMBER(MATCH(orderHistory[customer], $E$9, 0)*MATCH(YEAR(orderHistory[order_date]),$P$5,0)), MATCH(ROW(orderHistory[customer]),ROW(orderHistory[customer])), ""), ROWS($A$1:F18)+$B$3))),"")</f>
        <v/>
      </c>
      <c r="S27" s="304" t="str">
        <f t="array" ref="S27">IFERROR(IF($P$5="",INDEX(orderHistory[payed], SMALL(IF(ISNUMBER(MATCH(orderHistory[customer], $E$9, 0)), MATCH(ROW(orderHistory[customer]),ROW(orderHistory[customer])), ""), ROWS($A$1:G18)+$B$3)),INDEX(orderHistory[payed], SMALL(IF(ISNUMBER(MATCH(orderHistory[customer], $E$9, 0)*MATCH(YEAR(orderHistory[order_date]),$P$5,0)), MATCH(ROW(orderHistory[customer]),ROW(orderHistory[customer])), ""), ROWS($A$1:G18)+$B$3))),"")</f>
        <v/>
      </c>
      <c r="T27" s="303" t="str">
        <f t="array" ref="T27">IFERROR(IF($P$5="",INDEX(orderHistory[payment_date], SMALL(IF(ISNUMBER(MATCH(orderHistory[customer], $E$9, 0)), MATCH(ROW(orderHistory[customer]),ROW(orderHistory[customer])), ""), ROWS($A$1:H18)+$B$3)),INDEX(orderHistory[payment_date], SMALL(IF(ISNUMBER(MATCH(orderHistory[customer], $E$9, 0)*MATCH(YEAR(orderHistory[order_date]),$P$5,0)), MATCH(ROW(orderHistory[customer]),ROW(orderHistory[customer])), ""), ROWS($A$1:H18)+$B$3))),"")</f>
        <v/>
      </c>
      <c r="U27" s="305" t="str">
        <f t="array" ref="U27">IFERROR(IF($P$5="",INDEX(orderHistory[amount_sold], SMALL(IF(ISNUMBER(MATCH(orderHistory[customer], $E$9, 0)), MATCH(ROW(orderHistory[customer]),ROW(orderHistory[customer])), ""), ROWS($A$1:I18)+$B$3)),INDEX(orderHistory[amount_sold], SMALL(IF(ISNUMBER(MATCH(orderHistory[customer], $E$9, 0)*MATCH(YEAR(orderHistory[order_date]),$P$5,0)), MATCH(ROW(orderHistory[customer]),ROW(orderHistory[customer])), ""), ROWS($A$1:I18)+$B$3))),"")</f>
        <v/>
      </c>
      <c r="V27" s="306" t="str">
        <f t="array" ref="V27">IFERROR(IF($P$5="",INDEX(orderHistory[status], SMALL(IF(ISNUMBER(MATCH(orderHistory[customer], $E$9, 0)), MATCH(ROW(orderHistory[customer]),ROW(orderHistory[customer])), ""), ROWS($A$1:J18)+$B$3)),INDEX(orderHistory[status], SMALL(IF(ISNUMBER(MATCH(orderHistory[customer], $E$9, 0)*MATCH(YEAR(orderHistory[order_date]),$P$5,0)), MATCH(ROW(orderHistory[customer]),ROW(orderHistory[customer])), ""), ROWS($A$1:J18)+$B$3))),"")</f>
        <v/>
      </c>
      <c r="W27" s="290"/>
      <c r="AQ27" s="274" t="s">
        <v>454</v>
      </c>
      <c r="AR27" s="338" t="e">
        <f>VLOOKUP($AR$10,orderHistory[],6,FALSE)</f>
        <v>#N/A</v>
      </c>
      <c r="AS27" s="335"/>
      <c r="AT27" s="336"/>
      <c r="AU27" s="296"/>
      <c r="AV27" s="256"/>
      <c r="AW27" s="369" t="str">
        <f t="array" ref="AW27">IFERROR(IF($AO$9="ALL","ERR.",INDEX(salesHistory[sku],SMALL(IF(ISNUMBER(MATCH(salesHistory[order_no], $AO$11, 0)), MATCH(ROW(salesHistory[order_no]),ROW(salesHistory[order_no])), ""), ROWS($A$1:A18)+$B$8))),"")</f>
        <v/>
      </c>
      <c r="AX27" s="325" t="str">
        <f t="array" ref="AX27">IFERROR(IF($AO$9="ALL","ERR.",INDEX(salesHistory[description],SMALL(IF(ISNUMBER(MATCH(salesHistory[order_no], $AO$11, 0)), MATCH(ROW(salesHistory[order_no]),ROW(salesHistory[order_no])), ""), ROWS($A$1:A18)+$B$8))),"")</f>
        <v/>
      </c>
      <c r="AY27" s="314" t="str">
        <f t="array" ref="AY27">IFERROR(IF($AO$9="ALL","ERR.",INDEX(salesHistory[qty],SMALL(IF(ISNUMBER(MATCH(salesHistory[order_no], $AO$11, 0)), MATCH(ROW(salesHistory[order_no]),ROW(salesHistory[order_no])), ""), ROWS($A$1:A18)+$B$8))),"")</f>
        <v/>
      </c>
      <c r="AZ27" s="317" t="str">
        <f t="array" ref="AZ27">IFERROR(IF($AO$9="ALL","ERR.",INDEX(salesHistory[sale_price],SMALL(IF(ISNUMBER(MATCH(salesHistory[order_no], $AO$11, 0)), MATCH(ROW(salesHistory[order_no]),ROW(salesHistory[order_no])), ""), ROWS($A$1:A18)+$B$8))),"")</f>
        <v/>
      </c>
      <c r="BA27" s="317" t="str">
        <f t="array" ref="BA27">IFERROR(IF($AO$9="ALL","ERR.",INDEX(salesHistory[cost_price],SMALL(IF(ISNUMBER(MATCH(salesHistory[order_no], $AO$11, 0)), MATCH(ROW(salesHistory[order_no]),ROW(salesHistory[order_no])), ""), ROWS($A$1:A18)+$B$8))),"")</f>
        <v/>
      </c>
      <c r="BB27" s="320" t="str">
        <f t="array" ref="BB27">IFERROR(IF($AO$9="ALL","ERR.",INDEX(salesHistory[disc_qty],SMALL(IF(ISNUMBER(MATCH(salesHistory[order_no], $AO$11, 0)), MATCH(ROW(salesHistory[order_no]),ROW(salesHistory[order_no])), ""), ROWS($A$1:A18)+$B$8))),"")</f>
        <v/>
      </c>
      <c r="BC27" s="326" t="str">
        <f t="array" ref="BC27">IFERROR(IF($AO$9="ALL","ERR.",INDEX(salesHistory[disc_price],SMALL(IF(ISNUMBER(MATCH(salesHistory[order_no], $AO$11, 0)), MATCH(ROW(salesHistory[order_no]),ROW(salesHistory[order_no])), ""), ROWS($A$1:A18)+$B$8))),"")</f>
        <v/>
      </c>
      <c r="BD27" s="314" t="str">
        <f t="array" ref="BD27">IFERROR(IF($AO$9="ALL","ERR.",INDEX(salesHistory[foc_qty],SMALL(IF(ISNUMBER(MATCH(salesHistory[order_no], $AO$11, 0)), MATCH(ROW(salesHistory[order_no]),ROW(salesHistory[order_no])), ""), ROWS($A$1:A18)+$B$8))),"")</f>
        <v/>
      </c>
      <c r="BE27" s="317" t="str">
        <f t="array" ref="BE27">IFERROR(IF($AO$9="ALL","ERR.",INDEX(salesHistory[tot_cost],SMALL(IF(ISNUMBER(MATCH(salesHistory[order_no], $AO$11, 0)), MATCH(ROW(salesHistory[order_no]),ROW(salesHistory[order_no])), ""), ROWS($A$1:A18)+$B$8))),"")</f>
        <v/>
      </c>
      <c r="BF27" s="317" t="str">
        <f t="array" ref="BF27">IFERROR(IF($AO$9="ALL","ERR.",INDEX(salesHistory[tot_sold],SMALL(IF(ISNUMBER(MATCH(salesHistory[order_no], $AO$11, 0)), MATCH(ROW(salesHistory[order_no]),ROW(salesHistory[order_no])), ""), ROWS($A$1:A18)+$B$8))),"")</f>
        <v/>
      </c>
      <c r="BG27" s="314"/>
      <c r="BH27" s="327"/>
      <c r="BI27" s="290"/>
      <c r="BK27" s="381" t="str">
        <f t="array" ref="BK27">IFERROR(IF($AO$9="",INDEX(orderHistory[order_date],ROW()-9),INDEX(orderHistory[order_date], MATCH(0, IF($AO$9=orderHistory[customer],COUNTIF($BK$9:$BK26,orderHistory[order_date]), "")), 0)),"")</f>
        <v/>
      </c>
      <c r="BL27" s="382" t="str">
        <f t="array" ref="BL27">IFERROR(IF($AO$9="ALL",INDEX(orderHistory[order_id],ROW()-9),INDEX(orderHistory[order_id], MATCH(0, IF($AO$9=orderHistory[customer],COUNTIF($BL$9:$BL26,orderHistory[order_id]), "")), 0)),"")</f>
        <v/>
      </c>
      <c r="BM27" s="383" t="str">
        <f t="shared" si="1"/>
        <v/>
      </c>
      <c r="BN27" s="382" t="str">
        <f t="array" aca="1" ref="BN27" ca="1">IFERROR(INDEX(orderYearForSelectedClient, MATCH(0, COUNTIF($BN$9:BN26, orderYearForSelectedClient&amp;"") + IF(orderYearForSelectedClient="",1,0), 0)), "")</f>
        <v/>
      </c>
      <c r="BO27" s="383" t="str">
        <f t="shared" si="0"/>
        <v/>
      </c>
    </row>
    <row r="28" spans="7:90">
      <c r="G28" s="274"/>
      <c r="H28" s="602">
        <f>INDEX(dbClienti[logistic_address3],MATCH($E$9,dbClienti[cod_cliente],0))</f>
        <v>0</v>
      </c>
      <c r="I28" s="603"/>
      <c r="J28" s="604"/>
      <c r="K28" s="269"/>
      <c r="M28" s="302" t="str">
        <f t="array" ref="M28">IFERROR(IF($P$5="",INDEX(orderHistory[order_id], SMALL(IF(ISNUMBER(MATCH(orderHistory[customer], $E$9, 0)), MATCH(ROW(orderHistory[customer]),ROW(orderHistory[customer])), ""), ROWS($A$1:A19)+$B$3)),INDEX(orderHistory[order_id], SMALL(IF(ISNUMBER(MATCH(orderHistory[customer], $E$9, 0)*MATCH(YEAR(orderHistory[order_date]),$P$5,0)), MATCH(ROW(orderHistory[customer]),ROW(orderHistory[customer])), ""), ROWS($A$1:A19)+$B$3))),"")</f>
        <v/>
      </c>
      <c r="N28" s="303" t="str">
        <f t="array" ref="N28">IFERROR(IF($P$5="",INDEX(orderHistory[order_date], SMALL(IF(ISNUMBER(MATCH(orderHistory[customer], $E$9, 0)), MATCH(ROW(orderHistory[customer]),ROW(orderHistory[customer])), ""), ROWS($A$1:B19)+$B$3)),INDEX(orderHistory[order_date], SMALL(IF(ISNUMBER(MATCH(orderHistory[customer], $E$9, 0)*MATCH(YEAR(orderHistory[order_date]),$P$5,0)), MATCH(ROW(orderHistory[customer]),ROW(orderHistory[customer])), ""), ROWS($A$1:B19)+$B$3))),"")</f>
        <v/>
      </c>
      <c r="O28" s="304" t="str">
        <f t="array" ref="O28">IFERROR(IF($P$5="",INDEX(orderHistory[carton_no], SMALL(IF(ISNUMBER(MATCH(orderHistory[customer], $E$9, 0)), MATCH(ROW(orderHistory[customer]),ROW(orderHistory[customer])), ""), ROWS($A$1:C19)+$B$3)),INDEX(orderHistory[carton_no], SMALL(IF(ISNUMBER(MATCH(orderHistory[customer], $E$9, 0)*MATCH(YEAR(orderHistory[order_date]),$P$5,0)), MATCH(ROW(orderHistory[customer]),ROW(orderHistory[customer])), ""), ROWS($A$1:C19)+$B$3))),"")</f>
        <v/>
      </c>
      <c r="P28" s="304" t="str">
        <f t="array" ref="P28">IFERROR(IF($P$5="",INDEX(orderHistory[pallet_no], SMALL(IF(ISNUMBER(MATCH(orderHistory[customer], $E$9, 0)), MATCH(ROW(orderHistory[customer]),ROW(orderHistory[customer])), ""), ROWS($A$1:D19)+$B$3)),INDEX(orderHistory[pallet_no], SMALL(IF(ISNUMBER(MATCH(orderHistory[customer], $E$9, 0)*MATCH(YEAR(orderHistory[order_date]),$P$5,0)), MATCH(ROW(orderHistory[customer]),ROW(orderHistory[customer])), ""), ROWS($A$1:D19)+$B$3))),"")</f>
        <v/>
      </c>
      <c r="Q28" s="304" t="str">
        <f t="array" ref="Q28">IFERROR(IF($P$5="",INDEX(orderHistory[invoice_no], SMALL(IF(ISNUMBER(MATCH(orderHistory[customer], $E$9, 0)), MATCH(ROW(orderHistory[customer]),ROW(orderHistory[customer])), ""), ROWS($A$1:E19)+$B$3)),INDEX(orderHistory[invoice_no], SMALL(IF(ISNUMBER(MATCH(orderHistory[customer], $E$9, 0)*MATCH(YEAR(orderHistory[order_date]),$P$5,0)), MATCH(ROW(orderHistory[customer]),ROW(orderHistory[customer])), ""), ROWS($A$1:E19)+$B$3))),"")</f>
        <v/>
      </c>
      <c r="R28" s="303" t="str">
        <f t="array" ref="R28">IFERROR(IF($P$5="",INDEX(orderHistory[invoice_date], SMALL(IF(ISNUMBER(MATCH(orderHistory[customer], $E$9, 0)), MATCH(ROW(orderHistory[customer]),ROW(orderHistory[customer])), ""), ROWS($A$1:F19)+$B$3)),INDEX(orderHistory[invoice_date], SMALL(IF(ISNUMBER(MATCH(orderHistory[customer], $E$9, 0)*MATCH(YEAR(orderHistory[order_date]),$P$5,0)), MATCH(ROW(orderHistory[customer]),ROW(orderHistory[customer])), ""), ROWS($A$1:F19)+$B$3))),"")</f>
        <v/>
      </c>
      <c r="S28" s="304" t="str">
        <f t="array" ref="S28">IFERROR(IF($P$5="",INDEX(orderHistory[payed], SMALL(IF(ISNUMBER(MATCH(orderHistory[customer], $E$9, 0)), MATCH(ROW(orderHistory[customer]),ROW(orderHistory[customer])), ""), ROWS($A$1:G19)+$B$3)),INDEX(orderHistory[payed], SMALL(IF(ISNUMBER(MATCH(orderHistory[customer], $E$9, 0)*MATCH(YEAR(orderHistory[order_date]),$P$5,0)), MATCH(ROW(orderHistory[customer]),ROW(orderHistory[customer])), ""), ROWS($A$1:G19)+$B$3))),"")</f>
        <v/>
      </c>
      <c r="T28" s="303" t="str">
        <f t="array" ref="T28">IFERROR(IF($P$5="",INDEX(orderHistory[payment_date], SMALL(IF(ISNUMBER(MATCH(orderHistory[customer], $E$9, 0)), MATCH(ROW(orderHistory[customer]),ROW(orderHistory[customer])), ""), ROWS($A$1:H19)+$B$3)),INDEX(orderHistory[payment_date], SMALL(IF(ISNUMBER(MATCH(orderHistory[customer], $E$9, 0)*MATCH(YEAR(orderHistory[order_date]),$P$5,0)), MATCH(ROW(orderHistory[customer]),ROW(orderHistory[customer])), ""), ROWS($A$1:H19)+$B$3))),"")</f>
        <v/>
      </c>
      <c r="U28" s="305" t="str">
        <f t="array" ref="U28">IFERROR(IF($P$5="",INDEX(orderHistory[amount_sold], SMALL(IF(ISNUMBER(MATCH(orderHistory[customer], $E$9, 0)), MATCH(ROW(orderHistory[customer]),ROW(orderHistory[customer])), ""), ROWS($A$1:I19)+$B$3)),INDEX(orderHistory[amount_sold], SMALL(IF(ISNUMBER(MATCH(orderHistory[customer], $E$9, 0)*MATCH(YEAR(orderHistory[order_date]),$P$5,0)), MATCH(ROW(orderHistory[customer]),ROW(orderHistory[customer])), ""), ROWS($A$1:I19)+$B$3))),"")</f>
        <v/>
      </c>
      <c r="V28" s="306" t="str">
        <f t="array" ref="V28">IFERROR(IF($P$5="",INDEX(orderHistory[status], SMALL(IF(ISNUMBER(MATCH(orderHistory[customer], $E$9, 0)), MATCH(ROW(orderHistory[customer]),ROW(orderHistory[customer])), ""), ROWS($A$1:J19)+$B$3)),INDEX(orderHistory[status], SMALL(IF(ISNUMBER(MATCH(orderHistory[customer], $E$9, 0)*MATCH(YEAR(orderHistory[order_date]),$P$5,0)), MATCH(ROW(orderHistory[customer]),ROW(orderHistory[customer])), ""), ROWS($A$1:J19)+$B$3))),"")</f>
        <v/>
      </c>
      <c r="W28" s="290"/>
      <c r="AQ28" s="274" t="s">
        <v>455</v>
      </c>
      <c r="AR28" s="337" t="e">
        <f>VLOOKUP($AR$10,orderHistory[],8,FALSE)</f>
        <v>#N/A</v>
      </c>
      <c r="AS28" s="335"/>
      <c r="AT28" s="335"/>
      <c r="AU28" s="269"/>
      <c r="AW28" s="369" t="str">
        <f t="array" ref="AW28">IFERROR(IF($AO$9="ALL","ERR.",INDEX(salesHistory[sku],SMALL(IF(ISNUMBER(MATCH(salesHistory[order_no], $AO$11, 0)), MATCH(ROW(salesHistory[order_no]),ROW(salesHistory[order_no])), ""), ROWS($A$1:A19)+$B$8))),"")</f>
        <v/>
      </c>
      <c r="AX28" s="325" t="str">
        <f t="array" ref="AX28">IFERROR(IF($AO$9="ALL","ERR.",INDEX(salesHistory[description],SMALL(IF(ISNUMBER(MATCH(salesHistory[order_no], $AO$11, 0)), MATCH(ROW(salesHistory[order_no]),ROW(salesHistory[order_no])), ""), ROWS($A$1:A19)+$B$8))),"")</f>
        <v/>
      </c>
      <c r="AY28" s="314" t="str">
        <f t="array" ref="AY28">IFERROR(IF($AO$9="ALL","ERR.",INDEX(salesHistory[qty],SMALL(IF(ISNUMBER(MATCH(salesHistory[order_no], $AO$11, 0)), MATCH(ROW(salesHistory[order_no]),ROW(salesHistory[order_no])), ""), ROWS($A$1:A19)+$B$8))),"")</f>
        <v/>
      </c>
      <c r="AZ28" s="317" t="str">
        <f t="array" ref="AZ28">IFERROR(IF($AO$9="ALL","ERR.",INDEX(salesHistory[sale_price],SMALL(IF(ISNUMBER(MATCH(salesHistory[order_no], $AO$11, 0)), MATCH(ROW(salesHistory[order_no]),ROW(salesHistory[order_no])), ""), ROWS($A$1:A19)+$B$8))),"")</f>
        <v/>
      </c>
      <c r="BA28" s="317" t="str">
        <f t="array" ref="BA28">IFERROR(IF($AO$9="ALL","ERR.",INDEX(salesHistory[cost_price],SMALL(IF(ISNUMBER(MATCH(salesHistory[order_no], $AO$11, 0)), MATCH(ROW(salesHistory[order_no]),ROW(salesHistory[order_no])), ""), ROWS($A$1:A19)+$B$8))),"")</f>
        <v/>
      </c>
      <c r="BB28" s="320" t="str">
        <f t="array" ref="BB28">IFERROR(IF($AO$9="ALL","ERR.",INDEX(salesHistory[disc_qty],SMALL(IF(ISNUMBER(MATCH(salesHistory[order_no], $AO$11, 0)), MATCH(ROW(salesHistory[order_no]),ROW(salesHistory[order_no])), ""), ROWS($A$1:A19)+$B$8))),"")</f>
        <v/>
      </c>
      <c r="BC28" s="326" t="str">
        <f t="array" ref="BC28">IFERROR(IF($AO$9="ALL","ERR.",INDEX(salesHistory[disc_price],SMALL(IF(ISNUMBER(MATCH(salesHistory[order_no], $AO$11, 0)), MATCH(ROW(salesHistory[order_no]),ROW(salesHistory[order_no])), ""), ROWS($A$1:A19)+$B$8))),"")</f>
        <v/>
      </c>
      <c r="BD28" s="314" t="str">
        <f t="array" ref="BD28">IFERROR(IF($AO$9="ALL","ERR.",INDEX(salesHistory[foc_qty],SMALL(IF(ISNUMBER(MATCH(salesHistory[order_no], $AO$11, 0)), MATCH(ROW(salesHistory[order_no]),ROW(salesHistory[order_no])), ""), ROWS($A$1:A19)+$B$8))),"")</f>
        <v/>
      </c>
      <c r="BE28" s="317" t="str">
        <f t="array" ref="BE28">IFERROR(IF($AO$9="ALL","ERR.",INDEX(salesHistory[tot_cost],SMALL(IF(ISNUMBER(MATCH(salesHistory[order_no], $AO$11, 0)), MATCH(ROW(salesHistory[order_no]),ROW(salesHistory[order_no])), ""), ROWS($A$1:A19)+$B$8))),"")</f>
        <v/>
      </c>
      <c r="BF28" s="317" t="str">
        <f t="array" ref="BF28">IFERROR(IF($AO$9="ALL","ERR.",INDEX(salesHistory[tot_sold],SMALL(IF(ISNUMBER(MATCH(salesHistory[order_no], $AO$11, 0)), MATCH(ROW(salesHistory[order_no]),ROW(salesHistory[order_no])), ""), ROWS($A$1:A19)+$B$8))),"")</f>
        <v/>
      </c>
      <c r="BG28" s="314"/>
      <c r="BH28" s="327"/>
      <c r="BI28" s="290"/>
      <c r="BK28" s="381" t="str">
        <f t="array" ref="BK28">IFERROR(IF($AO$9="",INDEX(orderHistory[order_date],ROW()-9),INDEX(orderHistory[order_date], MATCH(0, IF($AO$9=orderHistory[customer],COUNTIF($BK$9:$BK27,orderHistory[order_date]), "")), 0)),"")</f>
        <v/>
      </c>
      <c r="BL28" s="382" t="str">
        <f t="array" ref="BL28">IFERROR(IF($AO$9="ALL",INDEX(orderHistory[order_id],ROW()-9),INDEX(orderHistory[order_id], MATCH(0, IF($AO$9=orderHistory[customer],COUNTIF($BL$9:$BL27,orderHistory[order_id]), "")), 0)),"")</f>
        <v/>
      </c>
      <c r="BM28" s="383" t="str">
        <f t="shared" si="1"/>
        <v/>
      </c>
      <c r="BN28" s="382" t="str">
        <f t="array" aca="1" ref="BN28" ca="1">IFERROR(INDEX(orderYearForSelectedClient, MATCH(0, COUNTIF($BN$9:BN27, orderYearForSelectedClient&amp;"") + IF(orderYearForSelectedClient="",1,0), 0)), "")</f>
        <v/>
      </c>
      <c r="BO28" s="383" t="str">
        <f t="shared" si="0"/>
        <v/>
      </c>
    </row>
    <row r="29" spans="7:90" ht="15" thickBot="1">
      <c r="G29" s="270"/>
      <c r="H29" s="271"/>
      <c r="I29" s="271"/>
      <c r="J29" s="271"/>
      <c r="K29" s="272"/>
      <c r="M29" s="302" t="str">
        <f t="array" ref="M29">IFERROR(IF($P$5="",INDEX(orderHistory[order_id], SMALL(IF(ISNUMBER(MATCH(orderHistory[customer], $E$9, 0)), MATCH(ROW(orderHistory[customer]),ROW(orderHistory[customer])), ""), ROWS($A$1:A20)+$B$3)),INDEX(orderHistory[order_id], SMALL(IF(ISNUMBER(MATCH(orderHistory[customer], $E$9, 0)*MATCH(YEAR(orderHistory[order_date]),$P$5,0)), MATCH(ROW(orderHistory[customer]),ROW(orderHistory[customer])), ""), ROWS($A$1:A20)+$B$3))),"")</f>
        <v/>
      </c>
      <c r="N29" s="303" t="str">
        <f t="array" ref="N29">IFERROR(IF($P$5="",INDEX(orderHistory[order_date], SMALL(IF(ISNUMBER(MATCH(orderHistory[customer], $E$9, 0)), MATCH(ROW(orderHistory[customer]),ROW(orderHistory[customer])), ""), ROWS($A$1:B20)+$B$3)),INDEX(orderHistory[order_date], SMALL(IF(ISNUMBER(MATCH(orderHistory[customer], $E$9, 0)*MATCH(YEAR(orderHistory[order_date]),$P$5,0)), MATCH(ROW(orderHistory[customer]),ROW(orderHistory[customer])), ""), ROWS($A$1:B20)+$B$3))),"")</f>
        <v/>
      </c>
      <c r="O29" s="304" t="str">
        <f t="array" ref="O29">IFERROR(IF($P$5="",INDEX(orderHistory[carton_no], SMALL(IF(ISNUMBER(MATCH(orderHistory[customer], $E$9, 0)), MATCH(ROW(orderHistory[customer]),ROW(orderHistory[customer])), ""), ROWS($A$1:C20)+$B$3)),INDEX(orderHistory[carton_no], SMALL(IF(ISNUMBER(MATCH(orderHistory[customer], $E$9, 0)*MATCH(YEAR(orderHistory[order_date]),$P$5,0)), MATCH(ROW(orderHistory[customer]),ROW(orderHistory[customer])), ""), ROWS($A$1:C20)+$B$3))),"")</f>
        <v/>
      </c>
      <c r="P29" s="304" t="str">
        <f t="array" ref="P29">IFERROR(IF($P$5="",INDEX(orderHistory[pallet_no], SMALL(IF(ISNUMBER(MATCH(orderHistory[customer], $E$9, 0)), MATCH(ROW(orderHistory[customer]),ROW(orderHistory[customer])), ""), ROWS($A$1:D20)+$B$3)),INDEX(orderHistory[pallet_no], SMALL(IF(ISNUMBER(MATCH(orderHistory[customer], $E$9, 0)*MATCH(YEAR(orderHistory[order_date]),$P$5,0)), MATCH(ROW(orderHistory[customer]),ROW(orderHistory[customer])), ""), ROWS($A$1:D20)+$B$3))),"")</f>
        <v/>
      </c>
      <c r="Q29" s="304" t="str">
        <f t="array" ref="Q29">IFERROR(IF($P$5="",INDEX(orderHistory[invoice_no], SMALL(IF(ISNUMBER(MATCH(orderHistory[customer], $E$9, 0)), MATCH(ROW(orderHistory[customer]),ROW(orderHistory[customer])), ""), ROWS($A$1:E20)+$B$3)),INDEX(orderHistory[invoice_no], SMALL(IF(ISNUMBER(MATCH(orderHistory[customer], $E$9, 0)*MATCH(YEAR(orderHistory[order_date]),$P$5,0)), MATCH(ROW(orderHistory[customer]),ROW(orderHistory[customer])), ""), ROWS($A$1:E20)+$B$3))),"")</f>
        <v/>
      </c>
      <c r="R29" s="303" t="str">
        <f t="array" ref="R29">IFERROR(IF($P$5="",INDEX(orderHistory[invoice_date], SMALL(IF(ISNUMBER(MATCH(orderHistory[customer], $E$9, 0)), MATCH(ROW(orderHistory[customer]),ROW(orderHistory[customer])), ""), ROWS($A$1:F20)+$B$3)),INDEX(orderHistory[invoice_date], SMALL(IF(ISNUMBER(MATCH(orderHistory[customer], $E$9, 0)*MATCH(YEAR(orderHistory[order_date]),$P$5,0)), MATCH(ROW(orderHistory[customer]),ROW(orderHistory[customer])), ""), ROWS($A$1:F20)+$B$3))),"")</f>
        <v/>
      </c>
      <c r="S29" s="304" t="str">
        <f t="array" ref="S29">IFERROR(IF($P$5="",INDEX(orderHistory[payed], SMALL(IF(ISNUMBER(MATCH(orderHistory[customer], $E$9, 0)), MATCH(ROW(orderHistory[customer]),ROW(orderHistory[customer])), ""), ROWS($A$1:G20)+$B$3)),INDEX(orderHistory[payed], SMALL(IF(ISNUMBER(MATCH(orderHistory[customer], $E$9, 0)*MATCH(YEAR(orderHistory[order_date]),$P$5,0)), MATCH(ROW(orderHistory[customer]),ROW(orderHistory[customer])), ""), ROWS($A$1:G20)+$B$3))),"")</f>
        <v/>
      </c>
      <c r="T29" s="303" t="str">
        <f t="array" ref="T29">IFERROR(IF($P$5="",INDEX(orderHistory[payment_date], SMALL(IF(ISNUMBER(MATCH(orderHistory[customer], $E$9, 0)), MATCH(ROW(orderHistory[customer]),ROW(orderHistory[customer])), ""), ROWS($A$1:H20)+$B$3)),INDEX(orderHistory[payment_date], SMALL(IF(ISNUMBER(MATCH(orderHistory[customer], $E$9, 0)*MATCH(YEAR(orderHistory[order_date]),$P$5,0)), MATCH(ROW(orderHistory[customer]),ROW(orderHistory[customer])), ""), ROWS($A$1:H20)+$B$3))),"")</f>
        <v/>
      </c>
      <c r="U29" s="305" t="str">
        <f t="array" ref="U29">IFERROR(IF($P$5="",INDEX(orderHistory[amount_sold], SMALL(IF(ISNUMBER(MATCH(orderHistory[customer], $E$9, 0)), MATCH(ROW(orderHistory[customer]),ROW(orderHistory[customer])), ""), ROWS($A$1:I20)+$B$3)),INDEX(orderHistory[amount_sold], SMALL(IF(ISNUMBER(MATCH(orderHistory[customer], $E$9, 0)*MATCH(YEAR(orderHistory[order_date]),$P$5,0)), MATCH(ROW(orderHistory[customer]),ROW(orderHistory[customer])), ""), ROWS($A$1:I20)+$B$3))),"")</f>
        <v/>
      </c>
      <c r="V29" s="306" t="str">
        <f t="array" ref="V29">IFERROR(IF($P$5="",INDEX(orderHistory[status], SMALL(IF(ISNUMBER(MATCH(orderHistory[customer], $E$9, 0)), MATCH(ROW(orderHistory[customer]),ROW(orderHistory[customer])), ""), ROWS($A$1:J20)+$B$3)),INDEX(orderHistory[status], SMALL(IF(ISNUMBER(MATCH(orderHistory[customer], $E$9, 0)*MATCH(YEAR(orderHistory[order_date]),$P$5,0)), MATCH(ROW(orderHistory[customer]),ROW(orderHistory[customer])), ""), ROWS($A$1:J20)+$B$3))),"")</f>
        <v/>
      </c>
      <c r="W29" s="290"/>
      <c r="AQ29" s="274" t="s">
        <v>456</v>
      </c>
      <c r="AR29" s="337" t="e">
        <f>VLOOKUP($AR$10,orderHistory[],9,FALSE)</f>
        <v>#N/A</v>
      </c>
      <c r="AS29" s="335"/>
      <c r="AT29" s="335"/>
      <c r="AU29" s="269"/>
      <c r="AW29" s="369" t="str">
        <f t="array" ref="AW29">IFERROR(IF($AO$9="ALL","ERR.",INDEX(salesHistory[sku],SMALL(IF(ISNUMBER(MATCH(salesHistory[order_no], $AO$11, 0)), MATCH(ROW(salesHistory[order_no]),ROW(salesHistory[order_no])), ""), ROWS($A$1:A20)+$B$8))),"")</f>
        <v/>
      </c>
      <c r="AX29" s="325" t="str">
        <f t="array" ref="AX29">IFERROR(IF($AO$9="ALL","ERR.",INDEX(salesHistory[description],SMALL(IF(ISNUMBER(MATCH(salesHistory[order_no], $AO$11, 0)), MATCH(ROW(salesHistory[order_no]),ROW(salesHistory[order_no])), ""), ROWS($A$1:A20)+$B$8))),"")</f>
        <v/>
      </c>
      <c r="AY29" s="314" t="str">
        <f t="array" ref="AY29">IFERROR(IF($AO$9="ALL","ERR.",INDEX(salesHistory[qty],SMALL(IF(ISNUMBER(MATCH(salesHistory[order_no], $AO$11, 0)), MATCH(ROW(salesHistory[order_no]),ROW(salesHistory[order_no])), ""), ROWS($A$1:A20)+$B$8))),"")</f>
        <v/>
      </c>
      <c r="AZ29" s="317" t="str">
        <f t="array" ref="AZ29">IFERROR(IF($AO$9="ALL","ERR.",INDEX(salesHistory[sale_price],SMALL(IF(ISNUMBER(MATCH(salesHistory[order_no], $AO$11, 0)), MATCH(ROW(salesHistory[order_no]),ROW(salesHistory[order_no])), ""), ROWS($A$1:A20)+$B$8))),"")</f>
        <v/>
      </c>
      <c r="BA29" s="317" t="str">
        <f t="array" ref="BA29">IFERROR(IF($AO$9="ALL","ERR.",INDEX(salesHistory[cost_price],SMALL(IF(ISNUMBER(MATCH(salesHistory[order_no], $AO$11, 0)), MATCH(ROW(salesHistory[order_no]),ROW(salesHistory[order_no])), ""), ROWS($A$1:A20)+$B$8))),"")</f>
        <v/>
      </c>
      <c r="BB29" s="320" t="str">
        <f t="array" ref="BB29">IFERROR(IF($AO$9="ALL","ERR.",INDEX(salesHistory[disc_qty],SMALL(IF(ISNUMBER(MATCH(salesHistory[order_no], $AO$11, 0)), MATCH(ROW(salesHistory[order_no]),ROW(salesHistory[order_no])), ""), ROWS($A$1:A20)+$B$8))),"")</f>
        <v/>
      </c>
      <c r="BC29" s="326" t="str">
        <f t="array" ref="BC29">IFERROR(IF($AO$9="ALL","ERR.",INDEX(salesHistory[disc_price],SMALL(IF(ISNUMBER(MATCH(salesHistory[order_no], $AO$11, 0)), MATCH(ROW(salesHistory[order_no]),ROW(salesHistory[order_no])), ""), ROWS($A$1:A20)+$B$8))),"")</f>
        <v/>
      </c>
      <c r="BD29" s="314" t="str">
        <f t="array" ref="BD29">IFERROR(IF($AO$9="ALL","ERR.",INDEX(salesHistory[foc_qty],SMALL(IF(ISNUMBER(MATCH(salesHistory[order_no], $AO$11, 0)), MATCH(ROW(salesHistory[order_no]),ROW(salesHistory[order_no])), ""), ROWS($A$1:A20)+$B$8))),"")</f>
        <v/>
      </c>
      <c r="BE29" s="317" t="str">
        <f t="array" ref="BE29">IFERROR(IF($AO$9="ALL","ERR.",INDEX(salesHistory[tot_cost],SMALL(IF(ISNUMBER(MATCH(salesHistory[order_no], $AO$11, 0)), MATCH(ROW(salesHistory[order_no]),ROW(salesHistory[order_no])), ""), ROWS($A$1:A20)+$B$8))),"")</f>
        <v/>
      </c>
      <c r="BF29" s="317" t="str">
        <f t="array" ref="BF29">IFERROR(IF($AO$9="ALL","ERR.",INDEX(salesHistory[tot_sold],SMALL(IF(ISNUMBER(MATCH(salesHistory[order_no], $AO$11, 0)), MATCH(ROW(salesHistory[order_no]),ROW(salesHistory[order_no])), ""), ROWS($A$1:A20)+$B$8))),"")</f>
        <v/>
      </c>
      <c r="BG29" s="314"/>
      <c r="BH29" s="327"/>
      <c r="BI29" s="290"/>
      <c r="BK29" s="381" t="str">
        <f t="array" ref="BK29">IFERROR(IF($AO$9="",INDEX(orderHistory[order_date],ROW()-9),INDEX(orderHistory[order_date], MATCH(0, IF($AO$9=orderHistory[customer],COUNTIF($BK$9:$BK28,orderHistory[order_date]), "")), 0)),"")</f>
        <v/>
      </c>
      <c r="BL29" s="382" t="str">
        <f t="array" ref="BL29">IFERROR(IF($AO$9="ALL",INDEX(orderHistory[order_id],ROW()-9),INDEX(orderHistory[order_id], MATCH(0, IF($AO$9=orderHistory[customer],COUNTIF($BL$9:$BL28,orderHistory[order_id]), "")), 0)),"")</f>
        <v/>
      </c>
      <c r="BM29" s="383" t="str">
        <f t="shared" si="1"/>
        <v/>
      </c>
      <c r="BN29" s="382" t="str">
        <f t="array" aca="1" ref="BN29" ca="1">IFERROR(INDEX(orderYearForSelectedClient, MATCH(0, COUNTIF($BN$9:BN28, orderYearForSelectedClient&amp;"") + IF(orderYearForSelectedClient="",1,0), 0)), "")</f>
        <v/>
      </c>
      <c r="BO29" s="383" t="str">
        <f t="shared" si="0"/>
        <v/>
      </c>
    </row>
    <row r="30" spans="7:90" ht="15" thickBot="1">
      <c r="G30" s="130" t="s">
        <v>501</v>
      </c>
      <c r="M30" s="302" t="str">
        <f t="array" ref="M30">IFERROR(IF($P$5="",INDEX(orderHistory[order_id], SMALL(IF(ISNUMBER(MATCH(orderHistory[customer], $E$9, 0)), MATCH(ROW(orderHistory[customer]),ROW(orderHistory[customer])), ""), ROWS($A$1:A21)+$B$3)),INDEX(orderHistory[order_id], SMALL(IF(ISNUMBER(MATCH(orderHistory[customer], $E$9, 0)*MATCH(YEAR(orderHistory[order_date]),$P$5,0)), MATCH(ROW(orderHistory[customer]),ROW(orderHistory[customer])), ""), ROWS($A$1:A21)+$B$3))),"")</f>
        <v/>
      </c>
      <c r="N30" s="303" t="str">
        <f t="array" ref="N30">IFERROR(IF($P$5="",INDEX(orderHistory[order_date], SMALL(IF(ISNUMBER(MATCH(orderHistory[customer], $E$9, 0)), MATCH(ROW(orderHistory[customer]),ROW(orderHistory[customer])), ""), ROWS($A$1:B21)+$B$3)),INDEX(orderHistory[order_date], SMALL(IF(ISNUMBER(MATCH(orderHistory[customer], $E$9, 0)*MATCH(YEAR(orderHistory[order_date]),$P$5,0)), MATCH(ROW(orderHistory[customer]),ROW(orderHistory[customer])), ""), ROWS($A$1:B21)+$B$3))),"")</f>
        <v/>
      </c>
      <c r="O30" s="304" t="str">
        <f t="array" ref="O30">IFERROR(IF($P$5="",INDEX(orderHistory[carton_no], SMALL(IF(ISNUMBER(MATCH(orderHistory[customer], $E$9, 0)), MATCH(ROW(orderHistory[customer]),ROW(orderHistory[customer])), ""), ROWS($A$1:C21)+$B$3)),INDEX(orderHistory[carton_no], SMALL(IF(ISNUMBER(MATCH(orderHistory[customer], $E$9, 0)*MATCH(YEAR(orderHistory[order_date]),$P$5,0)), MATCH(ROW(orderHistory[customer]),ROW(orderHistory[customer])), ""), ROWS($A$1:C21)+$B$3))),"")</f>
        <v/>
      </c>
      <c r="P30" s="304" t="str">
        <f t="array" ref="P30">IFERROR(IF($P$5="",INDEX(orderHistory[pallet_no], SMALL(IF(ISNUMBER(MATCH(orderHistory[customer], $E$9, 0)), MATCH(ROW(orderHistory[customer]),ROW(orderHistory[customer])), ""), ROWS($A$1:D21)+$B$3)),INDEX(orderHistory[pallet_no], SMALL(IF(ISNUMBER(MATCH(orderHistory[customer], $E$9, 0)*MATCH(YEAR(orderHistory[order_date]),$P$5,0)), MATCH(ROW(orderHistory[customer]),ROW(orderHistory[customer])), ""), ROWS($A$1:D21)+$B$3))),"")</f>
        <v/>
      </c>
      <c r="Q30" s="304" t="str">
        <f t="array" ref="Q30">IFERROR(IF($P$5="",INDEX(orderHistory[invoice_no], SMALL(IF(ISNUMBER(MATCH(orderHistory[customer], $E$9, 0)), MATCH(ROW(orderHistory[customer]),ROW(orderHistory[customer])), ""), ROWS($A$1:E21)+$B$3)),INDEX(orderHistory[invoice_no], SMALL(IF(ISNUMBER(MATCH(orderHistory[customer], $E$9, 0)*MATCH(YEAR(orderHistory[order_date]),$P$5,0)), MATCH(ROW(orderHistory[customer]),ROW(orderHistory[customer])), ""), ROWS($A$1:E21)+$B$3))),"")</f>
        <v/>
      </c>
      <c r="R30" s="303" t="str">
        <f t="array" ref="R30">IFERROR(IF($P$5="",INDEX(orderHistory[invoice_date], SMALL(IF(ISNUMBER(MATCH(orderHistory[customer], $E$9, 0)), MATCH(ROW(orderHistory[customer]),ROW(orderHistory[customer])), ""), ROWS($A$1:F21)+$B$3)),INDEX(orderHistory[invoice_date], SMALL(IF(ISNUMBER(MATCH(orderHistory[customer], $E$9, 0)*MATCH(YEAR(orderHistory[order_date]),$P$5,0)), MATCH(ROW(orderHistory[customer]),ROW(orderHistory[customer])), ""), ROWS($A$1:F21)+$B$3))),"")</f>
        <v/>
      </c>
      <c r="S30" s="304" t="str">
        <f t="array" ref="S30">IFERROR(IF($P$5="",INDEX(orderHistory[payed], SMALL(IF(ISNUMBER(MATCH(orderHistory[customer], $E$9, 0)), MATCH(ROW(orderHistory[customer]),ROW(orderHistory[customer])), ""), ROWS($A$1:G21)+$B$3)),INDEX(orderHistory[payed], SMALL(IF(ISNUMBER(MATCH(orderHistory[customer], $E$9, 0)*MATCH(YEAR(orderHistory[order_date]),$P$5,0)), MATCH(ROW(orderHistory[customer]),ROW(orderHistory[customer])), ""), ROWS($A$1:G21)+$B$3))),"")</f>
        <v/>
      </c>
      <c r="T30" s="303" t="str">
        <f t="array" ref="T30">IFERROR(IF($P$5="",INDEX(orderHistory[payment_date], SMALL(IF(ISNUMBER(MATCH(orderHistory[customer], $E$9, 0)), MATCH(ROW(orderHistory[customer]),ROW(orderHistory[customer])), ""), ROWS($A$1:H21)+$B$3)),INDEX(orderHistory[payment_date], SMALL(IF(ISNUMBER(MATCH(orderHistory[customer], $E$9, 0)*MATCH(YEAR(orderHistory[order_date]),$P$5,0)), MATCH(ROW(orderHistory[customer]),ROW(orderHistory[customer])), ""), ROWS($A$1:H21)+$B$3))),"")</f>
        <v/>
      </c>
      <c r="U30" s="305" t="str">
        <f t="array" ref="U30">IFERROR(IF($P$5="",INDEX(orderHistory[amount_sold], SMALL(IF(ISNUMBER(MATCH(orderHistory[customer], $E$9, 0)), MATCH(ROW(orderHistory[customer]),ROW(orderHistory[customer])), ""), ROWS($A$1:I21)+$B$3)),INDEX(orderHistory[amount_sold], SMALL(IF(ISNUMBER(MATCH(orderHistory[customer], $E$9, 0)*MATCH(YEAR(orderHistory[order_date]),$P$5,0)), MATCH(ROW(orderHistory[customer]),ROW(orderHistory[customer])), ""), ROWS($A$1:I21)+$B$3))),"")</f>
        <v/>
      </c>
      <c r="V30" s="306" t="str">
        <f t="array" ref="V30">IFERROR(IF($P$5="",INDEX(orderHistory[status], SMALL(IF(ISNUMBER(MATCH(orderHistory[customer], $E$9, 0)), MATCH(ROW(orderHistory[customer]),ROW(orderHistory[customer])), ""), ROWS($A$1:J21)+$B$3)),INDEX(orderHistory[status], SMALL(IF(ISNUMBER(MATCH(orderHistory[customer], $E$9, 0)*MATCH(YEAR(orderHistory[order_date]),$P$5,0)), MATCH(ROW(orderHistory[customer]),ROW(orderHistory[customer])), ""), ROWS($A$1:J21)+$B$3))),"")</f>
        <v/>
      </c>
      <c r="W30" s="290"/>
      <c r="AQ30" s="274" t="s">
        <v>457</v>
      </c>
      <c r="AR30" s="344" t="e">
        <f>VLOOKUP($AR$10,orderHistory[],10,FALSE)</f>
        <v>#N/A</v>
      </c>
      <c r="AS30" s="572" t="s">
        <v>520</v>
      </c>
      <c r="AT30" s="573"/>
      <c r="AU30" s="269"/>
      <c r="AW30" s="369" t="str">
        <f t="array" ref="AW30">IFERROR(IF($AO$9="ALL","ERR.",INDEX(salesHistory[sku],SMALL(IF(ISNUMBER(MATCH(salesHistory[order_no], $AO$11, 0)), MATCH(ROW(salesHistory[order_no]),ROW(salesHistory[order_no])), ""), ROWS($A$1:A21)+$B$8))),"")</f>
        <v/>
      </c>
      <c r="AX30" s="325" t="str">
        <f t="array" ref="AX30">IFERROR(IF($AO$9="ALL","ERR.",INDEX(salesHistory[description],SMALL(IF(ISNUMBER(MATCH(salesHistory[order_no], $AO$11, 0)), MATCH(ROW(salesHistory[order_no]),ROW(salesHistory[order_no])), ""), ROWS($A$1:A21)+$B$8))),"")</f>
        <v/>
      </c>
      <c r="AY30" s="314" t="str">
        <f t="array" ref="AY30">IFERROR(IF($AO$9="ALL","ERR.",INDEX(salesHistory[qty],SMALL(IF(ISNUMBER(MATCH(salesHistory[order_no], $AO$11, 0)), MATCH(ROW(salesHistory[order_no]),ROW(salesHistory[order_no])), ""), ROWS($A$1:A21)+$B$8))),"")</f>
        <v/>
      </c>
      <c r="AZ30" s="317" t="str">
        <f t="array" ref="AZ30">IFERROR(IF($AO$9="ALL","ERR.",INDEX(salesHistory[sale_price],SMALL(IF(ISNUMBER(MATCH(salesHistory[order_no], $AO$11, 0)), MATCH(ROW(salesHistory[order_no]),ROW(salesHistory[order_no])), ""), ROWS($A$1:A21)+$B$8))),"")</f>
        <v/>
      </c>
      <c r="BA30" s="317" t="str">
        <f t="array" ref="BA30">IFERROR(IF($AO$9="ALL","ERR.",INDEX(salesHistory[cost_price],SMALL(IF(ISNUMBER(MATCH(salesHistory[order_no], $AO$11, 0)), MATCH(ROW(salesHistory[order_no]),ROW(salesHistory[order_no])), ""), ROWS($A$1:A21)+$B$8))),"")</f>
        <v/>
      </c>
      <c r="BB30" s="320" t="str">
        <f t="array" ref="BB30">IFERROR(IF($AO$9="ALL","ERR.",INDEX(salesHistory[disc_qty],SMALL(IF(ISNUMBER(MATCH(salesHistory[order_no], $AO$11, 0)), MATCH(ROW(salesHistory[order_no]),ROW(salesHistory[order_no])), ""), ROWS($A$1:A21)+$B$8))),"")</f>
        <v/>
      </c>
      <c r="BC30" s="326" t="str">
        <f t="array" ref="BC30">IFERROR(IF($AO$9="ALL","ERR.",INDEX(salesHistory[disc_price],SMALL(IF(ISNUMBER(MATCH(salesHistory[order_no], $AO$11, 0)), MATCH(ROW(salesHistory[order_no]),ROW(salesHistory[order_no])), ""), ROWS($A$1:A21)+$B$8))),"")</f>
        <v/>
      </c>
      <c r="BD30" s="314" t="str">
        <f t="array" ref="BD30">IFERROR(IF($AO$9="ALL","ERR.",INDEX(salesHistory[foc_qty],SMALL(IF(ISNUMBER(MATCH(salesHistory[order_no], $AO$11, 0)), MATCH(ROW(salesHistory[order_no]),ROW(salesHistory[order_no])), ""), ROWS($A$1:A21)+$B$8))),"")</f>
        <v/>
      </c>
      <c r="BE30" s="317" t="str">
        <f t="array" ref="BE30">IFERROR(IF($AO$9="ALL","ERR.",INDEX(salesHistory[tot_cost],SMALL(IF(ISNUMBER(MATCH(salesHistory[order_no], $AO$11, 0)), MATCH(ROW(salesHistory[order_no]),ROW(salesHistory[order_no])), ""), ROWS($A$1:A21)+$B$8))),"")</f>
        <v/>
      </c>
      <c r="BF30" s="317" t="str">
        <f t="array" ref="BF30">IFERROR(IF($AO$9="ALL","ERR.",INDEX(salesHistory[tot_sold],SMALL(IF(ISNUMBER(MATCH(salesHistory[order_no], $AO$11, 0)), MATCH(ROW(salesHistory[order_no]),ROW(salesHistory[order_no])), ""), ROWS($A$1:A21)+$B$8))),"")</f>
        <v/>
      </c>
      <c r="BG30" s="314"/>
      <c r="BH30" s="327"/>
      <c r="BI30" s="290"/>
      <c r="BK30" s="381" t="str">
        <f t="array" ref="BK30">IFERROR(IF($AO$9="",INDEX(orderHistory[order_date],ROW()-9),INDEX(orderHistory[order_date], MATCH(0, IF($AO$9=orderHistory[customer],COUNTIF($BK$9:$BK29,orderHistory[order_date]), "")), 0)),"")</f>
        <v/>
      </c>
      <c r="BL30" s="382" t="str">
        <f t="array" ref="BL30">IFERROR(IF($AO$9="ALL",INDEX(orderHistory[order_id],ROW()-9),INDEX(orderHistory[order_id], MATCH(0, IF($AO$9=orderHistory[customer],COUNTIF($BL$9:$BL29,orderHistory[order_id]), "")), 0)),"")</f>
        <v/>
      </c>
      <c r="BM30" s="383" t="str">
        <f t="shared" si="1"/>
        <v/>
      </c>
      <c r="BN30" s="382" t="str">
        <f t="array" aca="1" ref="BN30" ca="1">IFERROR(INDEX(orderYearForSelectedClient, MATCH(0, COUNTIF($BN$9:BN29, orderYearForSelectedClient&amp;"") + IF(orderYearForSelectedClient="",1,0), 0)), "")</f>
        <v/>
      </c>
      <c r="BO30" s="383" t="str">
        <f t="shared" si="0"/>
        <v/>
      </c>
    </row>
    <row r="31" spans="7:90">
      <c r="G31" s="285"/>
      <c r="H31" s="266"/>
      <c r="I31" s="266"/>
      <c r="J31" s="266"/>
      <c r="K31" s="267"/>
      <c r="M31" s="302" t="str">
        <f t="array" ref="M31">IFERROR(IF($P$5="",INDEX(orderHistory[order_id], SMALL(IF(ISNUMBER(MATCH(orderHistory[customer], $E$9, 0)), MATCH(ROW(orderHistory[customer]),ROW(orderHistory[customer])), ""), ROWS($A$1:A22)+$B$3)),INDEX(orderHistory[order_id], SMALL(IF(ISNUMBER(MATCH(orderHistory[customer], $E$9, 0)*MATCH(YEAR(orderHistory[order_date]),$P$5,0)), MATCH(ROW(orderHistory[customer]),ROW(orderHistory[customer])), ""), ROWS($A$1:A22)+$B$3))),"")</f>
        <v/>
      </c>
      <c r="N31" s="303" t="str">
        <f t="array" ref="N31">IFERROR(IF($P$5="",INDEX(orderHistory[order_date], SMALL(IF(ISNUMBER(MATCH(orderHistory[customer], $E$9, 0)), MATCH(ROW(orderHistory[customer]),ROW(orderHistory[customer])), ""), ROWS($A$1:B22)+$B$3)),INDEX(orderHistory[order_date], SMALL(IF(ISNUMBER(MATCH(orderHistory[customer], $E$9, 0)*MATCH(YEAR(orderHistory[order_date]),$P$5,0)), MATCH(ROW(orderHistory[customer]),ROW(orderHistory[customer])), ""), ROWS($A$1:B22)+$B$3))),"")</f>
        <v/>
      </c>
      <c r="O31" s="304" t="str">
        <f t="array" ref="O31">IFERROR(IF($P$5="",INDEX(orderHistory[carton_no], SMALL(IF(ISNUMBER(MATCH(orderHistory[customer], $E$9, 0)), MATCH(ROW(orderHistory[customer]),ROW(orderHistory[customer])), ""), ROWS($A$1:C22)+$B$3)),INDEX(orderHistory[carton_no], SMALL(IF(ISNUMBER(MATCH(orderHistory[customer], $E$9, 0)*MATCH(YEAR(orderHistory[order_date]),$P$5,0)), MATCH(ROW(orderHistory[customer]),ROW(orderHistory[customer])), ""), ROWS($A$1:C22)+$B$3))),"")</f>
        <v/>
      </c>
      <c r="P31" s="304" t="str">
        <f t="array" ref="P31">IFERROR(IF($P$5="",INDEX(orderHistory[pallet_no], SMALL(IF(ISNUMBER(MATCH(orderHistory[customer], $E$9, 0)), MATCH(ROW(orderHistory[customer]),ROW(orderHistory[customer])), ""), ROWS($A$1:D22)+$B$3)),INDEX(orderHistory[pallet_no], SMALL(IF(ISNUMBER(MATCH(orderHistory[customer], $E$9, 0)*MATCH(YEAR(orderHistory[order_date]),$P$5,0)), MATCH(ROW(orderHistory[customer]),ROW(orderHistory[customer])), ""), ROWS($A$1:D22)+$B$3))),"")</f>
        <v/>
      </c>
      <c r="Q31" s="304" t="str">
        <f t="array" ref="Q31">IFERROR(IF($P$5="",INDEX(orderHistory[invoice_no], SMALL(IF(ISNUMBER(MATCH(orderHistory[customer], $E$9, 0)), MATCH(ROW(orderHistory[customer]),ROW(orderHistory[customer])), ""), ROWS($A$1:E22)+$B$3)),INDEX(orderHistory[invoice_no], SMALL(IF(ISNUMBER(MATCH(orderHistory[customer], $E$9, 0)*MATCH(YEAR(orderHistory[order_date]),$P$5,0)), MATCH(ROW(orderHistory[customer]),ROW(orderHistory[customer])), ""), ROWS($A$1:E22)+$B$3))),"")</f>
        <v/>
      </c>
      <c r="R31" s="303" t="str">
        <f t="array" ref="R31">IFERROR(IF($P$5="",INDEX(orderHistory[invoice_date], SMALL(IF(ISNUMBER(MATCH(orderHistory[customer], $E$9, 0)), MATCH(ROW(orderHistory[customer]),ROW(orderHistory[customer])), ""), ROWS($A$1:F22)+$B$3)),INDEX(orderHistory[invoice_date], SMALL(IF(ISNUMBER(MATCH(orderHistory[customer], $E$9, 0)*MATCH(YEAR(orderHistory[order_date]),$P$5,0)), MATCH(ROW(orderHistory[customer]),ROW(orderHistory[customer])), ""), ROWS($A$1:F22)+$B$3))),"")</f>
        <v/>
      </c>
      <c r="S31" s="304" t="str">
        <f t="array" ref="S31">IFERROR(IF($P$5="",INDEX(orderHistory[payed], SMALL(IF(ISNUMBER(MATCH(orderHistory[customer], $E$9, 0)), MATCH(ROW(orderHistory[customer]),ROW(orderHistory[customer])), ""), ROWS($A$1:G22)+$B$3)),INDEX(orderHistory[payed], SMALL(IF(ISNUMBER(MATCH(orderHistory[customer], $E$9, 0)*MATCH(YEAR(orderHistory[order_date]),$P$5,0)), MATCH(ROW(orderHistory[customer]),ROW(orderHistory[customer])), ""), ROWS($A$1:G22)+$B$3))),"")</f>
        <v/>
      </c>
      <c r="T31" s="303" t="str">
        <f t="array" ref="T31">IFERROR(IF($P$5="",INDEX(orderHistory[payment_date], SMALL(IF(ISNUMBER(MATCH(orderHistory[customer], $E$9, 0)), MATCH(ROW(orderHistory[customer]),ROW(orderHistory[customer])), ""), ROWS($A$1:H22)+$B$3)),INDEX(orderHistory[payment_date], SMALL(IF(ISNUMBER(MATCH(orderHistory[customer], $E$9, 0)*MATCH(YEAR(orderHistory[order_date]),$P$5,0)), MATCH(ROW(orderHistory[customer]),ROW(orderHistory[customer])), ""), ROWS($A$1:H22)+$B$3))),"")</f>
        <v/>
      </c>
      <c r="U31" s="305" t="str">
        <f t="array" ref="U31">IFERROR(IF($P$5="",INDEX(orderHistory[amount_sold], SMALL(IF(ISNUMBER(MATCH(orderHistory[customer], $E$9, 0)), MATCH(ROW(orderHistory[customer]),ROW(orderHistory[customer])), ""), ROWS($A$1:I22)+$B$3)),INDEX(orderHistory[amount_sold], SMALL(IF(ISNUMBER(MATCH(orderHistory[customer], $E$9, 0)*MATCH(YEAR(orderHistory[order_date]),$P$5,0)), MATCH(ROW(orderHistory[customer]),ROW(orderHistory[customer])), ""), ROWS($A$1:I22)+$B$3))),"")</f>
        <v/>
      </c>
      <c r="V31" s="306" t="str">
        <f t="array" ref="V31">IFERROR(IF($P$5="",INDEX(orderHistory[status], SMALL(IF(ISNUMBER(MATCH(orderHistory[customer], $E$9, 0)), MATCH(ROW(orderHistory[customer]),ROW(orderHistory[customer])), ""), ROWS($A$1:J22)+$B$3)),INDEX(orderHistory[status], SMALL(IF(ISNUMBER(MATCH(orderHistory[customer], $E$9, 0)*MATCH(YEAR(orderHistory[order_date]),$P$5,0)), MATCH(ROW(orderHistory[customer]),ROW(orderHistory[customer])), ""), ROWS($A$1:J22)+$B$3))),"")</f>
        <v/>
      </c>
      <c r="W31" s="290"/>
      <c r="AQ31" s="274" t="s">
        <v>458</v>
      </c>
      <c r="AR31" s="344" t="e">
        <f>VLOOKUP($AR$10,orderHistory[],11,FALSE)</f>
        <v>#N/A</v>
      </c>
      <c r="AS31" s="572"/>
      <c r="AT31" s="573"/>
      <c r="AU31" s="269"/>
      <c r="AW31" s="369" t="str">
        <f t="array" ref="AW31">IFERROR(IF($AO$9="ALL","ERR.",INDEX(salesHistory[sku],SMALL(IF(ISNUMBER(MATCH(salesHistory[order_no], $AO$11, 0)), MATCH(ROW(salesHistory[order_no]),ROW(salesHistory[order_no])), ""), ROWS($A$1:A22)+$B$8))),"")</f>
        <v/>
      </c>
      <c r="AX31" s="325" t="str">
        <f t="array" ref="AX31">IFERROR(IF($AO$9="ALL","ERR.",INDEX(salesHistory[description],SMALL(IF(ISNUMBER(MATCH(salesHistory[order_no], $AO$11, 0)), MATCH(ROW(salesHistory[order_no]),ROW(salesHistory[order_no])), ""), ROWS($A$1:A22)+$B$8))),"")</f>
        <v/>
      </c>
      <c r="AY31" s="314" t="str">
        <f t="array" ref="AY31">IFERROR(IF($AO$9="ALL","ERR.",INDEX(salesHistory[qty],SMALL(IF(ISNUMBER(MATCH(salesHistory[order_no], $AO$11, 0)), MATCH(ROW(salesHistory[order_no]),ROW(salesHistory[order_no])), ""), ROWS($A$1:A22)+$B$8))),"")</f>
        <v/>
      </c>
      <c r="AZ31" s="317" t="str">
        <f t="array" ref="AZ31">IFERROR(IF($AO$9="ALL","ERR.",INDEX(salesHistory[sale_price],SMALL(IF(ISNUMBER(MATCH(salesHistory[order_no], $AO$11, 0)), MATCH(ROW(salesHistory[order_no]),ROW(salesHistory[order_no])), ""), ROWS($A$1:A22)+$B$8))),"")</f>
        <v/>
      </c>
      <c r="BA31" s="317" t="str">
        <f t="array" ref="BA31">IFERROR(IF($AO$9="ALL","ERR.",INDEX(salesHistory[cost_price],SMALL(IF(ISNUMBER(MATCH(salesHistory[order_no], $AO$11, 0)), MATCH(ROW(salesHistory[order_no]),ROW(salesHistory[order_no])), ""), ROWS($A$1:A22)+$B$8))),"")</f>
        <v/>
      </c>
      <c r="BB31" s="320" t="str">
        <f t="array" ref="BB31">IFERROR(IF($AO$9="ALL","ERR.",INDEX(salesHistory[disc_qty],SMALL(IF(ISNUMBER(MATCH(salesHistory[order_no], $AO$11, 0)), MATCH(ROW(salesHistory[order_no]),ROW(salesHistory[order_no])), ""), ROWS($A$1:A22)+$B$8))),"")</f>
        <v/>
      </c>
      <c r="BC31" s="326" t="str">
        <f t="array" ref="BC31">IFERROR(IF($AO$9="ALL","ERR.",INDEX(salesHistory[disc_price],SMALL(IF(ISNUMBER(MATCH(salesHistory[order_no], $AO$11, 0)), MATCH(ROW(salesHistory[order_no]),ROW(salesHistory[order_no])), ""), ROWS($A$1:A22)+$B$8))),"")</f>
        <v/>
      </c>
      <c r="BD31" s="314" t="str">
        <f t="array" ref="BD31">IFERROR(IF($AO$9="ALL","ERR.",INDEX(salesHistory[foc_qty],SMALL(IF(ISNUMBER(MATCH(salesHistory[order_no], $AO$11, 0)), MATCH(ROW(salesHistory[order_no]),ROW(salesHistory[order_no])), ""), ROWS($A$1:A22)+$B$8))),"")</f>
        <v/>
      </c>
      <c r="BE31" s="317" t="str">
        <f t="array" ref="BE31">IFERROR(IF($AO$9="ALL","ERR.",INDEX(salesHistory[tot_cost],SMALL(IF(ISNUMBER(MATCH(salesHistory[order_no], $AO$11, 0)), MATCH(ROW(salesHistory[order_no]),ROW(salesHistory[order_no])), ""), ROWS($A$1:A22)+$B$8))),"")</f>
        <v/>
      </c>
      <c r="BF31" s="317" t="str">
        <f t="array" ref="BF31">IFERROR(IF($AO$9="ALL","ERR.",INDEX(salesHistory[tot_sold],SMALL(IF(ISNUMBER(MATCH(salesHistory[order_no], $AO$11, 0)), MATCH(ROW(salesHistory[order_no]),ROW(salesHistory[order_no])), ""), ROWS($A$1:A22)+$B$8))),"")</f>
        <v/>
      </c>
      <c r="BG31" s="314"/>
      <c r="BH31" s="327"/>
      <c r="BI31" s="290"/>
      <c r="BK31" s="381" t="str">
        <f t="array" ref="BK31">IFERROR(IF($AO$9="",INDEX(orderHistory[order_date],ROW()-9),INDEX(orderHistory[order_date], MATCH(0, IF($AO$9=orderHistory[customer],COUNTIF($BK$9:$BK30,orderHistory[order_date]), "")), 0)),"")</f>
        <v/>
      </c>
      <c r="BL31" s="382" t="str">
        <f t="array" ref="BL31">IFERROR(IF($AO$9="ALL",INDEX(orderHistory[order_id],ROW()-9),INDEX(orderHistory[order_id], MATCH(0, IF($AO$9=orderHistory[customer],COUNTIF($BL$9:$BL30,orderHistory[order_id]), "")), 0)),"")</f>
        <v/>
      </c>
      <c r="BM31" s="383" t="str">
        <f t="shared" si="1"/>
        <v/>
      </c>
      <c r="BN31" s="382" t="str">
        <f t="array" aca="1" ref="BN31" ca="1">IFERROR(INDEX(orderYearForSelectedClient, MATCH(0, COUNTIF($BN$9:BN30, orderYearForSelectedClient&amp;"") + IF(orderYearForSelectedClient="",1,0), 0)), "")</f>
        <v/>
      </c>
      <c r="BO31" s="383" t="str">
        <f t="shared" si="0"/>
        <v/>
      </c>
    </row>
    <row r="32" spans="7:90">
      <c r="G32" s="273" t="s">
        <v>504</v>
      </c>
      <c r="H32" s="294">
        <f>COUNTIF(orderHistory[customer],$E$9)</f>
        <v>0</v>
      </c>
      <c r="I32" s="268"/>
      <c r="J32" s="268"/>
      <c r="K32" s="269"/>
      <c r="M32" s="302" t="str">
        <f t="array" ref="M32">IFERROR(IF($P$5="",INDEX(orderHistory[order_id], SMALL(IF(ISNUMBER(MATCH(orderHistory[customer], $E$9, 0)), MATCH(ROW(orderHistory[customer]),ROW(orderHistory[customer])), ""), ROWS($A$1:A23)+$B$3)),INDEX(orderHistory[order_id], SMALL(IF(ISNUMBER(MATCH(orderHistory[customer], $E$9, 0)*MATCH(YEAR(orderHistory[order_date]),$P$5,0)), MATCH(ROW(orderHistory[customer]),ROW(orderHistory[customer])), ""), ROWS($A$1:A23)+$B$3))),"")</f>
        <v/>
      </c>
      <c r="N32" s="303" t="str">
        <f t="array" ref="N32">IFERROR(IF($P$5="",INDEX(orderHistory[order_date], SMALL(IF(ISNUMBER(MATCH(orderHistory[customer], $E$9, 0)), MATCH(ROW(orderHistory[customer]),ROW(orderHistory[customer])), ""), ROWS($A$1:B23)+$B$3)),INDEX(orderHistory[order_date], SMALL(IF(ISNUMBER(MATCH(orderHistory[customer], $E$9, 0)*MATCH(YEAR(orderHistory[order_date]),$P$5,0)), MATCH(ROW(orderHistory[customer]),ROW(orderHistory[customer])), ""), ROWS($A$1:B23)+$B$3))),"")</f>
        <v/>
      </c>
      <c r="O32" s="304" t="str">
        <f t="array" ref="O32">IFERROR(IF($P$5="",INDEX(orderHistory[carton_no], SMALL(IF(ISNUMBER(MATCH(orderHistory[customer], $E$9, 0)), MATCH(ROW(orderHistory[customer]),ROW(orderHistory[customer])), ""), ROWS($A$1:C23)+$B$3)),INDEX(orderHistory[carton_no], SMALL(IF(ISNUMBER(MATCH(orderHistory[customer], $E$9, 0)*MATCH(YEAR(orderHistory[order_date]),$P$5,0)), MATCH(ROW(orderHistory[customer]),ROW(orderHistory[customer])), ""), ROWS($A$1:C23)+$B$3))),"")</f>
        <v/>
      </c>
      <c r="P32" s="304" t="str">
        <f t="array" ref="P32">IFERROR(IF($P$5="",INDEX(orderHistory[pallet_no], SMALL(IF(ISNUMBER(MATCH(orderHistory[customer], $E$9, 0)), MATCH(ROW(orderHistory[customer]),ROW(orderHistory[customer])), ""), ROWS($A$1:D23)+$B$3)),INDEX(orderHistory[pallet_no], SMALL(IF(ISNUMBER(MATCH(orderHistory[customer], $E$9, 0)*MATCH(YEAR(orderHistory[order_date]),$P$5,0)), MATCH(ROW(orderHistory[customer]),ROW(orderHistory[customer])), ""), ROWS($A$1:D23)+$B$3))),"")</f>
        <v/>
      </c>
      <c r="Q32" s="304" t="str">
        <f t="array" ref="Q32">IFERROR(IF($P$5="",INDEX(orderHistory[invoice_no], SMALL(IF(ISNUMBER(MATCH(orderHistory[customer], $E$9, 0)), MATCH(ROW(orderHistory[customer]),ROW(orderHistory[customer])), ""), ROWS($A$1:E23)+$B$3)),INDEX(orderHistory[invoice_no], SMALL(IF(ISNUMBER(MATCH(orderHistory[customer], $E$9, 0)*MATCH(YEAR(orderHistory[order_date]),$P$5,0)), MATCH(ROW(orderHistory[customer]),ROW(orderHistory[customer])), ""), ROWS($A$1:E23)+$B$3))),"")</f>
        <v/>
      </c>
      <c r="R32" s="303" t="str">
        <f t="array" ref="R32">IFERROR(IF($P$5="",INDEX(orderHistory[invoice_date], SMALL(IF(ISNUMBER(MATCH(orderHistory[customer], $E$9, 0)), MATCH(ROW(orderHistory[customer]),ROW(orderHistory[customer])), ""), ROWS($A$1:F23)+$B$3)),INDEX(orderHistory[invoice_date], SMALL(IF(ISNUMBER(MATCH(orderHistory[customer], $E$9, 0)*MATCH(YEAR(orderHistory[order_date]),$P$5,0)), MATCH(ROW(orderHistory[customer]),ROW(orderHistory[customer])), ""), ROWS($A$1:F23)+$B$3))),"")</f>
        <v/>
      </c>
      <c r="S32" s="304" t="str">
        <f t="array" ref="S32">IFERROR(IF($P$5="",INDEX(orderHistory[payed], SMALL(IF(ISNUMBER(MATCH(orderHistory[customer], $E$9, 0)), MATCH(ROW(orderHistory[customer]),ROW(orderHistory[customer])), ""), ROWS($A$1:G23)+$B$3)),INDEX(orderHistory[payed], SMALL(IF(ISNUMBER(MATCH(orderHistory[customer], $E$9, 0)*MATCH(YEAR(orderHistory[order_date]),$P$5,0)), MATCH(ROW(orderHistory[customer]),ROW(orderHistory[customer])), ""), ROWS($A$1:G23)+$B$3))),"")</f>
        <v/>
      </c>
      <c r="T32" s="303" t="str">
        <f t="array" ref="T32">IFERROR(IF($P$5="",INDEX(orderHistory[payment_date], SMALL(IF(ISNUMBER(MATCH(orderHistory[customer], $E$9, 0)), MATCH(ROW(orderHistory[customer]),ROW(orderHistory[customer])), ""), ROWS($A$1:H23)+$B$3)),INDEX(orderHistory[payment_date], SMALL(IF(ISNUMBER(MATCH(orderHistory[customer], $E$9, 0)*MATCH(YEAR(orderHistory[order_date]),$P$5,0)), MATCH(ROW(orderHistory[customer]),ROW(orderHistory[customer])), ""), ROWS($A$1:H23)+$B$3))),"")</f>
        <v/>
      </c>
      <c r="U32" s="305" t="str">
        <f t="array" ref="U32">IFERROR(IF($P$5="",INDEX(orderHistory[amount_sold], SMALL(IF(ISNUMBER(MATCH(orderHistory[customer], $E$9, 0)), MATCH(ROW(orderHistory[customer]),ROW(orderHistory[customer])), ""), ROWS($A$1:I23)+$B$3)),INDEX(orderHistory[amount_sold], SMALL(IF(ISNUMBER(MATCH(orderHistory[customer], $E$9, 0)*MATCH(YEAR(orderHistory[order_date]),$P$5,0)), MATCH(ROW(orderHistory[customer]),ROW(orderHistory[customer])), ""), ROWS($A$1:I23)+$B$3))),"")</f>
        <v/>
      </c>
      <c r="V32" s="306" t="str">
        <f t="array" ref="V32">IFERROR(IF($P$5="",INDEX(orderHistory[status], SMALL(IF(ISNUMBER(MATCH(orderHistory[customer], $E$9, 0)), MATCH(ROW(orderHistory[customer]),ROW(orderHistory[customer])), ""), ROWS($A$1:J23)+$B$3)),INDEX(orderHistory[status], SMALL(IF(ISNUMBER(MATCH(orderHistory[customer], $E$9, 0)*MATCH(YEAR(orderHistory[order_date]),$P$5,0)), MATCH(ROW(orderHistory[customer]),ROW(orderHistory[customer])), ""), ROWS($A$1:J23)+$B$3))),"")</f>
        <v/>
      </c>
      <c r="W32" s="290"/>
      <c r="AQ32" s="274" t="s">
        <v>519</v>
      </c>
      <c r="AR32" s="345" t="e">
        <f>AR31+(AR29*IF(AR28="80x120",20,25))</f>
        <v>#N/A</v>
      </c>
      <c r="AS32" s="343"/>
      <c r="AT32" s="343"/>
      <c r="AU32" s="269"/>
      <c r="AW32" s="369" t="str">
        <f t="array" ref="AW32">IFERROR(IF($AO$9="ALL","ERR.",INDEX(salesHistory[sku],SMALL(IF(ISNUMBER(MATCH(salesHistory[order_no], $AO$11, 0)), MATCH(ROW(salesHistory[order_no]),ROW(salesHistory[order_no])), ""), ROWS($A$1:A23)+$B$8))),"")</f>
        <v/>
      </c>
      <c r="AX32" s="325" t="str">
        <f t="array" ref="AX32">IFERROR(IF($AO$9="ALL","ERR.",INDEX(salesHistory[description],SMALL(IF(ISNUMBER(MATCH(salesHistory[order_no], $AO$11, 0)), MATCH(ROW(salesHistory[order_no]),ROW(salesHistory[order_no])), ""), ROWS($A$1:A23)+$B$8))),"")</f>
        <v/>
      </c>
      <c r="AY32" s="314" t="str">
        <f t="array" ref="AY32">IFERROR(IF($AO$9="ALL","ERR.",INDEX(salesHistory[qty],SMALL(IF(ISNUMBER(MATCH(salesHistory[order_no], $AO$11, 0)), MATCH(ROW(salesHistory[order_no]),ROW(salesHistory[order_no])), ""), ROWS($A$1:A23)+$B$8))),"")</f>
        <v/>
      </c>
      <c r="AZ32" s="317" t="str">
        <f t="array" ref="AZ32">IFERROR(IF($AO$9="ALL","ERR.",INDEX(salesHistory[sale_price],SMALL(IF(ISNUMBER(MATCH(salesHistory[order_no], $AO$11, 0)), MATCH(ROW(salesHistory[order_no]),ROW(salesHistory[order_no])), ""), ROWS($A$1:A23)+$B$8))),"")</f>
        <v/>
      </c>
      <c r="BA32" s="317" t="str">
        <f t="array" ref="BA32">IFERROR(IF($AO$9="ALL","ERR.",INDEX(salesHistory[cost_price],SMALL(IF(ISNUMBER(MATCH(salesHistory[order_no], $AO$11, 0)), MATCH(ROW(salesHistory[order_no]),ROW(salesHistory[order_no])), ""), ROWS($A$1:A23)+$B$8))),"")</f>
        <v/>
      </c>
      <c r="BB32" s="320" t="str">
        <f t="array" ref="BB32">IFERROR(IF($AO$9="ALL","ERR.",INDEX(salesHistory[disc_qty],SMALL(IF(ISNUMBER(MATCH(salesHistory[order_no], $AO$11, 0)), MATCH(ROW(salesHistory[order_no]),ROW(salesHistory[order_no])), ""), ROWS($A$1:A23)+$B$8))),"")</f>
        <v/>
      </c>
      <c r="BC32" s="326" t="str">
        <f t="array" ref="BC32">IFERROR(IF($AO$9="ALL","ERR.",INDEX(salesHistory[disc_price],SMALL(IF(ISNUMBER(MATCH(salesHistory[order_no], $AO$11, 0)), MATCH(ROW(salesHistory[order_no]),ROW(salesHistory[order_no])), ""), ROWS($A$1:A23)+$B$8))),"")</f>
        <v/>
      </c>
      <c r="BD32" s="314" t="str">
        <f t="array" ref="BD32">IFERROR(IF($AO$9="ALL","ERR.",INDEX(salesHistory[foc_qty],SMALL(IF(ISNUMBER(MATCH(salesHistory[order_no], $AO$11, 0)), MATCH(ROW(salesHistory[order_no]),ROW(salesHistory[order_no])), ""), ROWS($A$1:A23)+$B$8))),"")</f>
        <v/>
      </c>
      <c r="BE32" s="317" t="str">
        <f t="array" ref="BE32">IFERROR(IF($AO$9="ALL","ERR.",INDEX(salesHistory[tot_cost],SMALL(IF(ISNUMBER(MATCH(salesHistory[order_no], $AO$11, 0)), MATCH(ROW(salesHistory[order_no]),ROW(salesHistory[order_no])), ""), ROWS($A$1:A23)+$B$8))),"")</f>
        <v/>
      </c>
      <c r="BF32" s="317" t="str">
        <f t="array" ref="BF32">IFERROR(IF($AO$9="ALL","ERR.",INDEX(salesHistory[tot_sold],SMALL(IF(ISNUMBER(MATCH(salesHistory[order_no], $AO$11, 0)), MATCH(ROW(salesHistory[order_no]),ROW(salesHistory[order_no])), ""), ROWS($A$1:A23)+$B$8))),"")</f>
        <v/>
      </c>
      <c r="BG32" s="314"/>
      <c r="BH32" s="327"/>
      <c r="BI32" s="290"/>
      <c r="BK32" s="381" t="str">
        <f t="array" ref="BK32">IFERROR(IF($AO$9="",INDEX(orderHistory[order_date],ROW()-9),INDEX(orderHistory[order_date], MATCH(0, IF($AO$9=orderHistory[customer],COUNTIF($BK$9:$BK31,orderHistory[order_date]), "")), 0)),"")</f>
        <v/>
      </c>
      <c r="BL32" s="382" t="str">
        <f t="array" ref="BL32">IFERROR(IF($AO$9="ALL",INDEX(orderHistory[order_id],ROW()-9),INDEX(orderHistory[order_id], MATCH(0, IF($AO$9=orderHistory[customer],COUNTIF($BL$9:$BL31,orderHistory[order_id]), "")), 0)),"")</f>
        <v/>
      </c>
      <c r="BM32" s="383" t="str">
        <f t="shared" si="1"/>
        <v/>
      </c>
      <c r="BN32" s="382" t="str">
        <f t="array" aca="1" ref="BN32" ca="1">IFERROR(INDEX(orderYearForSelectedClient, MATCH(0, COUNTIF($BN$9:BN31, orderYearForSelectedClient&amp;"") + IF(orderYearForSelectedClient="",1,0), 0)), "")</f>
        <v/>
      </c>
      <c r="BO32" s="383" t="str">
        <f t="shared" si="0"/>
        <v/>
      </c>
    </row>
    <row r="33" spans="7:67">
      <c r="G33" s="293"/>
      <c r="H33" s="268"/>
      <c r="I33" s="268"/>
      <c r="J33" s="268"/>
      <c r="K33" s="269"/>
      <c r="M33" s="302" t="str">
        <f t="array" ref="M33">IFERROR(IF($P$5="",INDEX(orderHistory[order_id], SMALL(IF(ISNUMBER(MATCH(orderHistory[customer], $E$9, 0)), MATCH(ROW(orderHistory[customer]),ROW(orderHistory[customer])), ""), ROWS($A$1:A24)+$B$3)),INDEX(orderHistory[order_id], SMALL(IF(ISNUMBER(MATCH(orderHistory[customer], $E$9, 0)*MATCH(YEAR(orderHistory[order_date]),$P$5,0)), MATCH(ROW(orderHistory[customer]),ROW(orderHistory[customer])), ""), ROWS($A$1:A24)+$B$3))),"")</f>
        <v/>
      </c>
      <c r="N33" s="303" t="str">
        <f t="array" ref="N33">IFERROR(IF($P$5="",INDEX(orderHistory[order_date], SMALL(IF(ISNUMBER(MATCH(orderHistory[customer], $E$9, 0)), MATCH(ROW(orderHistory[customer]),ROW(orderHistory[customer])), ""), ROWS($A$1:B24)+$B$3)),INDEX(orderHistory[order_date], SMALL(IF(ISNUMBER(MATCH(orderHistory[customer], $E$9, 0)*MATCH(YEAR(orderHistory[order_date]),$P$5,0)), MATCH(ROW(orderHistory[customer]),ROW(orderHistory[customer])), ""), ROWS($A$1:B24)+$B$3))),"")</f>
        <v/>
      </c>
      <c r="O33" s="304" t="str">
        <f t="array" ref="O33">IFERROR(IF($P$5="",INDEX(orderHistory[carton_no], SMALL(IF(ISNUMBER(MATCH(orderHistory[customer], $E$9, 0)), MATCH(ROW(orderHistory[customer]),ROW(orderHistory[customer])), ""), ROWS($A$1:C24)+$B$3)),INDEX(orderHistory[carton_no], SMALL(IF(ISNUMBER(MATCH(orderHistory[customer], $E$9, 0)*MATCH(YEAR(orderHistory[order_date]),$P$5,0)), MATCH(ROW(orderHistory[customer]),ROW(orderHistory[customer])), ""), ROWS($A$1:C24)+$B$3))),"")</f>
        <v/>
      </c>
      <c r="P33" s="304" t="str">
        <f t="array" ref="P33">IFERROR(IF($P$5="",INDEX(orderHistory[pallet_no], SMALL(IF(ISNUMBER(MATCH(orderHistory[customer], $E$9, 0)), MATCH(ROW(orderHistory[customer]),ROW(orderHistory[customer])), ""), ROWS($A$1:D24)+$B$3)),INDEX(orderHistory[pallet_no], SMALL(IF(ISNUMBER(MATCH(orderHistory[customer], $E$9, 0)*MATCH(YEAR(orderHistory[order_date]),$P$5,0)), MATCH(ROW(orderHistory[customer]),ROW(orderHistory[customer])), ""), ROWS($A$1:D24)+$B$3))),"")</f>
        <v/>
      </c>
      <c r="Q33" s="304" t="str">
        <f t="array" ref="Q33">IFERROR(IF($P$5="",INDEX(orderHistory[invoice_no], SMALL(IF(ISNUMBER(MATCH(orderHistory[customer], $E$9, 0)), MATCH(ROW(orderHistory[customer]),ROW(orderHistory[customer])), ""), ROWS($A$1:E24)+$B$3)),INDEX(orderHistory[invoice_no], SMALL(IF(ISNUMBER(MATCH(orderHistory[customer], $E$9, 0)*MATCH(YEAR(orderHistory[order_date]),$P$5,0)), MATCH(ROW(orderHistory[customer]),ROW(orderHistory[customer])), ""), ROWS($A$1:E24)+$B$3))),"")</f>
        <v/>
      </c>
      <c r="R33" s="303" t="str">
        <f t="array" ref="R33">IFERROR(IF($P$5="",INDEX(orderHistory[invoice_date], SMALL(IF(ISNUMBER(MATCH(orderHistory[customer], $E$9, 0)), MATCH(ROW(orderHistory[customer]),ROW(orderHistory[customer])), ""), ROWS($A$1:F24)+$B$3)),INDEX(orderHistory[invoice_date], SMALL(IF(ISNUMBER(MATCH(orderHistory[customer], $E$9, 0)*MATCH(YEAR(orderHistory[order_date]),$P$5,0)), MATCH(ROW(orderHistory[customer]),ROW(orderHistory[customer])), ""), ROWS($A$1:F24)+$B$3))),"")</f>
        <v/>
      </c>
      <c r="S33" s="304" t="str">
        <f t="array" ref="S33">IFERROR(IF($P$5="",INDEX(orderHistory[payed], SMALL(IF(ISNUMBER(MATCH(orderHistory[customer], $E$9, 0)), MATCH(ROW(orderHistory[customer]),ROW(orderHistory[customer])), ""), ROWS($A$1:G24)+$B$3)),INDEX(orderHistory[payed], SMALL(IF(ISNUMBER(MATCH(orderHistory[customer], $E$9, 0)*MATCH(YEAR(orderHistory[order_date]),$P$5,0)), MATCH(ROW(orderHistory[customer]),ROW(orderHistory[customer])), ""), ROWS($A$1:G24)+$B$3))),"")</f>
        <v/>
      </c>
      <c r="T33" s="303" t="str">
        <f t="array" ref="T33">IFERROR(IF($P$5="",INDEX(orderHistory[payment_date], SMALL(IF(ISNUMBER(MATCH(orderHistory[customer], $E$9, 0)), MATCH(ROW(orderHistory[customer]),ROW(orderHistory[customer])), ""), ROWS($A$1:H24)+$B$3)),INDEX(orderHistory[payment_date], SMALL(IF(ISNUMBER(MATCH(orderHistory[customer], $E$9, 0)*MATCH(YEAR(orderHistory[order_date]),$P$5,0)), MATCH(ROW(orderHistory[customer]),ROW(orderHistory[customer])), ""), ROWS($A$1:H24)+$B$3))),"")</f>
        <v/>
      </c>
      <c r="U33" s="305" t="str">
        <f t="array" ref="U33">IFERROR(IF($P$5="",INDEX(orderHistory[amount_sold], SMALL(IF(ISNUMBER(MATCH(orderHistory[customer], $E$9, 0)), MATCH(ROW(orderHistory[customer]),ROW(orderHistory[customer])), ""), ROWS($A$1:I24)+$B$3)),INDEX(orderHistory[amount_sold], SMALL(IF(ISNUMBER(MATCH(orderHistory[customer], $E$9, 0)*MATCH(YEAR(orderHistory[order_date]),$P$5,0)), MATCH(ROW(orderHistory[customer]),ROW(orderHistory[customer])), ""), ROWS($A$1:I24)+$B$3))),"")</f>
        <v/>
      </c>
      <c r="V33" s="306" t="str">
        <f t="array" ref="V33">IFERROR(IF($P$5="",INDEX(orderHistory[status], SMALL(IF(ISNUMBER(MATCH(orderHistory[customer], $E$9, 0)), MATCH(ROW(orderHistory[customer]),ROW(orderHistory[customer])), ""), ROWS($A$1:J24)+$B$3)),INDEX(orderHistory[status], SMALL(IF(ISNUMBER(MATCH(orderHistory[customer], $E$9, 0)*MATCH(YEAR(orderHistory[order_date]),$P$5,0)), MATCH(ROW(orderHistory[customer]),ROW(orderHistory[customer])), ""), ROWS($A$1:J24)+$B$3))),"")</f>
        <v/>
      </c>
      <c r="W33" s="290"/>
      <c r="AQ33" s="274" t="s">
        <v>459</v>
      </c>
      <c r="AR33" s="574"/>
      <c r="AS33" s="575"/>
      <c r="AT33" s="576"/>
      <c r="AU33" s="269"/>
      <c r="AW33" s="369" t="str">
        <f t="array" ref="AW33">IFERROR(IF($AO$9="ALL","ERR.",INDEX(salesHistory[sku],SMALL(IF(ISNUMBER(MATCH(salesHistory[order_no], $AO$11, 0)), MATCH(ROW(salesHistory[order_no]),ROW(salesHistory[order_no])), ""), ROWS($A$1:A24)+$B$8))),"")</f>
        <v/>
      </c>
      <c r="AX33" s="325" t="str">
        <f t="array" ref="AX33">IFERROR(IF($AO$9="ALL","ERR.",INDEX(salesHistory[description],SMALL(IF(ISNUMBER(MATCH(salesHistory[order_no], $AO$11, 0)), MATCH(ROW(salesHistory[order_no]),ROW(salesHistory[order_no])), ""), ROWS($A$1:A24)+$B$8))),"")</f>
        <v/>
      </c>
      <c r="AY33" s="314" t="str">
        <f t="array" ref="AY33">IFERROR(IF($AO$9="ALL","ERR.",INDEX(salesHistory[qty],SMALL(IF(ISNUMBER(MATCH(salesHistory[order_no], $AO$11, 0)), MATCH(ROW(salesHistory[order_no]),ROW(salesHistory[order_no])), ""), ROWS($A$1:A24)+$B$8))),"")</f>
        <v/>
      </c>
      <c r="AZ33" s="317" t="str">
        <f t="array" ref="AZ33">IFERROR(IF($AO$9="ALL","ERR.",INDEX(salesHistory[sale_price],SMALL(IF(ISNUMBER(MATCH(salesHistory[order_no], $AO$11, 0)), MATCH(ROW(salesHistory[order_no]),ROW(salesHistory[order_no])), ""), ROWS($A$1:A24)+$B$8))),"")</f>
        <v/>
      </c>
      <c r="BA33" s="317" t="str">
        <f t="array" ref="BA33">IFERROR(IF($AO$9="ALL","ERR.",INDEX(salesHistory[cost_price],SMALL(IF(ISNUMBER(MATCH(salesHistory[order_no], $AO$11, 0)), MATCH(ROW(salesHistory[order_no]),ROW(salesHistory[order_no])), ""), ROWS($A$1:A24)+$B$8))),"")</f>
        <v/>
      </c>
      <c r="BB33" s="320" t="str">
        <f t="array" ref="BB33">IFERROR(IF($AO$9="ALL","ERR.",INDEX(salesHistory[disc_qty],SMALL(IF(ISNUMBER(MATCH(salesHistory[order_no], $AO$11, 0)), MATCH(ROW(salesHistory[order_no]),ROW(salesHistory[order_no])), ""), ROWS($A$1:A24)+$B$8))),"")</f>
        <v/>
      </c>
      <c r="BC33" s="326" t="str">
        <f t="array" ref="BC33">IFERROR(IF($AO$9="ALL","ERR.",INDEX(salesHistory[disc_price],SMALL(IF(ISNUMBER(MATCH(salesHistory[order_no], $AO$11, 0)), MATCH(ROW(salesHistory[order_no]),ROW(salesHistory[order_no])), ""), ROWS($A$1:A24)+$B$8))),"")</f>
        <v/>
      </c>
      <c r="BD33" s="314" t="str">
        <f t="array" ref="BD33">IFERROR(IF($AO$9="ALL","ERR.",INDEX(salesHistory[foc_qty],SMALL(IF(ISNUMBER(MATCH(salesHistory[order_no], $AO$11, 0)), MATCH(ROW(salesHistory[order_no]),ROW(salesHistory[order_no])), ""), ROWS($A$1:A24)+$B$8))),"")</f>
        <v/>
      </c>
      <c r="BE33" s="317" t="str">
        <f t="array" ref="BE33">IFERROR(IF($AO$9="ALL","ERR.",INDEX(salesHistory[tot_cost],SMALL(IF(ISNUMBER(MATCH(salesHistory[order_no], $AO$11, 0)), MATCH(ROW(salesHistory[order_no]),ROW(salesHistory[order_no])), ""), ROWS($A$1:A24)+$B$8))),"")</f>
        <v/>
      </c>
      <c r="BF33" s="317" t="str">
        <f t="array" ref="BF33">IFERROR(IF($AO$9="ALL","ERR.",INDEX(salesHistory[tot_sold],SMALL(IF(ISNUMBER(MATCH(salesHistory[order_no], $AO$11, 0)), MATCH(ROW(salesHistory[order_no]),ROW(salesHistory[order_no])), ""), ROWS($A$1:A24)+$B$8))),"")</f>
        <v/>
      </c>
      <c r="BG33" s="314"/>
      <c r="BH33" s="327"/>
      <c r="BI33" s="290"/>
      <c r="BK33" s="381" t="str">
        <f t="array" ref="BK33">IFERROR(IF($AO$9="",INDEX(orderHistory[order_date],ROW()-9),INDEX(orderHistory[order_date], MATCH(0, IF($AO$9=orderHistory[customer],COUNTIF($BK$9:$BK32,orderHistory[order_date]), "")), 0)),"")</f>
        <v/>
      </c>
      <c r="BL33" s="382" t="str">
        <f t="array" ref="BL33">IFERROR(IF($AO$9="ALL",INDEX(orderHistory[order_id],ROW()-9),INDEX(orderHistory[order_id], MATCH(0, IF($AO$9=orderHistory[customer],COUNTIF($BL$9:$BL32,orderHistory[order_id]), "")), 0)),"")</f>
        <v/>
      </c>
      <c r="BM33" s="383" t="str">
        <f t="shared" si="1"/>
        <v/>
      </c>
      <c r="BN33" s="382" t="str">
        <f t="array" aca="1" ref="BN33" ca="1">IFERROR(INDEX(orderYearForSelectedClient, MATCH(0, COUNTIF($BN$9:BN32, orderYearForSelectedClient&amp;"") + IF(orderYearForSelectedClient="",1,0), 0)), "")</f>
        <v/>
      </c>
      <c r="BO33" s="383" t="str">
        <f t="shared" si="0"/>
        <v/>
      </c>
    </row>
    <row r="34" spans="7:67">
      <c r="G34" s="273" t="s">
        <v>499</v>
      </c>
      <c r="H34" s="585">
        <f>MIN($N$10:$N$40)</f>
        <v>0</v>
      </c>
      <c r="I34" s="586"/>
      <c r="J34" s="268"/>
      <c r="K34" s="269"/>
      <c r="M34" s="302" t="str">
        <f t="array" ref="M34">IFERROR(IF($P$5="",INDEX(orderHistory[order_id], SMALL(IF(ISNUMBER(MATCH(orderHistory[customer], $E$9, 0)), MATCH(ROW(orderHistory[customer]),ROW(orderHistory[customer])), ""), ROWS($A$1:A25)+$B$3)),INDEX(orderHistory[order_id], SMALL(IF(ISNUMBER(MATCH(orderHistory[customer], $E$9, 0)*MATCH(YEAR(orderHistory[order_date]),$P$5,0)), MATCH(ROW(orderHistory[customer]),ROW(orderHistory[customer])), ""), ROWS($A$1:A25)+$B$3))),"")</f>
        <v/>
      </c>
      <c r="N34" s="303" t="str">
        <f t="array" ref="N34">IFERROR(IF($P$5="",INDEX(orderHistory[order_date], SMALL(IF(ISNUMBER(MATCH(orderHistory[customer], $E$9, 0)), MATCH(ROW(orderHistory[customer]),ROW(orderHistory[customer])), ""), ROWS($A$1:B25)+$B$3)),INDEX(orderHistory[order_date], SMALL(IF(ISNUMBER(MATCH(orderHistory[customer], $E$9, 0)*MATCH(YEAR(orderHistory[order_date]),$P$5,0)), MATCH(ROW(orderHistory[customer]),ROW(orderHistory[customer])), ""), ROWS($A$1:B25)+$B$3))),"")</f>
        <v/>
      </c>
      <c r="O34" s="304" t="str">
        <f t="array" ref="O34">IFERROR(IF($P$5="",INDEX(orderHistory[carton_no], SMALL(IF(ISNUMBER(MATCH(orderHistory[customer], $E$9, 0)), MATCH(ROW(orderHistory[customer]),ROW(orderHistory[customer])), ""), ROWS($A$1:C25)+$B$3)),INDEX(orderHistory[carton_no], SMALL(IF(ISNUMBER(MATCH(orderHistory[customer], $E$9, 0)*MATCH(YEAR(orderHistory[order_date]),$P$5,0)), MATCH(ROW(orderHistory[customer]),ROW(orderHistory[customer])), ""), ROWS($A$1:C25)+$B$3))),"")</f>
        <v/>
      </c>
      <c r="P34" s="304" t="str">
        <f t="array" ref="P34">IFERROR(IF($P$5="",INDEX(orderHistory[pallet_no], SMALL(IF(ISNUMBER(MATCH(orderHistory[customer], $E$9, 0)), MATCH(ROW(orderHistory[customer]),ROW(orderHistory[customer])), ""), ROWS($A$1:D25)+$B$3)),INDEX(orderHistory[pallet_no], SMALL(IF(ISNUMBER(MATCH(orderHistory[customer], $E$9, 0)*MATCH(YEAR(orderHistory[order_date]),$P$5,0)), MATCH(ROW(orderHistory[customer]),ROW(orderHistory[customer])), ""), ROWS($A$1:D25)+$B$3))),"")</f>
        <v/>
      </c>
      <c r="Q34" s="304" t="str">
        <f t="array" ref="Q34">IFERROR(IF($P$5="",INDEX(orderHistory[invoice_no], SMALL(IF(ISNUMBER(MATCH(orderHistory[customer], $E$9, 0)), MATCH(ROW(orderHistory[customer]),ROW(orderHistory[customer])), ""), ROWS($A$1:E25)+$B$3)),INDEX(orderHistory[invoice_no], SMALL(IF(ISNUMBER(MATCH(orderHistory[customer], $E$9, 0)*MATCH(YEAR(orderHistory[order_date]),$P$5,0)), MATCH(ROW(orderHistory[customer]),ROW(orderHistory[customer])), ""), ROWS($A$1:E25)+$B$3))),"")</f>
        <v/>
      </c>
      <c r="R34" s="303" t="str">
        <f t="array" ref="R34">IFERROR(IF($P$5="",INDEX(orderHistory[invoice_date], SMALL(IF(ISNUMBER(MATCH(orderHistory[customer], $E$9, 0)), MATCH(ROW(orderHistory[customer]),ROW(orderHistory[customer])), ""), ROWS($A$1:F25)+$B$3)),INDEX(orderHistory[invoice_date], SMALL(IF(ISNUMBER(MATCH(orderHistory[customer], $E$9, 0)*MATCH(YEAR(orderHistory[order_date]),$P$5,0)), MATCH(ROW(orderHistory[customer]),ROW(orderHistory[customer])), ""), ROWS($A$1:F25)+$B$3))),"")</f>
        <v/>
      </c>
      <c r="S34" s="304" t="str">
        <f t="array" ref="S34">IFERROR(IF($P$5="",INDEX(orderHistory[payed], SMALL(IF(ISNUMBER(MATCH(orderHistory[customer], $E$9, 0)), MATCH(ROW(orderHistory[customer]),ROW(orderHistory[customer])), ""), ROWS($A$1:G25)+$B$3)),INDEX(orderHistory[payed], SMALL(IF(ISNUMBER(MATCH(orderHistory[customer], $E$9, 0)*MATCH(YEAR(orderHistory[order_date]),$P$5,0)), MATCH(ROW(orderHistory[customer]),ROW(orderHistory[customer])), ""), ROWS($A$1:G25)+$B$3))),"")</f>
        <v/>
      </c>
      <c r="T34" s="303" t="str">
        <f t="array" ref="T34">IFERROR(IF($P$5="",INDEX(orderHistory[payment_date], SMALL(IF(ISNUMBER(MATCH(orderHistory[customer], $E$9, 0)), MATCH(ROW(orderHistory[customer]),ROW(orderHistory[customer])), ""), ROWS($A$1:H25)+$B$3)),INDEX(orderHistory[payment_date], SMALL(IF(ISNUMBER(MATCH(orderHistory[customer], $E$9, 0)*MATCH(YEAR(orderHistory[order_date]),$P$5,0)), MATCH(ROW(orderHistory[customer]),ROW(orderHistory[customer])), ""), ROWS($A$1:H25)+$B$3))),"")</f>
        <v/>
      </c>
      <c r="U34" s="305" t="str">
        <f t="array" ref="U34">IFERROR(IF($P$5="",INDEX(orderHistory[amount_sold], SMALL(IF(ISNUMBER(MATCH(orderHistory[customer], $E$9, 0)), MATCH(ROW(orderHistory[customer]),ROW(orderHistory[customer])), ""), ROWS($A$1:I25)+$B$3)),INDEX(orderHistory[amount_sold], SMALL(IF(ISNUMBER(MATCH(orderHistory[customer], $E$9, 0)*MATCH(YEAR(orderHistory[order_date]),$P$5,0)), MATCH(ROW(orderHistory[customer]),ROW(orderHistory[customer])), ""), ROWS($A$1:I25)+$B$3))),"")</f>
        <v/>
      </c>
      <c r="V34" s="306" t="str">
        <f t="array" ref="V34">IFERROR(IF($P$5="",INDEX(orderHistory[status], SMALL(IF(ISNUMBER(MATCH(orderHistory[customer], $E$9, 0)), MATCH(ROW(orderHistory[customer]),ROW(orderHistory[customer])), ""), ROWS($A$1:J25)+$B$3)),INDEX(orderHistory[status], SMALL(IF(ISNUMBER(MATCH(orderHistory[customer], $E$9, 0)*MATCH(YEAR(orderHistory[order_date]),$P$5,0)), MATCH(ROW(orderHistory[customer]),ROW(orderHistory[customer])), ""), ROWS($A$1:J25)+$B$3))),"")</f>
        <v/>
      </c>
      <c r="W34" s="290"/>
      <c r="AQ34" s="274"/>
      <c r="AR34" s="577"/>
      <c r="AS34" s="578"/>
      <c r="AT34" s="579"/>
      <c r="AU34" s="269"/>
      <c r="AW34" s="369" t="str">
        <f t="array" ref="AW34">IFERROR(IF($AO$9="ALL","ERR.",INDEX(salesHistory[sku],SMALL(IF(ISNUMBER(MATCH(salesHistory[order_no], $AO$11, 0)), MATCH(ROW(salesHistory[order_no]),ROW(salesHistory[order_no])), ""), ROWS($A$1:A25)+$B$8))),"")</f>
        <v/>
      </c>
      <c r="AX34" s="325" t="str">
        <f t="array" ref="AX34">IFERROR(IF($AO$9="ALL","ERR.",INDEX(salesHistory[description],SMALL(IF(ISNUMBER(MATCH(salesHistory[order_no], $AO$11, 0)), MATCH(ROW(salesHistory[order_no]),ROW(salesHistory[order_no])), ""), ROWS($A$1:A25)+$B$8))),"")</f>
        <v/>
      </c>
      <c r="AY34" s="314" t="str">
        <f t="array" ref="AY34">IFERROR(IF($AO$9="ALL","ERR.",INDEX(salesHistory[qty],SMALL(IF(ISNUMBER(MATCH(salesHistory[order_no], $AO$11, 0)), MATCH(ROW(salesHistory[order_no]),ROW(salesHistory[order_no])), ""), ROWS($A$1:A25)+$B$8))),"")</f>
        <v/>
      </c>
      <c r="AZ34" s="317" t="str">
        <f t="array" ref="AZ34">IFERROR(IF($AO$9="ALL","ERR.",INDEX(salesHistory[sale_price],SMALL(IF(ISNUMBER(MATCH(salesHistory[order_no], $AO$11, 0)), MATCH(ROW(salesHistory[order_no]),ROW(salesHistory[order_no])), ""), ROWS($A$1:A25)+$B$8))),"")</f>
        <v/>
      </c>
      <c r="BA34" s="317" t="str">
        <f t="array" ref="BA34">IFERROR(IF($AO$9="ALL","ERR.",INDEX(salesHistory[cost_price],SMALL(IF(ISNUMBER(MATCH(salesHistory[order_no], $AO$11, 0)), MATCH(ROW(salesHistory[order_no]),ROW(salesHistory[order_no])), ""), ROWS($A$1:A25)+$B$8))),"")</f>
        <v/>
      </c>
      <c r="BB34" s="320" t="str">
        <f t="array" ref="BB34">IFERROR(IF($AO$9="ALL","ERR.",INDEX(salesHistory[disc_qty],SMALL(IF(ISNUMBER(MATCH(salesHistory[order_no], $AO$11, 0)), MATCH(ROW(salesHistory[order_no]),ROW(salesHistory[order_no])), ""), ROWS($A$1:A25)+$B$8))),"")</f>
        <v/>
      </c>
      <c r="BC34" s="326" t="str">
        <f t="array" ref="BC34">IFERROR(IF($AO$9="ALL","ERR.",INDEX(salesHistory[disc_price],SMALL(IF(ISNUMBER(MATCH(salesHistory[order_no], $AO$11, 0)), MATCH(ROW(salesHistory[order_no]),ROW(salesHistory[order_no])), ""), ROWS($A$1:A25)+$B$8))),"")</f>
        <v/>
      </c>
      <c r="BD34" s="314" t="str">
        <f t="array" ref="BD34">IFERROR(IF($AO$9="ALL","ERR.",INDEX(salesHistory[foc_qty],SMALL(IF(ISNUMBER(MATCH(salesHistory[order_no], $AO$11, 0)), MATCH(ROW(salesHistory[order_no]),ROW(salesHistory[order_no])), ""), ROWS($A$1:A25)+$B$8))),"")</f>
        <v/>
      </c>
      <c r="BE34" s="317" t="str">
        <f t="array" ref="BE34">IFERROR(IF($AO$9="ALL","ERR.",INDEX(salesHistory[tot_cost],SMALL(IF(ISNUMBER(MATCH(salesHistory[order_no], $AO$11, 0)), MATCH(ROW(salesHistory[order_no]),ROW(salesHistory[order_no])), ""), ROWS($A$1:A25)+$B$8))),"")</f>
        <v/>
      </c>
      <c r="BF34" s="317" t="str">
        <f t="array" ref="BF34">IFERROR(IF($AO$9="ALL","ERR.",INDEX(salesHistory[tot_sold],SMALL(IF(ISNUMBER(MATCH(salesHistory[order_no], $AO$11, 0)), MATCH(ROW(salesHistory[order_no]),ROW(salesHistory[order_no])), ""), ROWS($A$1:A25)+$B$8))),"")</f>
        <v/>
      </c>
      <c r="BG34" s="314"/>
      <c r="BH34" s="327"/>
      <c r="BI34" s="290"/>
      <c r="BK34" s="381" t="str">
        <f t="array" ref="BK34">IFERROR(IF($AO$9="",INDEX(orderHistory[order_date],ROW()-9),INDEX(orderHistory[order_date], MATCH(0, IF($AO$9=orderHistory[customer],COUNTIF($BK$9:$BK33,orderHistory[order_date]), "")), 0)),"")</f>
        <v/>
      </c>
      <c r="BL34" s="382" t="str">
        <f t="array" ref="BL34">IFERROR(IF($AO$9="ALL",INDEX(orderHistory[order_id],ROW()-9),INDEX(orderHistory[order_id], MATCH(0, IF($AO$9=orderHistory[customer],COUNTIF($BL$9:$BL33,orderHistory[order_id]), "")), 0)),"")</f>
        <v/>
      </c>
      <c r="BM34" s="383" t="str">
        <f t="shared" si="1"/>
        <v/>
      </c>
      <c r="BN34" s="382" t="str">
        <f t="array" aca="1" ref="BN34" ca="1">IFERROR(INDEX(orderYearForSelectedClient, MATCH(0, COUNTIF($BN$9:BN33, orderYearForSelectedClient&amp;"") + IF(orderYearForSelectedClient="",1,0), 0)), "")</f>
        <v/>
      </c>
      <c r="BO34" s="383" t="str">
        <f t="shared" si="0"/>
        <v/>
      </c>
    </row>
    <row r="35" spans="7:67" ht="14.5" customHeight="1" thickBot="1">
      <c r="G35" s="273" t="s">
        <v>500</v>
      </c>
      <c r="H35" s="569">
        <f>MAX($N$10:$N$40)</f>
        <v>0</v>
      </c>
      <c r="I35" s="570"/>
      <c r="J35" s="268"/>
      <c r="K35" s="269"/>
      <c r="M35" s="302" t="str">
        <f t="array" ref="M35">IFERROR(IF($P$5="",INDEX(orderHistory[order_id], SMALL(IF(ISNUMBER(MATCH(orderHistory[customer], $E$9, 0)), MATCH(ROW(orderHistory[customer]),ROW(orderHistory[customer])), ""), ROWS($A$1:A26)+$B$3)),INDEX(orderHistory[order_id], SMALL(IF(ISNUMBER(MATCH(orderHistory[customer], $E$9, 0)*MATCH(YEAR(orderHistory[order_date]),$P$5,0)), MATCH(ROW(orderHistory[customer]),ROW(orderHistory[customer])), ""), ROWS($A$1:A26)+$B$3))),"")</f>
        <v/>
      </c>
      <c r="N35" s="303" t="str">
        <f t="array" ref="N35">IFERROR(IF($P$5="",INDEX(orderHistory[order_date], SMALL(IF(ISNUMBER(MATCH(orderHistory[customer], $E$9, 0)), MATCH(ROW(orderHistory[customer]),ROW(orderHistory[customer])), ""), ROWS($A$1:B26)+$B$3)),INDEX(orderHistory[order_date], SMALL(IF(ISNUMBER(MATCH(orderHistory[customer], $E$9, 0)*MATCH(YEAR(orderHistory[order_date]),$P$5,0)), MATCH(ROW(orderHistory[customer]),ROW(orderHistory[customer])), ""), ROWS($A$1:B26)+$B$3))),"")</f>
        <v/>
      </c>
      <c r="O35" s="304" t="str">
        <f t="array" ref="O35">IFERROR(IF($P$5="",INDEX(orderHistory[carton_no], SMALL(IF(ISNUMBER(MATCH(orderHistory[customer], $E$9, 0)), MATCH(ROW(orderHistory[customer]),ROW(orderHistory[customer])), ""), ROWS($A$1:C26)+$B$3)),INDEX(orderHistory[carton_no], SMALL(IF(ISNUMBER(MATCH(orderHistory[customer], $E$9, 0)*MATCH(YEAR(orderHistory[order_date]),$P$5,0)), MATCH(ROW(orderHistory[customer]),ROW(orderHistory[customer])), ""), ROWS($A$1:C26)+$B$3))),"")</f>
        <v/>
      </c>
      <c r="P35" s="304" t="str">
        <f t="array" ref="P35">IFERROR(IF($P$5="",INDEX(orderHistory[pallet_no], SMALL(IF(ISNUMBER(MATCH(orderHistory[customer], $E$9, 0)), MATCH(ROW(orderHistory[customer]),ROW(orderHistory[customer])), ""), ROWS($A$1:D26)+$B$3)),INDEX(orderHistory[pallet_no], SMALL(IF(ISNUMBER(MATCH(orderHistory[customer], $E$9, 0)*MATCH(YEAR(orderHistory[order_date]),$P$5,0)), MATCH(ROW(orderHistory[customer]),ROW(orderHistory[customer])), ""), ROWS($A$1:D26)+$B$3))),"")</f>
        <v/>
      </c>
      <c r="Q35" s="304" t="str">
        <f t="array" ref="Q35">IFERROR(IF($P$5="",INDEX(orderHistory[invoice_no], SMALL(IF(ISNUMBER(MATCH(orderHistory[customer], $E$9, 0)), MATCH(ROW(orderHistory[customer]),ROW(orderHistory[customer])), ""), ROWS($A$1:E26)+$B$3)),INDEX(orderHistory[invoice_no], SMALL(IF(ISNUMBER(MATCH(orderHistory[customer], $E$9, 0)*MATCH(YEAR(orderHistory[order_date]),$P$5,0)), MATCH(ROW(orderHistory[customer]),ROW(orderHistory[customer])), ""), ROWS($A$1:E26)+$B$3))),"")</f>
        <v/>
      </c>
      <c r="R35" s="303" t="str">
        <f t="array" ref="R35">IFERROR(IF($P$5="",INDEX(orderHistory[invoice_date], SMALL(IF(ISNUMBER(MATCH(orderHistory[customer], $E$9, 0)), MATCH(ROW(orderHistory[customer]),ROW(orderHistory[customer])), ""), ROWS($A$1:F26)+$B$3)),INDEX(orderHistory[invoice_date], SMALL(IF(ISNUMBER(MATCH(orderHistory[customer], $E$9, 0)*MATCH(YEAR(orderHistory[order_date]),$P$5,0)), MATCH(ROW(orderHistory[customer]),ROW(orderHistory[customer])), ""), ROWS($A$1:F26)+$B$3))),"")</f>
        <v/>
      </c>
      <c r="S35" s="304" t="str">
        <f t="array" ref="S35">IFERROR(IF($P$5="",INDEX(orderHistory[payed], SMALL(IF(ISNUMBER(MATCH(orderHistory[customer], $E$9, 0)), MATCH(ROW(orderHistory[customer]),ROW(orderHistory[customer])), ""), ROWS($A$1:G26)+$B$3)),INDEX(orderHistory[payed], SMALL(IF(ISNUMBER(MATCH(orderHistory[customer], $E$9, 0)*MATCH(YEAR(orderHistory[order_date]),$P$5,0)), MATCH(ROW(orderHistory[customer]),ROW(orderHistory[customer])), ""), ROWS($A$1:G26)+$B$3))),"")</f>
        <v/>
      </c>
      <c r="T35" s="303" t="str">
        <f t="array" ref="T35">IFERROR(IF($P$5="",INDEX(orderHistory[payment_date], SMALL(IF(ISNUMBER(MATCH(orderHistory[customer], $E$9, 0)), MATCH(ROW(orderHistory[customer]),ROW(orderHistory[customer])), ""), ROWS($A$1:H26)+$B$3)),INDEX(orderHistory[payment_date], SMALL(IF(ISNUMBER(MATCH(orderHistory[customer], $E$9, 0)*MATCH(YEAR(orderHistory[order_date]),$P$5,0)), MATCH(ROW(orderHistory[customer]),ROW(orderHistory[customer])), ""), ROWS($A$1:H26)+$B$3))),"")</f>
        <v/>
      </c>
      <c r="U35" s="305" t="str">
        <f t="array" ref="U35">IFERROR(IF($P$5="",INDEX(orderHistory[amount_sold], SMALL(IF(ISNUMBER(MATCH(orderHistory[customer], $E$9, 0)), MATCH(ROW(orderHistory[customer]),ROW(orderHistory[customer])), ""), ROWS($A$1:I26)+$B$3)),INDEX(orderHistory[amount_sold], SMALL(IF(ISNUMBER(MATCH(orderHistory[customer], $E$9, 0)*MATCH(YEAR(orderHistory[order_date]),$P$5,0)), MATCH(ROW(orderHistory[customer]),ROW(orderHistory[customer])), ""), ROWS($A$1:I26)+$B$3))),"")</f>
        <v/>
      </c>
      <c r="V35" s="306" t="str">
        <f t="array" ref="V35">IFERROR(IF($P$5="",INDEX(orderHistory[status], SMALL(IF(ISNUMBER(MATCH(orderHistory[customer], $E$9, 0)), MATCH(ROW(orderHistory[customer]),ROW(orderHistory[customer])), ""), ROWS($A$1:J26)+$B$3)),INDEX(orderHistory[status], SMALL(IF(ISNUMBER(MATCH(orderHistory[customer], $E$9, 0)*MATCH(YEAR(orderHistory[order_date]),$P$5,0)), MATCH(ROW(orderHistory[customer]),ROW(orderHistory[customer])), ""), ROWS($A$1:J26)+$B$3))),"")</f>
        <v/>
      </c>
      <c r="W35" s="290"/>
      <c r="AQ35" s="274"/>
      <c r="AR35" s="268"/>
      <c r="AS35" s="268"/>
      <c r="AT35" s="268"/>
      <c r="AU35" s="269"/>
      <c r="AW35" s="369" t="str">
        <f t="array" ref="AW35">IFERROR(IF($AO$9="ALL","ERR.",INDEX(salesHistory[sku],SMALL(IF(ISNUMBER(MATCH(salesHistory[order_no], $AO$11, 0)), MATCH(ROW(salesHistory[order_no]),ROW(salesHistory[order_no])), ""), ROWS($A$1:A26)+$B$8))),"")</f>
        <v/>
      </c>
      <c r="AX35" s="325" t="str">
        <f t="array" ref="AX35">IFERROR(IF($AO$9="ALL","ERR.",INDEX(salesHistory[description],SMALL(IF(ISNUMBER(MATCH(salesHistory[order_no], $AO$11, 0)), MATCH(ROW(salesHistory[order_no]),ROW(salesHistory[order_no])), ""), ROWS($A$1:A26)+$B$8))),"")</f>
        <v/>
      </c>
      <c r="AY35" s="314" t="str">
        <f t="array" ref="AY35">IFERROR(IF($AO$9="ALL","ERR.",INDEX(salesHistory[qty],SMALL(IF(ISNUMBER(MATCH(salesHistory[order_no], $AO$11, 0)), MATCH(ROW(salesHistory[order_no]),ROW(salesHistory[order_no])), ""), ROWS($A$1:A26)+$B$8))),"")</f>
        <v/>
      </c>
      <c r="AZ35" s="317" t="str">
        <f t="array" ref="AZ35">IFERROR(IF($AO$9="ALL","ERR.",INDEX(salesHistory[sale_price],SMALL(IF(ISNUMBER(MATCH(salesHistory[order_no], $AO$11, 0)), MATCH(ROW(salesHistory[order_no]),ROW(salesHistory[order_no])), ""), ROWS($A$1:A26)+$B$8))),"")</f>
        <v/>
      </c>
      <c r="BA35" s="317" t="str">
        <f t="array" ref="BA35">IFERROR(IF($AO$9="ALL","ERR.",INDEX(salesHistory[cost_price],SMALL(IF(ISNUMBER(MATCH(salesHistory[order_no], $AO$11, 0)), MATCH(ROW(salesHistory[order_no]),ROW(salesHistory[order_no])), ""), ROWS($A$1:A26)+$B$8))),"")</f>
        <v/>
      </c>
      <c r="BB35" s="320" t="str">
        <f t="array" ref="BB35">IFERROR(IF($AO$9="ALL","ERR.",INDEX(salesHistory[disc_qty],SMALL(IF(ISNUMBER(MATCH(salesHistory[order_no], $AO$11, 0)), MATCH(ROW(salesHistory[order_no]),ROW(salesHistory[order_no])), ""), ROWS($A$1:A26)+$B$8))),"")</f>
        <v/>
      </c>
      <c r="BC35" s="326" t="str">
        <f t="array" ref="BC35">IFERROR(IF($AO$9="ALL","ERR.",INDEX(salesHistory[disc_price],SMALL(IF(ISNUMBER(MATCH(salesHistory[order_no], $AO$11, 0)), MATCH(ROW(salesHistory[order_no]),ROW(salesHistory[order_no])), ""), ROWS($A$1:A26)+$B$8))),"")</f>
        <v/>
      </c>
      <c r="BD35" s="314" t="str">
        <f t="array" ref="BD35">IFERROR(IF($AO$9="ALL","ERR.",INDEX(salesHistory[foc_qty],SMALL(IF(ISNUMBER(MATCH(salesHistory[order_no], $AO$11, 0)), MATCH(ROW(salesHistory[order_no]),ROW(salesHistory[order_no])), ""), ROWS($A$1:A26)+$B$8))),"")</f>
        <v/>
      </c>
      <c r="BE35" s="317" t="str">
        <f t="array" ref="BE35">IFERROR(IF($AO$9="ALL","ERR.",INDEX(salesHistory[tot_cost],SMALL(IF(ISNUMBER(MATCH(salesHistory[order_no], $AO$11, 0)), MATCH(ROW(salesHistory[order_no]),ROW(salesHistory[order_no])), ""), ROWS($A$1:A26)+$B$8))),"")</f>
        <v/>
      </c>
      <c r="BF35" s="317" t="str">
        <f t="array" ref="BF35">IFERROR(IF($AO$9="ALL","ERR.",INDEX(salesHistory[tot_sold],SMALL(IF(ISNUMBER(MATCH(salesHistory[order_no], $AO$11, 0)), MATCH(ROW(salesHistory[order_no]),ROW(salesHistory[order_no])), ""), ROWS($A$1:A26)+$B$8))),"")</f>
        <v/>
      </c>
      <c r="BG35" s="314"/>
      <c r="BH35" s="327"/>
      <c r="BI35" s="290"/>
      <c r="BK35" s="381" t="str">
        <f t="array" ref="BK35">IFERROR(IF($AO$9="",INDEX(orderHistory[order_date],ROW()-9),INDEX(orderHistory[order_date], MATCH(0, IF($AO$9=orderHistory[customer],COUNTIF($BK$9:$BK34,orderHistory[order_date]), "")), 0)),"")</f>
        <v/>
      </c>
      <c r="BL35" s="382" t="str">
        <f t="array" ref="BL35">IFERROR(IF($AO$9="ALL",INDEX(orderHistory[order_id],ROW()-9),INDEX(orderHistory[order_id], MATCH(0, IF($AO$9=orderHistory[customer],COUNTIF($BL$9:$BL34,orderHistory[order_id]), "")), 0)),"")</f>
        <v/>
      </c>
      <c r="BM35" s="383" t="str">
        <f t="shared" si="1"/>
        <v/>
      </c>
      <c r="BN35" s="382" t="str">
        <f t="array" aca="1" ref="BN35" ca="1">IFERROR(INDEX(orderYearForSelectedClient, MATCH(0, COUNTIF($BN$9:BN34, orderYearForSelectedClient&amp;"") + IF(orderYearForSelectedClient="",1,0), 0)), "")</f>
        <v/>
      </c>
      <c r="BO35" s="383" t="str">
        <f t="shared" si="0"/>
        <v/>
      </c>
    </row>
    <row r="36" spans="7:67" ht="14.5" customHeight="1" thickBot="1">
      <c r="G36" s="293"/>
      <c r="H36" s="268"/>
      <c r="I36" s="268"/>
      <c r="J36" s="268"/>
      <c r="K36" s="269"/>
      <c r="M36" s="302" t="str">
        <f t="array" ref="M36">IFERROR(IF($P$5="",INDEX(orderHistory[order_id], SMALL(IF(ISNUMBER(MATCH(orderHistory[customer], $E$9, 0)), MATCH(ROW(orderHistory[customer]),ROW(orderHistory[customer])), ""), ROWS($A$1:A27)+$B$3)),INDEX(orderHistory[order_id], SMALL(IF(ISNUMBER(MATCH(orderHistory[customer], $E$9, 0)*MATCH(YEAR(orderHistory[order_date]),$P$5,0)), MATCH(ROW(orderHistory[customer]),ROW(orderHistory[customer])), ""), ROWS($A$1:A27)+$B$3))),"")</f>
        <v/>
      </c>
      <c r="N36" s="303" t="str">
        <f t="array" ref="N36">IFERROR(IF($P$5="",INDEX(orderHistory[order_date], SMALL(IF(ISNUMBER(MATCH(orderHistory[customer], $E$9, 0)), MATCH(ROW(orderHistory[customer]),ROW(orderHistory[customer])), ""), ROWS($A$1:B27)+$B$3)),INDEX(orderHistory[order_date], SMALL(IF(ISNUMBER(MATCH(orderHistory[customer], $E$9, 0)*MATCH(YEAR(orderHistory[order_date]),$P$5,0)), MATCH(ROW(orderHistory[customer]),ROW(orderHistory[customer])), ""), ROWS($A$1:B27)+$B$3))),"")</f>
        <v/>
      </c>
      <c r="O36" s="304" t="str">
        <f t="array" ref="O36">IFERROR(IF($P$5="",INDEX(orderHistory[carton_no], SMALL(IF(ISNUMBER(MATCH(orderHistory[customer], $E$9, 0)), MATCH(ROW(orderHistory[customer]),ROW(orderHistory[customer])), ""), ROWS($A$1:C27)+$B$3)),INDEX(orderHistory[carton_no], SMALL(IF(ISNUMBER(MATCH(orderHistory[customer], $E$9, 0)*MATCH(YEAR(orderHistory[order_date]),$P$5,0)), MATCH(ROW(orderHistory[customer]),ROW(orderHistory[customer])), ""), ROWS($A$1:C27)+$B$3))),"")</f>
        <v/>
      </c>
      <c r="P36" s="304" t="str">
        <f t="array" ref="P36">IFERROR(IF($P$5="",INDEX(orderHistory[pallet_no], SMALL(IF(ISNUMBER(MATCH(orderHistory[customer], $E$9, 0)), MATCH(ROW(orderHistory[customer]),ROW(orderHistory[customer])), ""), ROWS($A$1:D27)+$B$3)),INDEX(orderHistory[pallet_no], SMALL(IF(ISNUMBER(MATCH(orderHistory[customer], $E$9, 0)*MATCH(YEAR(orderHistory[order_date]),$P$5,0)), MATCH(ROW(orderHistory[customer]),ROW(orderHistory[customer])), ""), ROWS($A$1:D27)+$B$3))),"")</f>
        <v/>
      </c>
      <c r="Q36" s="304" t="str">
        <f t="array" ref="Q36">IFERROR(IF($P$5="",INDEX(orderHistory[invoice_no], SMALL(IF(ISNUMBER(MATCH(orderHistory[customer], $E$9, 0)), MATCH(ROW(orderHistory[customer]),ROW(orderHistory[customer])), ""), ROWS($A$1:E27)+$B$3)),INDEX(orderHistory[invoice_no], SMALL(IF(ISNUMBER(MATCH(orderHistory[customer], $E$9, 0)*MATCH(YEAR(orderHistory[order_date]),$P$5,0)), MATCH(ROW(orderHistory[customer]),ROW(orderHistory[customer])), ""), ROWS($A$1:E27)+$B$3))),"")</f>
        <v/>
      </c>
      <c r="R36" s="303" t="str">
        <f t="array" ref="R36">IFERROR(IF($P$5="",INDEX(orderHistory[invoice_date], SMALL(IF(ISNUMBER(MATCH(orderHistory[customer], $E$9, 0)), MATCH(ROW(orderHistory[customer]),ROW(orderHistory[customer])), ""), ROWS($A$1:F27)+$B$3)),INDEX(orderHistory[invoice_date], SMALL(IF(ISNUMBER(MATCH(orderHistory[customer], $E$9, 0)*MATCH(YEAR(orderHistory[order_date]),$P$5,0)), MATCH(ROW(orderHistory[customer]),ROW(orderHistory[customer])), ""), ROWS($A$1:F27)+$B$3))),"")</f>
        <v/>
      </c>
      <c r="S36" s="304" t="str">
        <f t="array" ref="S36">IFERROR(IF($P$5="",INDEX(orderHistory[payed], SMALL(IF(ISNUMBER(MATCH(orderHistory[customer], $E$9, 0)), MATCH(ROW(orderHistory[customer]),ROW(orderHistory[customer])), ""), ROWS($A$1:G27)+$B$3)),INDEX(orderHistory[payed], SMALL(IF(ISNUMBER(MATCH(orderHistory[customer], $E$9, 0)*MATCH(YEAR(orderHistory[order_date]),$P$5,0)), MATCH(ROW(orderHistory[customer]),ROW(orderHistory[customer])), ""), ROWS($A$1:G27)+$B$3))),"")</f>
        <v/>
      </c>
      <c r="T36" s="303" t="str">
        <f t="array" ref="T36">IFERROR(IF($P$5="",INDEX(orderHistory[payment_date], SMALL(IF(ISNUMBER(MATCH(orderHistory[customer], $E$9, 0)), MATCH(ROW(orderHistory[customer]),ROW(orderHistory[customer])), ""), ROWS($A$1:H27)+$B$3)),INDEX(orderHistory[payment_date], SMALL(IF(ISNUMBER(MATCH(orderHistory[customer], $E$9, 0)*MATCH(YEAR(orderHistory[order_date]),$P$5,0)), MATCH(ROW(orderHistory[customer]),ROW(orderHistory[customer])), ""), ROWS($A$1:H27)+$B$3))),"")</f>
        <v/>
      </c>
      <c r="U36" s="305" t="str">
        <f t="array" ref="U36">IFERROR(IF($P$5="",INDEX(orderHistory[amount_sold], SMALL(IF(ISNUMBER(MATCH(orderHistory[customer], $E$9, 0)), MATCH(ROW(orderHistory[customer]),ROW(orderHistory[customer])), ""), ROWS($A$1:I27)+$B$3)),INDEX(orderHistory[amount_sold], SMALL(IF(ISNUMBER(MATCH(orderHistory[customer], $E$9, 0)*MATCH(YEAR(orderHistory[order_date]),$P$5,0)), MATCH(ROW(orderHistory[customer]),ROW(orderHistory[customer])), ""), ROWS($A$1:I27)+$B$3))),"")</f>
        <v/>
      </c>
      <c r="V36" s="306" t="str">
        <f t="array" ref="V36">IFERROR(IF($P$5="",INDEX(orderHistory[status], SMALL(IF(ISNUMBER(MATCH(orderHistory[customer], $E$9, 0)), MATCH(ROW(orderHistory[customer]),ROW(orderHistory[customer])), ""), ROWS($A$1:J27)+$B$3)),INDEX(orderHistory[status], SMALL(IF(ISNUMBER(MATCH(orderHistory[customer], $E$9, 0)*MATCH(YEAR(orderHistory[order_date]),$P$5,0)), MATCH(ROW(orderHistory[customer]),ROW(orderHistory[customer])), ""), ROWS($A$1:J27)+$B$3))),"")</f>
        <v/>
      </c>
      <c r="W36" s="290"/>
      <c r="AQ36" s="332" t="s">
        <v>385</v>
      </c>
      <c r="AR36" s="334"/>
      <c r="AS36" s="333"/>
      <c r="AT36" s="333"/>
      <c r="AU36" s="333"/>
      <c r="AW36" s="369" t="str">
        <f t="array" ref="AW36">IFERROR(IF($AO$9="ALL","ERR.",INDEX(salesHistory[sku],SMALL(IF(ISNUMBER(MATCH(salesHistory[order_no], $AO$11, 0)), MATCH(ROW(salesHistory[order_no]),ROW(salesHistory[order_no])), ""), ROWS($A$1:A27)+$B$8))),"")</f>
        <v/>
      </c>
      <c r="AX36" s="325" t="str">
        <f t="array" ref="AX36">IFERROR(IF($AO$9="ALL","ERR.",INDEX(salesHistory[description],SMALL(IF(ISNUMBER(MATCH(salesHistory[order_no], $AO$11, 0)), MATCH(ROW(salesHistory[order_no]),ROW(salesHistory[order_no])), ""), ROWS($A$1:A27)+$B$8))),"")</f>
        <v/>
      </c>
      <c r="AY36" s="314" t="str">
        <f t="array" ref="AY36">IFERROR(IF($AO$9="ALL","ERR.",INDEX(salesHistory[qty],SMALL(IF(ISNUMBER(MATCH(salesHistory[order_no], $AO$11, 0)), MATCH(ROW(salesHistory[order_no]),ROW(salesHistory[order_no])), ""), ROWS($A$1:A27)+$B$8))),"")</f>
        <v/>
      </c>
      <c r="AZ36" s="317" t="str">
        <f t="array" ref="AZ36">IFERROR(IF($AO$9="ALL","ERR.",INDEX(salesHistory[sale_price],SMALL(IF(ISNUMBER(MATCH(salesHistory[order_no], $AO$11, 0)), MATCH(ROW(salesHistory[order_no]),ROW(salesHistory[order_no])), ""), ROWS($A$1:A27)+$B$8))),"")</f>
        <v/>
      </c>
      <c r="BA36" s="317" t="str">
        <f t="array" ref="BA36">IFERROR(IF($AO$9="ALL","ERR.",INDEX(salesHistory[cost_price],SMALL(IF(ISNUMBER(MATCH(salesHistory[order_no], $AO$11, 0)), MATCH(ROW(salesHistory[order_no]),ROW(salesHistory[order_no])), ""), ROWS($A$1:A27)+$B$8))),"")</f>
        <v/>
      </c>
      <c r="BB36" s="320" t="str">
        <f t="array" ref="BB36">IFERROR(IF($AO$9="ALL","ERR.",INDEX(salesHistory[disc_qty],SMALL(IF(ISNUMBER(MATCH(salesHistory[order_no], $AO$11, 0)), MATCH(ROW(salesHistory[order_no]),ROW(salesHistory[order_no])), ""), ROWS($A$1:A27)+$B$8))),"")</f>
        <v/>
      </c>
      <c r="BC36" s="326" t="str">
        <f t="array" ref="BC36">IFERROR(IF($AO$9="ALL","ERR.",INDEX(salesHistory[disc_price],SMALL(IF(ISNUMBER(MATCH(salesHistory[order_no], $AO$11, 0)), MATCH(ROW(salesHistory[order_no]),ROW(salesHistory[order_no])), ""), ROWS($A$1:A27)+$B$8))),"")</f>
        <v/>
      </c>
      <c r="BD36" s="314" t="str">
        <f t="array" ref="BD36">IFERROR(IF($AO$9="ALL","ERR.",INDEX(salesHistory[foc_qty],SMALL(IF(ISNUMBER(MATCH(salesHistory[order_no], $AO$11, 0)), MATCH(ROW(salesHistory[order_no]),ROW(salesHistory[order_no])), ""), ROWS($A$1:A27)+$B$8))),"")</f>
        <v/>
      </c>
      <c r="BE36" s="317" t="str">
        <f t="array" ref="BE36">IFERROR(IF($AO$9="ALL","ERR.",INDEX(salesHistory[tot_cost],SMALL(IF(ISNUMBER(MATCH(salesHistory[order_no], $AO$11, 0)), MATCH(ROW(salesHistory[order_no]),ROW(salesHistory[order_no])), ""), ROWS($A$1:A27)+$B$8))),"")</f>
        <v/>
      </c>
      <c r="BF36" s="317" t="str">
        <f t="array" ref="BF36">IFERROR(IF($AO$9="ALL","ERR.",INDEX(salesHistory[tot_sold],SMALL(IF(ISNUMBER(MATCH(salesHistory[order_no], $AO$11, 0)), MATCH(ROW(salesHistory[order_no]),ROW(salesHistory[order_no])), ""), ROWS($A$1:A27)+$B$8))),"")</f>
        <v/>
      </c>
      <c r="BG36" s="314"/>
      <c r="BH36" s="327"/>
      <c r="BI36" s="290"/>
      <c r="BK36" s="381" t="str">
        <f t="array" ref="BK36">IFERROR(IF($AO$9="",INDEX(orderHistory[order_date],ROW()-9),INDEX(orderHistory[order_date], MATCH(0, IF($AO$9=orderHistory[customer],COUNTIF($BK$9:$BK35,orderHistory[order_date]), "")), 0)),"")</f>
        <v/>
      </c>
      <c r="BL36" s="382" t="str">
        <f t="array" ref="BL36">IFERROR(IF($AO$9="ALL",INDEX(orderHistory[order_id],ROW()-9),INDEX(orderHistory[order_id], MATCH(0, IF($AO$9=orderHistory[customer],COUNTIF($BL$9:$BL35,orderHistory[order_id]), "")), 0)),"")</f>
        <v/>
      </c>
      <c r="BM36" s="383" t="str">
        <f t="shared" si="1"/>
        <v/>
      </c>
      <c r="BN36" s="382" t="str">
        <f t="array" aca="1" ref="BN36" ca="1">IFERROR(INDEX(orderYearForSelectedClient, MATCH(0, COUNTIF($BN$9:BN35, orderYearForSelectedClient&amp;"") + IF(orderYearForSelectedClient="",1,0), 0)), "")</f>
        <v/>
      </c>
      <c r="BO36" s="383" t="str">
        <f t="shared" si="0"/>
        <v/>
      </c>
    </row>
    <row r="37" spans="7:67" ht="14.5" customHeight="1">
      <c r="G37" s="286" t="s">
        <v>505</v>
      </c>
      <c r="H37" s="583">
        <f>SUMIF(orderHistory[customer],$E$9,orderHistory[cost_of_goods])</f>
        <v>0</v>
      </c>
      <c r="I37" s="584"/>
      <c r="J37" s="268"/>
      <c r="K37" s="269"/>
      <c r="M37" s="302" t="str">
        <f t="array" ref="M37">IFERROR(IF($P$5="",INDEX(orderHistory[order_id], SMALL(IF(ISNUMBER(MATCH(orderHistory[customer], $E$9, 0)), MATCH(ROW(orderHistory[customer]),ROW(orderHistory[customer])), ""), ROWS($A$1:A28)+$B$3)),INDEX(orderHistory[order_id], SMALL(IF(ISNUMBER(MATCH(orderHistory[customer], $E$9, 0)*MATCH(YEAR(orderHistory[order_date]),$P$5,0)), MATCH(ROW(orderHistory[customer]),ROW(orderHistory[customer])), ""), ROWS($A$1:A28)+$B$3))),"")</f>
        <v/>
      </c>
      <c r="N37" s="303" t="str">
        <f t="array" ref="N37">IFERROR(IF($P$5="",INDEX(orderHistory[order_date], SMALL(IF(ISNUMBER(MATCH(orderHistory[customer], $E$9, 0)), MATCH(ROW(orderHistory[customer]),ROW(orderHistory[customer])), ""), ROWS($A$1:B28)+$B$3)),INDEX(orderHistory[order_date], SMALL(IF(ISNUMBER(MATCH(orderHistory[customer], $E$9, 0)*MATCH(YEAR(orderHistory[order_date]),$P$5,0)), MATCH(ROW(orderHistory[customer]),ROW(orderHistory[customer])), ""), ROWS($A$1:B28)+$B$3))),"")</f>
        <v/>
      </c>
      <c r="O37" s="304" t="str">
        <f t="array" ref="O37">IFERROR(IF($P$5="",INDEX(orderHistory[carton_no], SMALL(IF(ISNUMBER(MATCH(orderHistory[customer], $E$9, 0)), MATCH(ROW(orderHistory[customer]),ROW(orderHistory[customer])), ""), ROWS($A$1:C28)+$B$3)),INDEX(orderHistory[carton_no], SMALL(IF(ISNUMBER(MATCH(orderHistory[customer], $E$9, 0)*MATCH(YEAR(orderHistory[order_date]),$P$5,0)), MATCH(ROW(orderHistory[customer]),ROW(orderHistory[customer])), ""), ROWS($A$1:C28)+$B$3))),"")</f>
        <v/>
      </c>
      <c r="P37" s="304" t="str">
        <f t="array" ref="P37">IFERROR(IF($P$5="",INDEX(orderHistory[pallet_no], SMALL(IF(ISNUMBER(MATCH(orderHistory[customer], $E$9, 0)), MATCH(ROW(orderHistory[customer]),ROW(orderHistory[customer])), ""), ROWS($A$1:D28)+$B$3)),INDEX(orderHistory[pallet_no], SMALL(IF(ISNUMBER(MATCH(orderHistory[customer], $E$9, 0)*MATCH(YEAR(orderHistory[order_date]),$P$5,0)), MATCH(ROW(orderHistory[customer]),ROW(orderHistory[customer])), ""), ROWS($A$1:D28)+$B$3))),"")</f>
        <v/>
      </c>
      <c r="Q37" s="304" t="str">
        <f t="array" ref="Q37">IFERROR(IF($P$5="",INDEX(orderHistory[invoice_no], SMALL(IF(ISNUMBER(MATCH(orderHistory[customer], $E$9, 0)), MATCH(ROW(orderHistory[customer]),ROW(orderHistory[customer])), ""), ROWS($A$1:E28)+$B$3)),INDEX(orderHistory[invoice_no], SMALL(IF(ISNUMBER(MATCH(orderHistory[customer], $E$9, 0)*MATCH(YEAR(orderHistory[order_date]),$P$5,0)), MATCH(ROW(orderHistory[customer]),ROW(orderHistory[customer])), ""), ROWS($A$1:E28)+$B$3))),"")</f>
        <v/>
      </c>
      <c r="R37" s="303" t="str">
        <f t="array" ref="R37">IFERROR(IF($P$5="",INDEX(orderHistory[invoice_date], SMALL(IF(ISNUMBER(MATCH(orderHistory[customer], $E$9, 0)), MATCH(ROW(orderHistory[customer]),ROW(orderHistory[customer])), ""), ROWS($A$1:F28)+$B$3)),INDEX(orderHistory[invoice_date], SMALL(IF(ISNUMBER(MATCH(orderHistory[customer], $E$9, 0)*MATCH(YEAR(orderHistory[order_date]),$P$5,0)), MATCH(ROW(orderHistory[customer]),ROW(orderHistory[customer])), ""), ROWS($A$1:F28)+$B$3))),"")</f>
        <v/>
      </c>
      <c r="S37" s="304" t="str">
        <f t="array" ref="S37">IFERROR(IF($P$5="",INDEX(orderHistory[payed], SMALL(IF(ISNUMBER(MATCH(orderHistory[customer], $E$9, 0)), MATCH(ROW(orderHistory[customer]),ROW(orderHistory[customer])), ""), ROWS($A$1:G28)+$B$3)),INDEX(orderHistory[payed], SMALL(IF(ISNUMBER(MATCH(orderHistory[customer], $E$9, 0)*MATCH(YEAR(orderHistory[order_date]),$P$5,0)), MATCH(ROW(orderHistory[customer]),ROW(orderHistory[customer])), ""), ROWS($A$1:G28)+$B$3))),"")</f>
        <v/>
      </c>
      <c r="T37" s="303" t="str">
        <f t="array" ref="T37">IFERROR(IF($P$5="",INDEX(orderHistory[payment_date], SMALL(IF(ISNUMBER(MATCH(orderHistory[customer], $E$9, 0)), MATCH(ROW(orderHistory[customer]),ROW(orderHistory[customer])), ""), ROWS($A$1:H28)+$B$3)),INDEX(orderHistory[payment_date], SMALL(IF(ISNUMBER(MATCH(orderHistory[customer], $E$9, 0)*MATCH(YEAR(orderHistory[order_date]),$P$5,0)), MATCH(ROW(orderHistory[customer]),ROW(orderHistory[customer])), ""), ROWS($A$1:H28)+$B$3))),"")</f>
        <v/>
      </c>
      <c r="U37" s="305" t="str">
        <f t="array" ref="U37">IFERROR(IF($P$5="",INDEX(orderHistory[amount_sold], SMALL(IF(ISNUMBER(MATCH(orderHistory[customer], $E$9, 0)), MATCH(ROW(orderHistory[customer]),ROW(orderHistory[customer])), ""), ROWS($A$1:I28)+$B$3)),INDEX(orderHistory[amount_sold], SMALL(IF(ISNUMBER(MATCH(orderHistory[customer], $E$9, 0)*MATCH(YEAR(orderHistory[order_date]),$P$5,0)), MATCH(ROW(orderHistory[customer]),ROW(orderHistory[customer])), ""), ROWS($A$1:I28)+$B$3))),"")</f>
        <v/>
      </c>
      <c r="V37" s="306" t="str">
        <f t="array" ref="V37">IFERROR(IF($P$5="",INDEX(orderHistory[status], SMALL(IF(ISNUMBER(MATCH(orderHistory[customer], $E$9, 0)), MATCH(ROW(orderHistory[customer]),ROW(orderHistory[customer])), ""), ROWS($A$1:J28)+$B$3)),INDEX(orderHistory[status], SMALL(IF(ISNUMBER(MATCH(orderHistory[customer], $E$9, 0)*MATCH(YEAR(orderHistory[order_date]),$P$5,0)), MATCH(ROW(orderHistory[customer]),ROW(orderHistory[customer])), ""), ROWS($A$1:J28)+$B$3))),"")</f>
        <v/>
      </c>
      <c r="W37" s="290"/>
      <c r="AQ37" s="273"/>
      <c r="AR37" s="331"/>
      <c r="AS37" s="268"/>
      <c r="AT37" s="268"/>
      <c r="AU37" s="269"/>
      <c r="AW37" s="369" t="str">
        <f t="array" ref="AW37">IFERROR(IF($AO$9="ALL","ERR.",INDEX(salesHistory[sku],SMALL(IF(ISNUMBER(MATCH(salesHistory[order_no], $AO$11, 0)), MATCH(ROW(salesHistory[order_no]),ROW(salesHistory[order_no])), ""), ROWS($A$1:A28)+$B$8))),"")</f>
        <v/>
      </c>
      <c r="AX37" s="325" t="str">
        <f t="array" ref="AX37">IFERROR(IF($AO$9="ALL","ERR.",INDEX(salesHistory[description],SMALL(IF(ISNUMBER(MATCH(salesHistory[order_no], $AO$11, 0)), MATCH(ROW(salesHistory[order_no]),ROW(salesHistory[order_no])), ""), ROWS($A$1:A28)+$B$8))),"")</f>
        <v/>
      </c>
      <c r="AY37" s="314" t="str">
        <f t="array" ref="AY37">IFERROR(IF($AO$9="ALL","ERR.",INDEX(salesHistory[qty],SMALL(IF(ISNUMBER(MATCH(salesHistory[order_no], $AO$11, 0)), MATCH(ROW(salesHistory[order_no]),ROW(salesHistory[order_no])), ""), ROWS($A$1:A28)+$B$8))),"")</f>
        <v/>
      </c>
      <c r="AZ37" s="317" t="str">
        <f t="array" ref="AZ37">IFERROR(IF($AO$9="ALL","ERR.",INDEX(salesHistory[sale_price],SMALL(IF(ISNUMBER(MATCH(salesHistory[order_no], $AO$11, 0)), MATCH(ROW(salesHistory[order_no]),ROW(salesHistory[order_no])), ""), ROWS($A$1:A28)+$B$8))),"")</f>
        <v/>
      </c>
      <c r="BA37" s="317" t="str">
        <f t="array" ref="BA37">IFERROR(IF($AO$9="ALL","ERR.",INDEX(salesHistory[cost_price],SMALL(IF(ISNUMBER(MATCH(salesHistory[order_no], $AO$11, 0)), MATCH(ROW(salesHistory[order_no]),ROW(salesHistory[order_no])), ""), ROWS($A$1:A28)+$B$8))),"")</f>
        <v/>
      </c>
      <c r="BB37" s="320" t="str">
        <f t="array" ref="BB37">IFERROR(IF($AO$9="ALL","ERR.",INDEX(salesHistory[disc_qty],SMALL(IF(ISNUMBER(MATCH(salesHistory[order_no], $AO$11, 0)), MATCH(ROW(salesHistory[order_no]),ROW(salesHistory[order_no])), ""), ROWS($A$1:A28)+$B$8))),"")</f>
        <v/>
      </c>
      <c r="BC37" s="326" t="str">
        <f t="array" ref="BC37">IFERROR(IF($AO$9="ALL","ERR.",INDEX(salesHistory[disc_price],SMALL(IF(ISNUMBER(MATCH(salesHistory[order_no], $AO$11, 0)), MATCH(ROW(salesHistory[order_no]),ROW(salesHistory[order_no])), ""), ROWS($A$1:A28)+$B$8))),"")</f>
        <v/>
      </c>
      <c r="BD37" s="314" t="str">
        <f t="array" ref="BD37">IFERROR(IF($AO$9="ALL","ERR.",INDEX(salesHistory[foc_qty],SMALL(IF(ISNUMBER(MATCH(salesHistory[order_no], $AO$11, 0)), MATCH(ROW(salesHistory[order_no]),ROW(salesHistory[order_no])), ""), ROWS($A$1:A28)+$B$8))),"")</f>
        <v/>
      </c>
      <c r="BE37" s="317" t="str">
        <f t="array" ref="BE37">IFERROR(IF($AO$9="ALL","ERR.",INDEX(salesHistory[tot_cost],SMALL(IF(ISNUMBER(MATCH(salesHistory[order_no], $AO$11, 0)), MATCH(ROW(salesHistory[order_no]),ROW(salesHistory[order_no])), ""), ROWS($A$1:A28)+$B$8))),"")</f>
        <v/>
      </c>
      <c r="BF37" s="317" t="str">
        <f t="array" ref="BF37">IFERROR(IF($AO$9="ALL","ERR.",INDEX(salesHistory[tot_sold],SMALL(IF(ISNUMBER(MATCH(salesHistory[order_no], $AO$11, 0)), MATCH(ROW(salesHistory[order_no]),ROW(salesHistory[order_no])), ""), ROWS($A$1:A28)+$B$8))),"")</f>
        <v/>
      </c>
      <c r="BG37" s="314"/>
      <c r="BH37" s="327"/>
      <c r="BI37" s="290"/>
      <c r="BK37" s="381" t="str">
        <f t="array" ref="BK37">IFERROR(IF($AO$9="",INDEX(orderHistory[order_date],ROW()-9),INDEX(orderHistory[order_date], MATCH(0, IF($AO$9=orderHistory[customer],COUNTIF($BK$9:$BK36,orderHistory[order_date]), "")), 0)),"")</f>
        <v/>
      </c>
      <c r="BL37" s="382" t="str">
        <f t="array" ref="BL37">IFERROR(IF($AO$9="ALL",INDEX(orderHistory[order_id],ROW()-9),INDEX(orderHistory[order_id], MATCH(0, IF($AO$9=orderHistory[customer],COUNTIF($BL$9:$BL36,orderHistory[order_id]), "")), 0)),"")</f>
        <v/>
      </c>
      <c r="BM37" s="383" t="str">
        <f t="shared" si="1"/>
        <v/>
      </c>
      <c r="BN37" s="382" t="str">
        <f t="array" aca="1" ref="BN37" ca="1">IFERROR(INDEX(orderYearForSelectedClient, MATCH(0, COUNTIF($BN$9:BN36, orderYearForSelectedClient&amp;"") + IF(orderYearForSelectedClient="",1,0), 0)), "")</f>
        <v/>
      </c>
      <c r="BO37" s="383" t="str">
        <f t="shared" si="0"/>
        <v/>
      </c>
    </row>
    <row r="38" spans="7:67" ht="14.5" customHeight="1">
      <c r="G38" s="286" t="s">
        <v>502</v>
      </c>
      <c r="H38" s="583">
        <f>SUMIF(orderHistory[customer],$E$9,orderHistory[amount_sold])</f>
        <v>0</v>
      </c>
      <c r="I38" s="584"/>
      <c r="J38" s="268"/>
      <c r="K38" s="269"/>
      <c r="M38" s="302" t="str">
        <f t="array" ref="M38">IFERROR(IF($P$5="",INDEX(orderHistory[order_id], SMALL(IF(ISNUMBER(MATCH(orderHistory[customer], $E$9, 0)), MATCH(ROW(orderHistory[customer]),ROW(orderHistory[customer])), ""), ROWS($A$1:A29)+$B$3)),INDEX(orderHistory[order_id], SMALL(IF(ISNUMBER(MATCH(orderHistory[customer], $E$9, 0)*MATCH(YEAR(orderHistory[order_date]),$P$5,0)), MATCH(ROW(orderHistory[customer]),ROW(orderHistory[customer])), ""), ROWS($A$1:A29)+$B$3))),"")</f>
        <v/>
      </c>
      <c r="N38" s="303" t="str">
        <f t="array" ref="N38">IFERROR(IF($P$5="",INDEX(orderHistory[order_date], SMALL(IF(ISNUMBER(MATCH(orderHistory[customer], $E$9, 0)), MATCH(ROW(orderHistory[customer]),ROW(orderHistory[customer])), ""), ROWS($A$1:B29)+$B$3)),INDEX(orderHistory[order_date], SMALL(IF(ISNUMBER(MATCH(orderHistory[customer], $E$9, 0)*MATCH(YEAR(orderHistory[order_date]),$P$5,0)), MATCH(ROW(orderHistory[customer]),ROW(orderHistory[customer])), ""), ROWS($A$1:B29)+$B$3))),"")</f>
        <v/>
      </c>
      <c r="O38" s="304" t="str">
        <f t="array" ref="O38">IFERROR(IF($P$5="",INDEX(orderHistory[carton_no], SMALL(IF(ISNUMBER(MATCH(orderHistory[customer], $E$9, 0)), MATCH(ROW(orderHistory[customer]),ROW(orderHistory[customer])), ""), ROWS($A$1:C29)+$B$3)),INDEX(orderHistory[carton_no], SMALL(IF(ISNUMBER(MATCH(orderHistory[customer], $E$9, 0)*MATCH(YEAR(orderHistory[order_date]),$P$5,0)), MATCH(ROW(orderHistory[customer]),ROW(orderHistory[customer])), ""), ROWS($A$1:C29)+$B$3))),"")</f>
        <v/>
      </c>
      <c r="P38" s="304" t="str">
        <f t="array" ref="P38">IFERROR(IF($P$5="",INDEX(orderHistory[pallet_no], SMALL(IF(ISNUMBER(MATCH(orderHistory[customer], $E$9, 0)), MATCH(ROW(orderHistory[customer]),ROW(orderHistory[customer])), ""), ROWS($A$1:D29)+$B$3)),INDEX(orderHistory[pallet_no], SMALL(IF(ISNUMBER(MATCH(orderHistory[customer], $E$9, 0)*MATCH(YEAR(orderHistory[order_date]),$P$5,0)), MATCH(ROW(orderHistory[customer]),ROW(orderHistory[customer])), ""), ROWS($A$1:D29)+$B$3))),"")</f>
        <v/>
      </c>
      <c r="Q38" s="304" t="str">
        <f t="array" ref="Q38">IFERROR(IF($P$5="",INDEX(orderHistory[invoice_no], SMALL(IF(ISNUMBER(MATCH(orderHistory[customer], $E$9, 0)), MATCH(ROW(orderHistory[customer]),ROW(orderHistory[customer])), ""), ROWS($A$1:E29)+$B$3)),INDEX(orderHistory[invoice_no], SMALL(IF(ISNUMBER(MATCH(orderHistory[customer], $E$9, 0)*MATCH(YEAR(orderHistory[order_date]),$P$5,0)), MATCH(ROW(orderHistory[customer]),ROW(orderHistory[customer])), ""), ROWS($A$1:E29)+$B$3))),"")</f>
        <v/>
      </c>
      <c r="R38" s="303" t="str">
        <f t="array" ref="R38">IFERROR(IF($P$5="",INDEX(orderHistory[invoice_date], SMALL(IF(ISNUMBER(MATCH(orderHistory[customer], $E$9, 0)), MATCH(ROW(orderHistory[customer]),ROW(orderHistory[customer])), ""), ROWS($A$1:F29)+$B$3)),INDEX(orderHistory[invoice_date], SMALL(IF(ISNUMBER(MATCH(orderHistory[customer], $E$9, 0)*MATCH(YEAR(orderHistory[order_date]),$P$5,0)), MATCH(ROW(orderHistory[customer]),ROW(orderHistory[customer])), ""), ROWS($A$1:F29)+$B$3))),"")</f>
        <v/>
      </c>
      <c r="S38" s="304" t="str">
        <f t="array" ref="S38">IFERROR(IF($P$5="",INDEX(orderHistory[payed], SMALL(IF(ISNUMBER(MATCH(orderHistory[customer], $E$9, 0)), MATCH(ROW(orderHistory[customer]),ROW(orderHistory[customer])), ""), ROWS($A$1:G29)+$B$3)),INDEX(orderHistory[payed], SMALL(IF(ISNUMBER(MATCH(orderHistory[customer], $E$9, 0)*MATCH(YEAR(orderHistory[order_date]),$P$5,0)), MATCH(ROW(orderHistory[customer]),ROW(orderHistory[customer])), ""), ROWS($A$1:G29)+$B$3))),"")</f>
        <v/>
      </c>
      <c r="T38" s="303" t="str">
        <f t="array" ref="T38">IFERROR(IF($P$5="",INDEX(orderHistory[payment_date], SMALL(IF(ISNUMBER(MATCH(orderHistory[customer], $E$9, 0)), MATCH(ROW(orderHistory[customer]),ROW(orderHistory[customer])), ""), ROWS($A$1:H29)+$B$3)),INDEX(orderHistory[payment_date], SMALL(IF(ISNUMBER(MATCH(orderHistory[customer], $E$9, 0)*MATCH(YEAR(orderHistory[order_date]),$P$5,0)), MATCH(ROW(orderHistory[customer]),ROW(orderHistory[customer])), ""), ROWS($A$1:H29)+$B$3))),"")</f>
        <v/>
      </c>
      <c r="U38" s="305" t="str">
        <f t="array" ref="U38">IFERROR(IF($P$5="",INDEX(orderHistory[amount_sold], SMALL(IF(ISNUMBER(MATCH(orderHistory[customer], $E$9, 0)), MATCH(ROW(orderHistory[customer]),ROW(orderHistory[customer])), ""), ROWS($A$1:I29)+$B$3)),INDEX(orderHistory[amount_sold], SMALL(IF(ISNUMBER(MATCH(orderHistory[customer], $E$9, 0)*MATCH(YEAR(orderHistory[order_date]),$P$5,0)), MATCH(ROW(orderHistory[customer]),ROW(orderHistory[customer])), ""), ROWS($A$1:I29)+$B$3))),"")</f>
        <v/>
      </c>
      <c r="V38" s="306" t="str">
        <f t="array" ref="V38">IFERROR(IF($P$5="",INDEX(orderHistory[status], SMALL(IF(ISNUMBER(MATCH(orderHistory[customer], $E$9, 0)), MATCH(ROW(orderHistory[customer]),ROW(orderHistory[customer])), ""), ROWS($A$1:J29)+$B$3)),INDEX(orderHistory[status], SMALL(IF(ISNUMBER(MATCH(orderHistory[customer], $E$9, 0)*MATCH(YEAR(orderHistory[order_date]),$P$5,0)), MATCH(ROW(orderHistory[customer]),ROW(orderHistory[customer])), ""), ROWS($A$1:J29)+$B$3))),"")</f>
        <v/>
      </c>
      <c r="W38" s="290"/>
      <c r="AQ38" s="274" t="s">
        <v>515</v>
      </c>
      <c r="AR38" s="339" t="e">
        <f>VLOOKUP($AR$10,orderHistory[],13,FALSE)</f>
        <v>#N/A</v>
      </c>
      <c r="AS38" s="268"/>
      <c r="AT38" s="268"/>
      <c r="AU38" s="269"/>
      <c r="AW38" s="369" t="str">
        <f t="array" ref="AW38">IFERROR(IF($AO$9="ALL","ERR.",INDEX(salesHistory[sku],SMALL(IF(ISNUMBER(MATCH(salesHistory[order_no], $AO$11, 0)), MATCH(ROW(salesHistory[order_no]),ROW(salesHistory[order_no])), ""), ROWS($A$1:A29)+$B$8))),"")</f>
        <v/>
      </c>
      <c r="AX38" s="325" t="str">
        <f t="array" ref="AX38">IFERROR(IF($AO$9="ALL","ERR.",INDEX(salesHistory[description],SMALL(IF(ISNUMBER(MATCH(salesHistory[order_no], $AO$11, 0)), MATCH(ROW(salesHistory[order_no]),ROW(salesHistory[order_no])), ""), ROWS($A$1:A29)+$B$8))),"")</f>
        <v/>
      </c>
      <c r="AY38" s="314" t="str">
        <f t="array" ref="AY38">IFERROR(IF($AO$9="ALL","ERR.",INDEX(salesHistory[qty],SMALL(IF(ISNUMBER(MATCH(salesHistory[order_no], $AO$11, 0)), MATCH(ROW(salesHistory[order_no]),ROW(salesHistory[order_no])), ""), ROWS($A$1:A29)+$B$8))),"")</f>
        <v/>
      </c>
      <c r="AZ38" s="317" t="str">
        <f t="array" ref="AZ38">IFERROR(IF($AO$9="ALL","ERR.",INDEX(salesHistory[sale_price],SMALL(IF(ISNUMBER(MATCH(salesHistory[order_no], $AO$11, 0)), MATCH(ROW(salesHistory[order_no]),ROW(salesHistory[order_no])), ""), ROWS($A$1:A29)+$B$8))),"")</f>
        <v/>
      </c>
      <c r="BA38" s="317" t="str">
        <f t="array" ref="BA38">IFERROR(IF($AO$9="ALL","ERR.",INDEX(salesHistory[cost_price],SMALL(IF(ISNUMBER(MATCH(salesHistory[order_no], $AO$11, 0)), MATCH(ROW(salesHistory[order_no]),ROW(salesHistory[order_no])), ""), ROWS($A$1:A29)+$B$8))),"")</f>
        <v/>
      </c>
      <c r="BB38" s="320" t="str">
        <f t="array" ref="BB38">IFERROR(IF($AO$9="ALL","ERR.",INDEX(salesHistory[disc_qty],SMALL(IF(ISNUMBER(MATCH(salesHistory[order_no], $AO$11, 0)), MATCH(ROW(salesHistory[order_no]),ROW(salesHistory[order_no])), ""), ROWS($A$1:A29)+$B$8))),"")</f>
        <v/>
      </c>
      <c r="BC38" s="326" t="str">
        <f t="array" ref="BC38">IFERROR(IF($AO$9="ALL","ERR.",INDEX(salesHistory[disc_price],SMALL(IF(ISNUMBER(MATCH(salesHistory[order_no], $AO$11, 0)), MATCH(ROW(salesHistory[order_no]),ROW(salesHistory[order_no])), ""), ROWS($A$1:A29)+$B$8))),"")</f>
        <v/>
      </c>
      <c r="BD38" s="314" t="str">
        <f t="array" ref="BD38">IFERROR(IF($AO$9="ALL","ERR.",INDEX(salesHistory[foc_qty],SMALL(IF(ISNUMBER(MATCH(salesHistory[order_no], $AO$11, 0)), MATCH(ROW(salesHistory[order_no]),ROW(salesHistory[order_no])), ""), ROWS($A$1:A29)+$B$8))),"")</f>
        <v/>
      </c>
      <c r="BE38" s="317" t="str">
        <f t="array" ref="BE38">IFERROR(IF($AO$9="ALL","ERR.",INDEX(salesHistory[tot_cost],SMALL(IF(ISNUMBER(MATCH(salesHistory[order_no], $AO$11, 0)), MATCH(ROW(salesHistory[order_no]),ROW(salesHistory[order_no])), ""), ROWS($A$1:A29)+$B$8))),"")</f>
        <v/>
      </c>
      <c r="BF38" s="317" t="str">
        <f t="array" ref="BF38">IFERROR(IF($AO$9="ALL","ERR.",INDEX(salesHistory[tot_sold],SMALL(IF(ISNUMBER(MATCH(salesHistory[order_no], $AO$11, 0)), MATCH(ROW(salesHistory[order_no]),ROW(salesHistory[order_no])), ""), ROWS($A$1:A29)+$B$8))),"")</f>
        <v/>
      </c>
      <c r="BG38" s="314"/>
      <c r="BH38" s="327"/>
      <c r="BI38" s="290"/>
      <c r="BK38" s="381" t="str">
        <f t="array" ref="BK38">IFERROR(IF($AO$9="",INDEX(orderHistory[order_date],ROW()-9),INDEX(orderHistory[order_date], MATCH(0, IF($AO$9=orderHistory[customer],COUNTIF($BK$9:$BK37,orderHistory[order_date]), "")), 0)),"")</f>
        <v/>
      </c>
      <c r="BL38" s="382" t="str">
        <f t="array" ref="BL38">IFERROR(IF($AO$9="ALL",INDEX(orderHistory[order_id],ROW()-9),INDEX(orderHistory[order_id], MATCH(0, IF($AO$9=orderHistory[customer],COUNTIF($BL$9:$BL37,orderHistory[order_id]), "")), 0)),"")</f>
        <v/>
      </c>
      <c r="BM38" s="383" t="str">
        <f t="shared" si="1"/>
        <v/>
      </c>
      <c r="BN38" s="382" t="str">
        <f t="array" aca="1" ref="BN38" ca="1">IFERROR(INDEX(orderYearForSelectedClient, MATCH(0, COUNTIF($BN$9:BN37, orderYearForSelectedClient&amp;"") + IF(orderYearForSelectedClient="",1,0), 0)), "")</f>
        <v/>
      </c>
      <c r="BO38" s="383" t="str">
        <f t="shared" si="0"/>
        <v/>
      </c>
    </row>
    <row r="39" spans="7:67" ht="15.5">
      <c r="G39" s="273" t="s">
        <v>503</v>
      </c>
      <c r="H39" s="583">
        <f>H38*7%</f>
        <v>0</v>
      </c>
      <c r="I39" s="584"/>
      <c r="J39" s="268"/>
      <c r="K39" s="269"/>
      <c r="M39" s="302" t="str">
        <f t="array" ref="M39">IFERROR(IF($P$5="",INDEX(orderHistory[order_id], SMALL(IF(ISNUMBER(MATCH(orderHistory[customer], $E$9, 0)), MATCH(ROW(orderHistory[customer]),ROW(orderHistory[customer])), ""), ROWS($A$1:A30)+$B$3)),INDEX(orderHistory[order_id], SMALL(IF(ISNUMBER(MATCH(orderHistory[customer], $E$9, 0)*MATCH(YEAR(orderHistory[order_date]),$P$5,0)), MATCH(ROW(orderHistory[customer]),ROW(orderHistory[customer])), ""), ROWS($A$1:A30)+$B$3))),"")</f>
        <v/>
      </c>
      <c r="N39" s="303" t="str">
        <f t="array" ref="N39">IFERROR(IF($P$5="",INDEX(orderHistory[order_date], SMALL(IF(ISNUMBER(MATCH(orderHistory[customer], $E$9, 0)), MATCH(ROW(orderHistory[customer]),ROW(orderHistory[customer])), ""), ROWS($A$1:B30)+$B$3)),INDEX(orderHistory[order_date], SMALL(IF(ISNUMBER(MATCH(orderHistory[customer], $E$9, 0)*MATCH(YEAR(orderHistory[order_date]),$P$5,0)), MATCH(ROW(orderHistory[customer]),ROW(orderHistory[customer])), ""), ROWS($A$1:B30)+$B$3))),"")</f>
        <v/>
      </c>
      <c r="O39" s="304" t="str">
        <f t="array" ref="O39">IFERROR(IF($P$5="",INDEX(orderHistory[carton_no], SMALL(IF(ISNUMBER(MATCH(orderHistory[customer], $E$9, 0)), MATCH(ROW(orderHistory[customer]),ROW(orderHistory[customer])), ""), ROWS($A$1:C30)+$B$3)),INDEX(orderHistory[carton_no], SMALL(IF(ISNUMBER(MATCH(orderHistory[customer], $E$9, 0)*MATCH(YEAR(orderHistory[order_date]),$P$5,0)), MATCH(ROW(orderHistory[customer]),ROW(orderHistory[customer])), ""), ROWS($A$1:C30)+$B$3))),"")</f>
        <v/>
      </c>
      <c r="P39" s="304" t="str">
        <f t="array" ref="P39">IFERROR(IF($P$5="",INDEX(orderHistory[pallet_no], SMALL(IF(ISNUMBER(MATCH(orderHistory[customer], $E$9, 0)), MATCH(ROW(orderHistory[customer]),ROW(orderHistory[customer])), ""), ROWS($A$1:D30)+$B$3)),INDEX(orderHistory[pallet_no], SMALL(IF(ISNUMBER(MATCH(orderHistory[customer], $E$9, 0)*MATCH(YEAR(orderHistory[order_date]),$P$5,0)), MATCH(ROW(orderHistory[customer]),ROW(orderHistory[customer])), ""), ROWS($A$1:D30)+$B$3))),"")</f>
        <v/>
      </c>
      <c r="Q39" s="304" t="str">
        <f t="array" ref="Q39">IFERROR(IF($P$5="",INDEX(orderHistory[invoice_no], SMALL(IF(ISNUMBER(MATCH(orderHistory[customer], $E$9, 0)), MATCH(ROW(orderHistory[customer]),ROW(orderHistory[customer])), ""), ROWS($A$1:E30)+$B$3)),INDEX(orderHistory[invoice_no], SMALL(IF(ISNUMBER(MATCH(orderHistory[customer], $E$9, 0)*MATCH(YEAR(orderHistory[order_date]),$P$5,0)), MATCH(ROW(orderHistory[customer]),ROW(orderHistory[customer])), ""), ROWS($A$1:E30)+$B$3))),"")</f>
        <v/>
      </c>
      <c r="R39" s="303" t="str">
        <f t="array" ref="R39">IFERROR(IF($P$5="",INDEX(orderHistory[invoice_date], SMALL(IF(ISNUMBER(MATCH(orderHistory[customer], $E$9, 0)), MATCH(ROW(orderHistory[customer]),ROW(orderHistory[customer])), ""), ROWS($A$1:F30)+$B$3)),INDEX(orderHistory[invoice_date], SMALL(IF(ISNUMBER(MATCH(orderHistory[customer], $E$9, 0)*MATCH(YEAR(orderHistory[order_date]),$P$5,0)), MATCH(ROW(orderHistory[customer]),ROW(orderHistory[customer])), ""), ROWS($A$1:F30)+$B$3))),"")</f>
        <v/>
      </c>
      <c r="S39" s="304" t="str">
        <f t="array" ref="S39">IFERROR(IF($P$5="",INDEX(orderHistory[payed], SMALL(IF(ISNUMBER(MATCH(orderHistory[customer], $E$9, 0)), MATCH(ROW(orderHistory[customer]),ROW(orderHistory[customer])), ""), ROWS($A$1:G30)+$B$3)),INDEX(orderHistory[payed], SMALL(IF(ISNUMBER(MATCH(orderHistory[customer], $E$9, 0)*MATCH(YEAR(orderHistory[order_date]),$P$5,0)), MATCH(ROW(orderHistory[customer]),ROW(orderHistory[customer])), ""), ROWS($A$1:G30)+$B$3))),"")</f>
        <v/>
      </c>
      <c r="T39" s="303" t="str">
        <f t="array" ref="T39">IFERROR(IF($P$5="",INDEX(orderHistory[payment_date], SMALL(IF(ISNUMBER(MATCH(orderHistory[customer], $E$9, 0)), MATCH(ROW(orderHistory[customer]),ROW(orderHistory[customer])), ""), ROWS($A$1:H30)+$B$3)),INDEX(orderHistory[payment_date], SMALL(IF(ISNUMBER(MATCH(orderHistory[customer], $E$9, 0)*MATCH(YEAR(orderHistory[order_date]),$P$5,0)), MATCH(ROW(orderHistory[customer]),ROW(orderHistory[customer])), ""), ROWS($A$1:H30)+$B$3))),"")</f>
        <v/>
      </c>
      <c r="U39" s="305" t="str">
        <f t="array" ref="U39">IFERROR(IF($P$5="",INDEX(orderHistory[amount_sold], SMALL(IF(ISNUMBER(MATCH(orderHistory[customer], $E$9, 0)), MATCH(ROW(orderHistory[customer]),ROW(orderHistory[customer])), ""), ROWS($A$1:I30)+$B$3)),INDEX(orderHistory[amount_sold], SMALL(IF(ISNUMBER(MATCH(orderHistory[customer], $E$9, 0)*MATCH(YEAR(orderHistory[order_date]),$P$5,0)), MATCH(ROW(orderHistory[customer]),ROW(orderHistory[customer])), ""), ROWS($A$1:I30)+$B$3))),"")</f>
        <v/>
      </c>
      <c r="V39" s="306" t="str">
        <f t="array" ref="V39">IFERROR(IF($P$5="",INDEX(orderHistory[status], SMALL(IF(ISNUMBER(MATCH(orderHistory[customer], $E$9, 0)), MATCH(ROW(orderHistory[customer]),ROW(orderHistory[customer])), ""), ROWS($A$1:J30)+$B$3)),INDEX(orderHistory[status], SMALL(IF(ISNUMBER(MATCH(orderHistory[customer], $E$9, 0)*MATCH(YEAR(orderHistory[order_date]),$P$5,0)), MATCH(ROW(orderHistory[customer]),ROW(orderHistory[customer])), ""), ROWS($A$1:J30)+$B$3))),"")</f>
        <v/>
      </c>
      <c r="W39" s="290"/>
      <c r="AQ39" s="274" t="s">
        <v>516</v>
      </c>
      <c r="AR39" s="340" t="e">
        <f>VLOOKUP($AR$10,orderHistory[],14,FALSE)</f>
        <v>#N/A</v>
      </c>
      <c r="AS39" s="268"/>
      <c r="AT39" s="268"/>
      <c r="AU39" s="269"/>
      <c r="AW39" s="369" t="str">
        <f t="array" ref="AW39">IFERROR(IF($AO$9="ALL","ERR.",INDEX(salesHistory[sku],SMALL(IF(ISNUMBER(MATCH(salesHistory[order_no], $AO$11, 0)), MATCH(ROW(salesHistory[order_no]),ROW(salesHistory[order_no])), ""), ROWS($A$1:A30)+$B$8))),"")</f>
        <v/>
      </c>
      <c r="AX39" s="325" t="str">
        <f t="array" ref="AX39">IFERROR(IF($AO$9="ALL","ERR.",INDEX(salesHistory[description],SMALL(IF(ISNUMBER(MATCH(salesHistory[order_no], $AO$11, 0)), MATCH(ROW(salesHistory[order_no]),ROW(salesHistory[order_no])), ""), ROWS($A$1:A30)+$B$8))),"")</f>
        <v/>
      </c>
      <c r="AY39" s="314" t="str">
        <f t="array" ref="AY39">IFERROR(IF($AO$9="ALL","ERR.",INDEX(salesHistory[qty],SMALL(IF(ISNUMBER(MATCH(salesHistory[order_no], $AO$11, 0)), MATCH(ROW(salesHistory[order_no]),ROW(salesHistory[order_no])), ""), ROWS($A$1:A30)+$B$8))),"")</f>
        <v/>
      </c>
      <c r="AZ39" s="317" t="str">
        <f t="array" ref="AZ39">IFERROR(IF($AO$9="ALL","ERR.",INDEX(salesHistory[sale_price],SMALL(IF(ISNUMBER(MATCH(salesHistory[order_no], $AO$11, 0)), MATCH(ROW(salesHistory[order_no]),ROW(salesHistory[order_no])), ""), ROWS($A$1:A30)+$B$8))),"")</f>
        <v/>
      </c>
      <c r="BA39" s="317" t="str">
        <f t="array" ref="BA39">IFERROR(IF($AO$9="ALL","ERR.",INDEX(salesHistory[cost_price],SMALL(IF(ISNUMBER(MATCH(salesHistory[order_no], $AO$11, 0)), MATCH(ROW(salesHistory[order_no]),ROW(salesHistory[order_no])), ""), ROWS($A$1:A30)+$B$8))),"")</f>
        <v/>
      </c>
      <c r="BB39" s="320" t="str">
        <f t="array" ref="BB39">IFERROR(IF($AO$9="ALL","ERR.",INDEX(salesHistory[disc_qty],SMALL(IF(ISNUMBER(MATCH(salesHistory[order_no], $AO$11, 0)), MATCH(ROW(salesHistory[order_no]),ROW(salesHistory[order_no])), ""), ROWS($A$1:A30)+$B$8))),"")</f>
        <v/>
      </c>
      <c r="BC39" s="326" t="str">
        <f t="array" ref="BC39">IFERROR(IF($AO$9="ALL","ERR.",INDEX(salesHistory[disc_price],SMALL(IF(ISNUMBER(MATCH(salesHistory[order_no], $AO$11, 0)), MATCH(ROW(salesHistory[order_no]),ROW(salesHistory[order_no])), ""), ROWS($A$1:A30)+$B$8))),"")</f>
        <v/>
      </c>
      <c r="BD39" s="314" t="str">
        <f t="array" ref="BD39">IFERROR(IF($AO$9="ALL","ERR.",INDEX(salesHistory[foc_qty],SMALL(IF(ISNUMBER(MATCH(salesHistory[order_no], $AO$11, 0)), MATCH(ROW(salesHistory[order_no]),ROW(salesHistory[order_no])), ""), ROWS($A$1:A30)+$B$8))),"")</f>
        <v/>
      </c>
      <c r="BE39" s="317" t="str">
        <f t="array" ref="BE39">IFERROR(IF($AO$9="ALL","ERR.",INDEX(salesHistory[tot_cost],SMALL(IF(ISNUMBER(MATCH(salesHistory[order_no], $AO$11, 0)), MATCH(ROW(salesHistory[order_no]),ROW(salesHistory[order_no])), ""), ROWS($A$1:A30)+$B$8))),"")</f>
        <v/>
      </c>
      <c r="BF39" s="317" t="str">
        <f t="array" ref="BF39">IFERROR(IF($AO$9="ALL","ERR.",INDEX(salesHistory[tot_sold],SMALL(IF(ISNUMBER(MATCH(salesHistory[order_no], $AO$11, 0)), MATCH(ROW(salesHistory[order_no]),ROW(salesHistory[order_no])), ""), ROWS($A$1:A30)+$B$8))),"")</f>
        <v/>
      </c>
      <c r="BG39" s="314"/>
      <c r="BH39" s="327"/>
      <c r="BI39" s="290"/>
      <c r="BK39" s="381" t="str">
        <f t="array" ref="BK39">IFERROR(IF($AO$9="",INDEX(orderHistory[order_date],ROW()-9),INDEX(orderHistory[order_date], MATCH(0, IF($AO$9=orderHistory[customer],COUNTIF($BK$9:$BK38,orderHistory[order_date]), "")), 0)),"")</f>
        <v/>
      </c>
      <c r="BL39" s="382" t="str">
        <f t="array" ref="BL39">IFERROR(IF($AO$9="ALL",INDEX(orderHistory[order_id],ROW()-9),INDEX(orderHistory[order_id], MATCH(0, IF($AO$9=orderHistory[customer],COUNTIF($BL$9:$BL38,orderHistory[order_id]), "")), 0)),"")</f>
        <v/>
      </c>
      <c r="BM39" s="383" t="str">
        <f t="shared" si="1"/>
        <v/>
      </c>
      <c r="BN39" s="382" t="str">
        <f t="array" aca="1" ref="BN39" ca="1">IFERROR(INDEX(orderYearForSelectedClient, MATCH(0, COUNTIF($BN$9:BN38, orderYearForSelectedClient&amp;"") + IF(orderYearForSelectedClient="",1,0), 0)), "")</f>
        <v/>
      </c>
      <c r="BO39" s="383" t="str">
        <f t="shared" si="0"/>
        <v/>
      </c>
    </row>
    <row r="40" spans="7:67" ht="15" thickBot="1">
      <c r="G40" s="284"/>
      <c r="H40" s="271"/>
      <c r="I40" s="271"/>
      <c r="J40" s="271"/>
      <c r="K40" s="272"/>
      <c r="M40" s="308" t="str">
        <f t="array" ref="M40">IFERROR(IF($P$5="",INDEX(orderHistory[order_id], SMALL(IF(ISNUMBER(MATCH(orderHistory[customer], $E$9, 0)), MATCH(ROW(orderHistory[customer]),ROW(orderHistory[customer])), ""), ROWS($A$1:A31)+$B$3)),INDEX(orderHistory[order_id], SMALL(IF(ISNUMBER(MATCH(orderHistory[customer], $E$9, 0)*MATCH(YEAR(orderHistory[order_date]),$P$5,0)), MATCH(ROW(orderHistory[customer]),ROW(orderHistory[customer])), ""), ROWS($A$1:A31)+$B$3))),"")</f>
        <v/>
      </c>
      <c r="N40" s="309" t="str">
        <f t="array" ref="N40">IFERROR(IF($P$5="",INDEX(orderHistory[order_date], SMALL(IF(ISNUMBER(MATCH(orderHistory[customer], $E$9, 0)), MATCH(ROW(orderHistory[customer]),ROW(orderHistory[customer])), ""), ROWS($A$1:B31)+$B$3)),INDEX(orderHistory[order_date], SMALL(IF(ISNUMBER(MATCH(orderHistory[customer], $E$9, 0)*MATCH(YEAR(orderHistory[order_date]),$P$5,0)), MATCH(ROW(orderHistory[customer]),ROW(orderHistory[customer])), ""), ROWS($A$1:B31)+$B$3))),"")</f>
        <v/>
      </c>
      <c r="O40" s="310" t="str">
        <f t="array" ref="O40">IFERROR(IF($P$5="",INDEX(orderHistory[carton_no], SMALL(IF(ISNUMBER(MATCH(orderHistory[customer], $E$9, 0)), MATCH(ROW(orderHistory[customer]),ROW(orderHistory[customer])), ""), ROWS($A$1:C31)+$B$3)),INDEX(orderHistory[carton_no], SMALL(IF(ISNUMBER(MATCH(orderHistory[customer], $E$9, 0)*MATCH(YEAR(orderHistory[order_date]),$P$5,0)), MATCH(ROW(orderHistory[customer]),ROW(orderHistory[customer])), ""), ROWS($A$1:C31)+$B$3))),"")</f>
        <v/>
      </c>
      <c r="P40" s="310" t="str">
        <f t="array" ref="P40">IFERROR(IF($P$5="",INDEX(orderHistory[pallet_no], SMALL(IF(ISNUMBER(MATCH(orderHistory[customer], $E$9, 0)), MATCH(ROW(orderHistory[customer]),ROW(orderHistory[customer])), ""), ROWS($A$1:D31)+$B$3)),INDEX(orderHistory[pallet_no], SMALL(IF(ISNUMBER(MATCH(orderHistory[customer], $E$9, 0)*MATCH(YEAR(orderHistory[order_date]),$P$5,0)), MATCH(ROW(orderHistory[customer]),ROW(orderHistory[customer])), ""), ROWS($A$1:D31)+$B$3))),"")</f>
        <v/>
      </c>
      <c r="Q40" s="310" t="str">
        <f t="array" ref="Q40">IFERROR(IF($P$5="",INDEX(orderHistory[invoice_no], SMALL(IF(ISNUMBER(MATCH(orderHistory[customer], $E$9, 0)), MATCH(ROW(orderHistory[customer]),ROW(orderHistory[customer])), ""), ROWS($A$1:E31)+$B$3)),INDEX(orderHistory[invoice_no], SMALL(IF(ISNUMBER(MATCH(orderHistory[customer], $E$9, 0)*MATCH(YEAR(orderHistory[order_date]),$P$5,0)), MATCH(ROW(orderHistory[customer]),ROW(orderHistory[customer])), ""), ROWS($A$1:E31)+$B$3))),"")</f>
        <v/>
      </c>
      <c r="R40" s="309" t="str">
        <f t="array" ref="R40">IFERROR(IF($P$5="",INDEX(orderHistory[invoice_date], SMALL(IF(ISNUMBER(MATCH(orderHistory[customer], $E$9, 0)), MATCH(ROW(orderHistory[customer]),ROW(orderHistory[customer])), ""), ROWS($A$1:F31)+$B$3)),INDEX(orderHistory[invoice_date], SMALL(IF(ISNUMBER(MATCH(orderHistory[customer], $E$9, 0)*MATCH(YEAR(orderHistory[order_date]),$P$5,0)), MATCH(ROW(orderHistory[customer]),ROW(orderHistory[customer])), ""), ROWS($A$1:F31)+$B$3))),"")</f>
        <v/>
      </c>
      <c r="S40" s="310" t="str">
        <f t="array" ref="S40">IFERROR(IF($P$5="",INDEX(orderHistory[payed], SMALL(IF(ISNUMBER(MATCH(orderHistory[customer], $E$9, 0)), MATCH(ROW(orderHistory[customer]),ROW(orderHistory[customer])), ""), ROWS($A$1:G31)+$B$3)),INDEX(orderHistory[payed], SMALL(IF(ISNUMBER(MATCH(orderHistory[customer], $E$9, 0)*MATCH(YEAR(orderHistory[order_date]),$P$5,0)), MATCH(ROW(orderHistory[customer]),ROW(orderHistory[customer])), ""), ROWS($A$1:G31)+$B$3))),"")</f>
        <v/>
      </c>
      <c r="T40" s="309" t="str">
        <f t="array" ref="T40">IFERROR(IF($P$5="",INDEX(orderHistory[payment_date], SMALL(IF(ISNUMBER(MATCH(orderHistory[customer], $E$9, 0)), MATCH(ROW(orderHistory[customer]),ROW(orderHistory[customer])), ""), ROWS($A$1:H31)+$B$3)),INDEX(orderHistory[payment_date], SMALL(IF(ISNUMBER(MATCH(orderHistory[customer], $E$9, 0)*MATCH(YEAR(orderHistory[order_date]),$P$5,0)), MATCH(ROW(orderHistory[customer]),ROW(orderHistory[customer])), ""), ROWS($A$1:H31)+$B$3))),"")</f>
        <v/>
      </c>
      <c r="U40" s="311" t="str">
        <f t="array" ref="U40">IFERROR(IF($P$5="",INDEX(orderHistory[amount_sold], SMALL(IF(ISNUMBER(MATCH(orderHistory[customer], $E$9, 0)), MATCH(ROW(orderHistory[customer]),ROW(orderHistory[customer])), ""), ROWS($A$1:I31)+$B$3)),INDEX(orderHistory[amount_sold], SMALL(IF(ISNUMBER(MATCH(orderHistory[customer], $E$9, 0)*MATCH(YEAR(orderHistory[order_date]),$P$5,0)), MATCH(ROW(orderHistory[customer]),ROW(orderHistory[customer])), ""), ROWS($A$1:I31)+$B$3))),"")</f>
        <v/>
      </c>
      <c r="V40" s="312" t="str">
        <f t="array" ref="V40">IFERROR(IF($P$5="",INDEX(orderHistory[status], SMALL(IF(ISNUMBER(MATCH(orderHistory[customer], $E$9, 0)), MATCH(ROW(orderHistory[customer]),ROW(orderHistory[customer])), ""), ROWS($A$1:J31)+$B$3)),INDEX(orderHistory[status], SMALL(IF(ISNUMBER(MATCH(orderHistory[customer], $E$9, 0)*MATCH(YEAR(orderHistory[order_date]),$P$5,0)), MATCH(ROW(orderHistory[customer]),ROW(orderHistory[customer])), ""), ROWS($A$1:J31)+$B$3))),"")</f>
        <v/>
      </c>
      <c r="W40" s="292"/>
      <c r="AQ40" s="284"/>
      <c r="AR40" s="271"/>
      <c r="AS40" s="271"/>
      <c r="AT40" s="271"/>
      <c r="AU40" s="272"/>
      <c r="AW40" s="370" t="str">
        <f t="array" ref="AW40">IFERROR(IF($AO$9="ALL","ERR.",INDEX(salesHistory[sku],SMALL(IF(ISNUMBER(MATCH(salesHistory[order_no], $AO$11, 0)), MATCH(ROW(salesHistory[order_no]),ROW(salesHistory[order_no])), ""), ROWS($A$1:A31)+$B$8))),"")</f>
        <v/>
      </c>
      <c r="AX40" s="328" t="str">
        <f t="array" ref="AX40">IFERROR(IF($AO$9="ALL","ERR.",INDEX(salesHistory[description],SMALL(IF(ISNUMBER(MATCH(salesHistory[order_no], $AO$11, 0)), MATCH(ROW(salesHistory[order_no]),ROW(salesHistory[order_no])), ""), ROWS($A$1:A31)+$B$8))),"")</f>
        <v/>
      </c>
      <c r="AY40" s="315" t="str">
        <f t="array" ref="AY40">IFERROR(IF($AO$9="ALL","ERR.",INDEX(salesHistory[qty],SMALL(IF(ISNUMBER(MATCH(salesHistory[order_no], $AO$11, 0)), MATCH(ROW(salesHistory[order_no]),ROW(salesHistory[order_no])), ""), ROWS($A$1:A31)+$B$8))),"")</f>
        <v/>
      </c>
      <c r="AZ40" s="318" t="str">
        <f t="array" ref="AZ40">IFERROR(IF($AO$9="ALL","ERR.",INDEX(salesHistory[sale_price],SMALL(IF(ISNUMBER(MATCH(salesHistory[order_no], $AO$11, 0)), MATCH(ROW(salesHistory[order_no]),ROW(salesHistory[order_no])), ""), ROWS($A$1:A31)+$B$8))),"")</f>
        <v/>
      </c>
      <c r="BA40" s="318" t="str">
        <f t="array" ref="BA40">IFERROR(IF($AO$9="ALL","ERR.",INDEX(salesHistory[cost_price],SMALL(IF(ISNUMBER(MATCH(salesHistory[order_no], $AO$11, 0)), MATCH(ROW(salesHistory[order_no]),ROW(salesHistory[order_no])), ""), ROWS($A$1:A31)+$B$8))),"")</f>
        <v/>
      </c>
      <c r="BB40" s="321" t="str">
        <f t="array" ref="BB40">IFERROR(IF($AO$9="ALL","ERR.",INDEX(salesHistory[disc_qty],SMALL(IF(ISNUMBER(MATCH(salesHistory[order_no], $AO$11, 0)), MATCH(ROW(salesHistory[order_no]),ROW(salesHistory[order_no])), ""), ROWS($A$1:A31)+$B$8))),"")</f>
        <v/>
      </c>
      <c r="BC40" s="329" t="str">
        <f t="array" ref="BC40">IFERROR(IF($AO$9="ALL","ERR.",INDEX(salesHistory[disc_price],SMALL(IF(ISNUMBER(MATCH(salesHistory[order_no], $AO$11, 0)), MATCH(ROW(salesHistory[order_no]),ROW(salesHistory[order_no])), ""), ROWS($A$1:A31)+$B$8))),"")</f>
        <v/>
      </c>
      <c r="BD40" s="315" t="str">
        <f t="array" ref="BD40">IFERROR(IF($AO$9="ALL","ERR.",INDEX(salesHistory[foc_qty],SMALL(IF(ISNUMBER(MATCH(salesHistory[order_no], $AO$11, 0)), MATCH(ROW(salesHistory[order_no]),ROW(salesHistory[order_no])), ""), ROWS($A$1:A31)+$B$8))),"")</f>
        <v/>
      </c>
      <c r="BE40" s="318" t="str">
        <f t="array" ref="BE40">IFERROR(IF($AO$9="ALL","ERR.",INDEX(salesHistory[tot_cost],SMALL(IF(ISNUMBER(MATCH(salesHistory[order_no], $AO$11, 0)), MATCH(ROW(salesHistory[order_no]),ROW(salesHistory[order_no])), ""), ROWS($A$1:A31)+$B$8))),"")</f>
        <v/>
      </c>
      <c r="BF40" s="318" t="str">
        <f t="array" ref="BF40">IFERROR(IF($AO$9="ALL","ERR.",INDEX(salesHistory[tot_sold],SMALL(IF(ISNUMBER(MATCH(salesHistory[order_no], $AO$11, 0)), MATCH(ROW(salesHistory[order_no]),ROW(salesHistory[order_no])), ""), ROWS($A$1:A31)+$B$8))),"")</f>
        <v/>
      </c>
      <c r="BG40" s="315"/>
      <c r="BH40" s="330"/>
      <c r="BI40" s="292"/>
      <c r="BK40" s="381" t="str">
        <f t="array" ref="BK40">IFERROR(IF($AO$9="",INDEX(orderHistory[order_date],ROW()-9),INDEX(orderHistory[order_date], MATCH(0, IF($AO$9=orderHistory[customer],COUNTIF($BK$9:$BK39,orderHistory[order_date]), "")), 0)),"")</f>
        <v/>
      </c>
      <c r="BL40" s="382" t="str">
        <f t="array" ref="BL40">IFERROR(IF($AO$9="ALL",INDEX(orderHistory[order_id],ROW()-9),INDEX(orderHistory[order_id], MATCH(0, IF($AO$9=orderHistory[customer],COUNTIF($BL$9:$BL39,orderHistory[order_id]), "")), 0)),"")</f>
        <v/>
      </c>
      <c r="BM40" s="383" t="str">
        <f t="shared" si="1"/>
        <v/>
      </c>
      <c r="BN40" s="382" t="str">
        <f t="array" aca="1" ref="BN40" ca="1">IFERROR(INDEX(orderYearForSelectedClient, MATCH(0, COUNTIF($BN$9:BN39, orderYearForSelectedClient&amp;"") + IF(orderYearForSelectedClient="",1,0), 0)), "")</f>
        <v/>
      </c>
      <c r="BO40" s="383" t="str">
        <f t="shared" si="0"/>
        <v/>
      </c>
    </row>
    <row r="41" spans="7:67">
      <c r="BK41" s="381" t="str">
        <f t="array" ref="BK41">IFERROR(IF($AO$9="",INDEX(orderHistory[order_date],ROW()-9),INDEX(orderHistory[order_date], MATCH(0, IF($AO$9=orderHistory[customer],COUNTIF($BK$9:$BK40,orderHistory[order_date]), "")), 0)),"")</f>
        <v/>
      </c>
      <c r="BL41" s="382" t="str">
        <f t="array" ref="BL41">IFERROR(IF($AO$9="ALL",INDEX(orderHistory[order_id],ROW()-9),INDEX(orderHistory[order_id], MATCH(0, IF($AO$9=orderHistory[customer],COUNTIF($BL$9:$BL40,orderHistory[order_id]), "")), 0)),"")</f>
        <v/>
      </c>
      <c r="BM41" s="383" t="str">
        <f t="shared" si="1"/>
        <v/>
      </c>
      <c r="BN41" s="382" t="str">
        <f t="array" aca="1" ref="BN41" ca="1">IFERROR(INDEX(orderYearForSelectedClient, MATCH(0, COUNTIF($BN$9:BN40, orderYearForSelectedClient&amp;"") + IF(orderYearForSelectedClient="",1,0), 0)), "")</f>
        <v/>
      </c>
      <c r="BO41" s="383" t="str">
        <f t="shared" si="0"/>
        <v/>
      </c>
    </row>
    <row r="42" spans="7:67">
      <c r="BK42" s="381" t="str">
        <f t="array" ref="BK42">IFERROR(IF($AO$9="",INDEX(orderHistory[order_date],ROW()-9),INDEX(orderHistory[order_date], MATCH(0, IF($AO$9=orderHistory[customer],COUNTIF($BK$9:$BK41,orderHistory[order_date]), "")), 0)),"")</f>
        <v/>
      </c>
      <c r="BL42" s="382" t="str">
        <f t="array" ref="BL42">IFERROR(IF($AO$9="ALL",INDEX(orderHistory[order_id],ROW()-9),INDEX(orderHistory[order_id], MATCH(0, IF($AO$9=orderHistory[customer],COUNTIF($BL$9:$BL41,orderHistory[order_id]), "")), 0)),"")</f>
        <v/>
      </c>
      <c r="BM42" s="383" t="str">
        <f t="shared" si="1"/>
        <v/>
      </c>
      <c r="BN42" s="382" t="str">
        <f t="array" aca="1" ref="BN42" ca="1">IFERROR(INDEX(orderYearForSelectedClient, MATCH(0, COUNTIF($BN$9:BN41, orderYearForSelectedClient&amp;"") + IF(orderYearForSelectedClient="",1,0), 0)), "")</f>
        <v/>
      </c>
      <c r="BO42" s="383" t="str">
        <f t="shared" si="0"/>
        <v/>
      </c>
    </row>
    <row r="43" spans="7:67">
      <c r="BK43" s="381" t="str">
        <f t="array" ref="BK43">IFERROR(IF($AO$9="",INDEX(orderHistory[order_date],ROW()-9),INDEX(orderHistory[order_date], MATCH(0, IF($AO$9=orderHistory[customer],COUNTIF($BK$9:$BK42,orderHistory[order_date]), "")), 0)),"")</f>
        <v/>
      </c>
      <c r="BL43" s="382" t="str">
        <f t="array" ref="BL43">IFERROR(IF($AO$9="ALL",INDEX(orderHistory[order_id],ROW()-9),INDEX(orderHistory[order_id], MATCH(0, IF($AO$9=orderHistory[customer],COUNTIF($BL$9:$BL42,orderHistory[order_id]), "")), 0)),"")</f>
        <v/>
      </c>
      <c r="BM43" s="383" t="str">
        <f t="shared" si="1"/>
        <v/>
      </c>
      <c r="BN43" s="382" t="str">
        <f t="array" aca="1" ref="BN43" ca="1">IFERROR(INDEX(orderYearForSelectedClient, MATCH(0, COUNTIF($BN$9:BN42, orderYearForSelectedClient&amp;"") + IF(orderYearForSelectedClient="",1,0), 0)), "")</f>
        <v/>
      </c>
      <c r="BO43" s="383" t="str">
        <f t="shared" si="0"/>
        <v/>
      </c>
    </row>
    <row r="44" spans="7:67">
      <c r="BK44" s="381" t="str">
        <f t="array" ref="BK44">IFERROR(IF($AO$9="",INDEX(orderHistory[order_date],ROW()-9),INDEX(orderHistory[order_date], MATCH(0, IF($AO$9=orderHistory[customer],COUNTIF($BK$9:$BK43,orderHistory[order_date]), "")), 0)),"")</f>
        <v/>
      </c>
      <c r="BL44" s="382" t="str">
        <f t="array" ref="BL44">IFERROR(IF($AO$9="ALL",INDEX(orderHistory[order_id],ROW()-9),INDEX(orderHistory[order_id], MATCH(0, IF($AO$9=orderHistory[customer],COUNTIF($BL$9:$BL43,orderHistory[order_id]), "")), 0)),"")</f>
        <v/>
      </c>
      <c r="BM44" s="383" t="str">
        <f t="shared" si="1"/>
        <v/>
      </c>
      <c r="BN44" s="382" t="str">
        <f t="array" aca="1" ref="BN44" ca="1">IFERROR(INDEX(orderYearForSelectedClient, MATCH(0, COUNTIF($BN$9:BN43, orderYearForSelectedClient&amp;"") + IF(orderYearForSelectedClient="",1,0), 0)), "")</f>
        <v/>
      </c>
      <c r="BO44" s="383" t="str">
        <f t="shared" si="0"/>
        <v/>
      </c>
    </row>
    <row r="45" spans="7:67">
      <c r="BK45" s="381" t="str">
        <f t="array" ref="BK45">IFERROR(IF($AO$9="",INDEX(orderHistory[order_date],ROW()-9),INDEX(orderHistory[order_date], MATCH(0, IF($AO$9=orderHistory[customer],COUNTIF($BK$9:$BK44,orderHistory[order_date]), "")), 0)),"")</f>
        <v/>
      </c>
      <c r="BL45" s="382" t="str">
        <f t="array" ref="BL45">IFERROR(IF($AO$9="ALL",INDEX(orderHistory[order_id],ROW()-9),INDEX(orderHistory[order_id], MATCH(0, IF($AO$9=orderHistory[customer],COUNTIF($BL$9:$BL44,orderHistory[order_id]), "")), 0)),"")</f>
        <v/>
      </c>
      <c r="BM45" s="383" t="str">
        <f t="shared" si="1"/>
        <v/>
      </c>
      <c r="BN45" s="382" t="str">
        <f t="array" aca="1" ref="BN45" ca="1">IFERROR(INDEX(orderYearForSelectedClient, MATCH(0, COUNTIF($BN$9:BN44, orderYearForSelectedClient&amp;"") + IF(orderYearForSelectedClient="",1,0), 0)), "")</f>
        <v/>
      </c>
      <c r="BO45" s="383" t="str">
        <f t="shared" si="0"/>
        <v/>
      </c>
    </row>
    <row r="46" spans="7:67">
      <c r="N46" s="280"/>
      <c r="BK46" s="381" t="str">
        <f t="array" ref="BK46">IFERROR(IF($AO$9="",INDEX(orderHistory[order_date],ROW()-9),INDEX(orderHistory[order_date], MATCH(0, IF($AO$9=orderHistory[customer],COUNTIF($BK$9:$BK45,orderHistory[order_date]), "")), 0)),"")</f>
        <v/>
      </c>
      <c r="BL46" s="382" t="str">
        <f t="array" ref="BL46">IFERROR(IF($AO$9="ALL",INDEX(orderHistory[order_id],ROW()-9),INDEX(orderHistory[order_id], MATCH(0, IF($AO$9=orderHistory[customer],COUNTIF($BL$9:$BL45,orderHistory[order_id]), "")), 0)),"")</f>
        <v/>
      </c>
      <c r="BM46" s="383" t="str">
        <f t="shared" si="1"/>
        <v/>
      </c>
      <c r="BN46" s="382" t="str">
        <f t="array" aca="1" ref="BN46" ca="1">IFERROR(INDEX(orderYearForSelectedClient, MATCH(0, COUNTIF($BN$9:BN45, orderYearForSelectedClient&amp;"") + IF(orderYearForSelectedClient="",1,0), 0)), "")</f>
        <v/>
      </c>
      <c r="BO46" s="383" t="str">
        <f t="shared" si="0"/>
        <v/>
      </c>
    </row>
    <row r="47" spans="7:67">
      <c r="BK47" s="381" t="str">
        <f t="array" ref="BK47">IFERROR(IF($AO$9="",INDEX(orderHistory[order_date],ROW()-9),INDEX(orderHistory[order_date], MATCH(0, IF($AO$9=orderHistory[customer],COUNTIF($BK$9:$BK46,orderHistory[order_date]), "")), 0)),"")</f>
        <v/>
      </c>
      <c r="BL47" s="382" t="str">
        <f t="array" ref="BL47">IFERROR(IF($AO$9="ALL",INDEX(orderHistory[order_id],ROW()-9),INDEX(orderHistory[order_id], MATCH(0, IF($AO$9=orderHistory[customer],COUNTIF($BL$9:$BL46,orderHistory[order_id]), "")), 0)),"")</f>
        <v/>
      </c>
      <c r="BM47" s="383" t="str">
        <f t="shared" si="1"/>
        <v/>
      </c>
      <c r="BN47" s="382" t="str">
        <f t="array" aca="1" ref="BN47" ca="1">IFERROR(INDEX(orderYearForSelectedClient, MATCH(0, COUNTIF($BN$9:BN46, orderYearForSelectedClient&amp;"") + IF(orderYearForSelectedClient="",1,0), 0)), "")</f>
        <v/>
      </c>
      <c r="BO47" s="383" t="str">
        <f t="shared" si="0"/>
        <v/>
      </c>
    </row>
    <row r="48" spans="7:67">
      <c r="BK48" s="381" t="str">
        <f t="array" ref="BK48">IFERROR(IF($AO$9="",INDEX(orderHistory[order_date],ROW()-9),INDEX(orderHistory[order_date], MATCH(0, IF($AO$9=orderHistory[customer],COUNTIF($BK$9:$BK47,orderHistory[order_date]), "")), 0)),"")</f>
        <v/>
      </c>
      <c r="BL48" s="382" t="str">
        <f t="array" ref="BL48">IFERROR(IF($AO$9="ALL",INDEX(orderHistory[order_id],ROW()-9),INDEX(orderHistory[order_id], MATCH(0, IF($AO$9=orderHistory[customer],COUNTIF($BL$9:$BL47,orderHistory[order_id]), "")), 0)),"")</f>
        <v/>
      </c>
      <c r="BM48" s="383" t="str">
        <f t="shared" si="1"/>
        <v/>
      </c>
      <c r="BN48" s="382" t="str">
        <f t="array" aca="1" ref="BN48" ca="1">IFERROR(INDEX(orderYearForSelectedClient, MATCH(0, COUNTIF($BN$9:BN47, orderYearForSelectedClient&amp;"") + IF(orderYearForSelectedClient="",1,0), 0)), "")</f>
        <v/>
      </c>
      <c r="BO48" s="383" t="str">
        <f t="shared" si="0"/>
        <v/>
      </c>
    </row>
    <row r="49" spans="63:67">
      <c r="BK49" s="381" t="str">
        <f t="array" ref="BK49">IFERROR(IF($AO$9="",INDEX(orderHistory[order_date],ROW()-9),INDEX(orderHistory[order_date], MATCH(0, IF($AO$9=orderHistory[customer],COUNTIF($BK$9:$BK48,orderHistory[order_date]), "")), 0)),"")</f>
        <v/>
      </c>
      <c r="BL49" s="382" t="str">
        <f t="array" ref="BL49">IFERROR(IF($AO$9="ALL",INDEX(orderHistory[order_id],ROW()-9),INDEX(orderHistory[order_id], MATCH(0, IF($AO$9=orderHistory[customer],COUNTIF($BL$9:$BL48,orderHistory[order_id]), "")), 0)),"")</f>
        <v/>
      </c>
      <c r="BM49" s="383" t="str">
        <f t="shared" si="1"/>
        <v/>
      </c>
      <c r="BN49" s="382" t="str">
        <f t="array" aca="1" ref="BN49" ca="1">IFERROR(INDEX(orderYearForSelectedClient, MATCH(0, COUNTIF($BN$9:BN48, orderYearForSelectedClient&amp;"") + IF(orderYearForSelectedClient="",1,0), 0)), "")</f>
        <v/>
      </c>
      <c r="BO49" s="383" t="str">
        <f t="shared" si="0"/>
        <v/>
      </c>
    </row>
    <row r="50" spans="63:67">
      <c r="BK50" s="381" t="str">
        <f t="array" ref="BK50">IFERROR(IF($AO$9="",INDEX(orderHistory[order_date],ROW()-9),INDEX(orderHistory[order_date], MATCH(0, IF($AO$9=orderHistory[customer],COUNTIF($BK$9:$BK49,orderHistory[order_date]), "")), 0)),"")</f>
        <v/>
      </c>
      <c r="BL50" s="382" t="str">
        <f t="array" ref="BL50">IFERROR(IF($AO$9="ALL",INDEX(orderHistory[order_id],ROW()-9),INDEX(orderHistory[order_id], MATCH(0, IF($AO$9=orderHistory[customer],COUNTIF($BL$9:$BL49,orderHistory[order_id]), "")), 0)),"")</f>
        <v/>
      </c>
      <c r="BM50" s="383" t="str">
        <f t="shared" si="1"/>
        <v/>
      </c>
      <c r="BN50" s="382" t="str">
        <f t="array" aca="1" ref="BN50" ca="1">IFERROR(INDEX(orderYearForSelectedClient, MATCH(0, COUNTIF($BN$9:BN49, orderYearForSelectedClient&amp;"") + IF(orderYearForSelectedClient="",1,0), 0)), "")</f>
        <v/>
      </c>
      <c r="BO50" s="383" t="str">
        <f t="shared" si="0"/>
        <v/>
      </c>
    </row>
    <row r="51" spans="63:67">
      <c r="BK51" s="381" t="str">
        <f t="array" ref="BK51">IFERROR(IF($AO$9="",INDEX(orderHistory[order_date],ROW()-9),INDEX(orderHistory[order_date], MATCH(0, IF($AO$9=orderHistory[customer],COUNTIF($BK$9:$BK50,orderHistory[order_date]), "")), 0)),"")</f>
        <v/>
      </c>
      <c r="BL51" s="382" t="str">
        <f t="array" ref="BL51">IFERROR(IF($AO$9="ALL",INDEX(orderHistory[order_id],ROW()-9),INDEX(orderHistory[order_id], MATCH(0, IF($AO$9=orderHistory[customer],COUNTIF($BL$9:$BL50,orderHistory[order_id]), "")), 0)),"")</f>
        <v/>
      </c>
      <c r="BM51" s="383" t="str">
        <f t="shared" si="1"/>
        <v/>
      </c>
      <c r="BN51" s="382" t="str">
        <f t="array" aca="1" ref="BN51" ca="1">IFERROR(INDEX(orderYearForSelectedClient, MATCH(0, COUNTIF($BN$9:BN50, orderYearForSelectedClient&amp;"") + IF(orderYearForSelectedClient="",1,0), 0)), "")</f>
        <v/>
      </c>
      <c r="BO51" s="383" t="str">
        <f t="shared" si="0"/>
        <v/>
      </c>
    </row>
    <row r="52" spans="63:67">
      <c r="BK52" s="381" t="str">
        <f t="array" ref="BK52">IFERROR(IF($AO$9="",INDEX(orderHistory[order_date],ROW()-9),INDEX(orderHistory[order_date], MATCH(0, IF($AO$9=orderHistory[customer],COUNTIF($BK$9:$BK51,orderHistory[order_date]), "")), 0)),"")</f>
        <v/>
      </c>
      <c r="BL52" s="382" t="str">
        <f t="array" ref="BL52">IFERROR(IF($AO$9="ALL",INDEX(orderHistory[order_id],ROW()-9),INDEX(orderHistory[order_id], MATCH(0, IF($AO$9=orderHistory[customer],COUNTIF($BL$9:$BL51,orderHistory[order_id]), "")), 0)),"")</f>
        <v/>
      </c>
      <c r="BM52" s="383" t="str">
        <f t="shared" si="1"/>
        <v/>
      </c>
      <c r="BN52" s="382" t="str">
        <f t="array" aca="1" ref="BN52" ca="1">IFERROR(INDEX(orderYearForSelectedClient, MATCH(0, COUNTIF($BN$9:BN51, orderYearForSelectedClient&amp;"") + IF(orderYearForSelectedClient="",1,0), 0)), "")</f>
        <v/>
      </c>
      <c r="BO52" s="383" t="str">
        <f t="shared" si="0"/>
        <v/>
      </c>
    </row>
    <row r="53" spans="63:67">
      <c r="BK53" s="381" t="str">
        <f t="array" ref="BK53">IFERROR(IF($AO$9="",INDEX(orderHistory[order_date],ROW()-9),INDEX(orderHistory[order_date], MATCH(0, IF($AO$9=orderHistory[customer],COUNTIF($BK$9:$BK52,orderHistory[order_date]), "")), 0)),"")</f>
        <v/>
      </c>
      <c r="BL53" s="382" t="str">
        <f t="array" ref="BL53">IFERROR(IF($AO$9="ALL",INDEX(orderHistory[order_id],ROW()-9),INDEX(orderHistory[order_id], MATCH(0, IF($AO$9=orderHistory[customer],COUNTIF($BL$9:$BL52,orderHistory[order_id]), "")), 0)),"")</f>
        <v/>
      </c>
      <c r="BM53" s="383" t="str">
        <f t="shared" si="1"/>
        <v/>
      </c>
      <c r="BN53" s="382" t="str">
        <f t="array" aca="1" ref="BN53" ca="1">IFERROR(INDEX(orderYearForSelectedClient, MATCH(0, COUNTIF($BN$9:BN52, orderYearForSelectedClient&amp;"") + IF(orderYearForSelectedClient="",1,0), 0)), "")</f>
        <v/>
      </c>
      <c r="BO53" s="383" t="str">
        <f t="shared" si="0"/>
        <v/>
      </c>
    </row>
    <row r="54" spans="63:67">
      <c r="BK54" s="381" t="str">
        <f t="array" ref="BK54">IFERROR(IF($AO$9="",INDEX(orderHistory[order_date],ROW()-9),INDEX(orderHistory[order_date], MATCH(0, IF($AO$9=orderHistory[customer],COUNTIF($BK$9:$BK53,orderHistory[order_date]), "")), 0)),"")</f>
        <v/>
      </c>
      <c r="BL54" s="382" t="str">
        <f t="array" ref="BL54">IFERROR(IF($AO$9="ALL",INDEX(orderHistory[order_id],ROW()-9),INDEX(orderHistory[order_id], MATCH(0, IF($AO$9=orderHistory[customer],COUNTIF($BL$9:$BL53,orderHistory[order_id]), "")), 0)),"")</f>
        <v/>
      </c>
      <c r="BM54" s="383" t="str">
        <f t="shared" si="1"/>
        <v/>
      </c>
      <c r="BN54" s="382" t="str">
        <f t="array" aca="1" ref="BN54" ca="1">IFERROR(INDEX(orderYearForSelectedClient, MATCH(0, COUNTIF($BN$9:BN53, orderYearForSelectedClient&amp;"") + IF(orderYearForSelectedClient="",1,0), 0)), "")</f>
        <v/>
      </c>
      <c r="BO54" s="383" t="str">
        <f t="shared" si="0"/>
        <v/>
      </c>
    </row>
    <row r="55" spans="63:67">
      <c r="BK55" s="381" t="str">
        <f t="array" ref="BK55">IFERROR(IF($AO$9="",INDEX(orderHistory[order_date],ROW()-9),INDEX(orderHistory[order_date], MATCH(0, IF($AO$9=orderHistory[customer],COUNTIF($BK$9:$BK54,orderHistory[order_date]), "")), 0)),"")</f>
        <v/>
      </c>
      <c r="BL55" s="382" t="str">
        <f t="array" ref="BL55">IFERROR(IF($AO$9="ALL",INDEX(orderHistory[order_id],ROW()-9),INDEX(orderHistory[order_id], MATCH(0, IF($AO$9=orderHistory[customer],COUNTIF($BL$9:$BL54,orderHistory[order_id]), "")), 0)),"")</f>
        <v/>
      </c>
      <c r="BM55" s="383" t="str">
        <f t="shared" si="1"/>
        <v/>
      </c>
      <c r="BN55" s="382" t="str">
        <f t="array" aca="1" ref="BN55" ca="1">IFERROR(INDEX(orderYearForSelectedClient, MATCH(0, COUNTIF($BN$9:BN54, orderYearForSelectedClient&amp;"") + IF(orderYearForSelectedClient="",1,0), 0)), "")</f>
        <v/>
      </c>
      <c r="BO55" s="383" t="str">
        <f t="shared" si="0"/>
        <v/>
      </c>
    </row>
    <row r="56" spans="63:67">
      <c r="BK56" s="381" t="str">
        <f t="array" ref="BK56">IFERROR(IF($AO$9="",INDEX(orderHistory[order_date],ROW()-9),INDEX(orderHistory[order_date], MATCH(0, IF($AO$9=orderHistory[customer],COUNTIF($BK$9:$BK55,orderHistory[order_date]), "")), 0)),"")</f>
        <v/>
      </c>
      <c r="BL56" s="382" t="str">
        <f t="array" ref="BL56">IFERROR(IF($AO$9="ALL",INDEX(orderHistory[order_id],ROW()-9),INDEX(orderHistory[order_id], MATCH(0, IF($AO$9=orderHistory[customer],COUNTIF($BL$9:$BL55,orderHistory[order_id]), "")), 0)),"")</f>
        <v/>
      </c>
      <c r="BM56" s="383" t="str">
        <f t="shared" si="1"/>
        <v/>
      </c>
      <c r="BN56" s="382" t="str">
        <f t="array" aca="1" ref="BN56" ca="1">IFERROR(INDEX(orderYearForSelectedClient, MATCH(0, COUNTIF($BN$9:BN55, orderYearForSelectedClient&amp;"") + IF(orderYearForSelectedClient="",1,0), 0)), "")</f>
        <v/>
      </c>
      <c r="BO56" s="383" t="str">
        <f t="shared" si="0"/>
        <v/>
      </c>
    </row>
    <row r="57" spans="63:67">
      <c r="BK57" s="381" t="str">
        <f t="array" ref="BK57">IFERROR(IF($AO$9="",INDEX(orderHistory[order_date],ROW()-9),INDEX(orderHistory[order_date], MATCH(0, IF($AO$9=orderHistory[customer],COUNTIF($BK$9:$BK56,orderHistory[order_date]), "")), 0)),"")</f>
        <v/>
      </c>
      <c r="BL57" s="382" t="str">
        <f t="array" ref="BL57">IFERROR(IF($AO$9="ALL",INDEX(orderHistory[order_id],ROW()-9),INDEX(orderHistory[order_id], MATCH(0, IF($AO$9=orderHistory[customer],COUNTIF($BL$9:$BL56,orderHistory[order_id]), "")), 0)),"")</f>
        <v/>
      </c>
      <c r="BM57" s="383" t="str">
        <f t="shared" si="1"/>
        <v/>
      </c>
      <c r="BN57" s="382" t="str">
        <f t="array" aca="1" ref="BN57" ca="1">IFERROR(INDEX(orderYearForSelectedClient, MATCH(0, COUNTIF($BN$9:BN56, orderYearForSelectedClient&amp;"") + IF(orderYearForSelectedClient="",1,0), 0)), "")</f>
        <v/>
      </c>
      <c r="BO57" s="383" t="str">
        <f t="shared" si="0"/>
        <v/>
      </c>
    </row>
    <row r="58" spans="63:67">
      <c r="BK58" s="381" t="str">
        <f t="array" ref="BK58">IFERROR(IF($AO$9="",INDEX(orderHistory[order_date],ROW()-9),INDEX(orderHistory[order_date], MATCH(0, IF($AO$9=orderHistory[customer],COUNTIF($BK$9:$BK57,orderHistory[order_date]), "")), 0)),"")</f>
        <v/>
      </c>
      <c r="BL58" s="382" t="str">
        <f t="array" ref="BL58">IFERROR(IF($AO$9="ALL",INDEX(orderHistory[order_id],ROW()-9),INDEX(orderHistory[order_id], MATCH(0, IF($AO$9=orderHistory[customer],COUNTIF($BL$9:$BL57,orderHistory[order_id]), "")), 0)),"")</f>
        <v/>
      </c>
      <c r="BM58" s="383" t="str">
        <f t="shared" si="1"/>
        <v/>
      </c>
      <c r="BN58" s="382" t="str">
        <f t="array" aca="1" ref="BN58" ca="1">IFERROR(INDEX(orderYearForSelectedClient, MATCH(0, COUNTIF($BN$9:BN57, orderYearForSelectedClient&amp;"") + IF(orderYearForSelectedClient="",1,0), 0)), "")</f>
        <v/>
      </c>
      <c r="BO58" s="383" t="str">
        <f t="shared" si="0"/>
        <v/>
      </c>
    </row>
    <row r="59" spans="63:67">
      <c r="BK59" s="381" t="str">
        <f t="array" ref="BK59">IFERROR(IF($AO$9="",INDEX(orderHistory[order_date],ROW()-9),INDEX(orderHistory[order_date], MATCH(0, IF($AO$9=orderHistory[customer],COUNTIF($BK$9:$BK58,orderHistory[order_date]), "")), 0)),"")</f>
        <v/>
      </c>
      <c r="BL59" s="382" t="str">
        <f t="array" ref="BL59">IFERROR(IF($AO$9="ALL",INDEX(orderHistory[order_id],ROW()-9),INDEX(orderHistory[order_id], MATCH(0, IF($AO$9=orderHistory[customer],COUNTIF($BL$9:$BL58,orderHistory[order_id]), "")), 0)),"")</f>
        <v/>
      </c>
      <c r="BM59" s="383" t="str">
        <f t="shared" si="1"/>
        <v/>
      </c>
      <c r="BN59" s="382" t="str">
        <f t="array" aca="1" ref="BN59" ca="1">IFERROR(INDEX(orderYearForSelectedClient, MATCH(0, COUNTIF($BN$9:BN58, orderYearForSelectedClient&amp;"") + IF(orderYearForSelectedClient="",1,0), 0)), "")</f>
        <v/>
      </c>
      <c r="BO59" s="383" t="str">
        <f t="shared" si="0"/>
        <v/>
      </c>
    </row>
    <row r="60" spans="63:67">
      <c r="BK60" s="381" t="str">
        <f t="array" ref="BK60">IFERROR(IF($AO$9="",INDEX(orderHistory[order_date],ROW()-9),INDEX(orderHistory[order_date], MATCH(0, IF($AO$9=orderHistory[customer],COUNTIF($BK$9:$BK59,orderHistory[order_date]), "")), 0)),"")</f>
        <v/>
      </c>
      <c r="BL60" s="382" t="str">
        <f t="array" ref="BL60">IFERROR(IF($AO$9="ALL",INDEX(orderHistory[order_id],ROW()-9),INDEX(orderHistory[order_id], MATCH(0, IF($AO$9=orderHistory[customer],COUNTIF($BL$9:$BL59,orderHistory[order_id]), "")), 0)),"")</f>
        <v/>
      </c>
      <c r="BM60" s="383" t="str">
        <f t="shared" si="1"/>
        <v/>
      </c>
      <c r="BN60" s="382" t="str">
        <f t="array" aca="1" ref="BN60" ca="1">IFERROR(INDEX(orderYearForSelectedClient, MATCH(0, COUNTIF($BN$9:BN59, orderYearForSelectedClient&amp;"") + IF(orderYearForSelectedClient="",1,0), 0)), "")</f>
        <v/>
      </c>
      <c r="BO60" s="383" t="str">
        <f t="shared" si="0"/>
        <v/>
      </c>
    </row>
    <row r="61" spans="63:67">
      <c r="BK61" s="381" t="str">
        <f t="array" ref="BK61">IFERROR(IF($AO$9="",INDEX(orderHistory[order_date],ROW()-9),INDEX(orderHistory[order_date], MATCH(0, IF($AO$9=orderHistory[customer],COUNTIF($BK$9:$BK60,orderHistory[order_date]), "")), 0)),"")</f>
        <v/>
      </c>
      <c r="BL61" s="382" t="str">
        <f t="array" ref="BL61">IFERROR(IF($AO$9="ALL",INDEX(orderHistory[order_id],ROW()-9),INDEX(orderHistory[order_id], MATCH(0, IF($AO$9=orderHistory[customer],COUNTIF($BL$9:$BL60,orderHistory[order_id]), "")), 0)),"")</f>
        <v/>
      </c>
      <c r="BM61" s="383" t="str">
        <f t="shared" si="1"/>
        <v/>
      </c>
      <c r="BN61" s="382" t="str">
        <f t="array" aca="1" ref="BN61" ca="1">IFERROR(INDEX(orderYearForSelectedClient, MATCH(0, COUNTIF($BN$9:BN60, orderYearForSelectedClient&amp;"") + IF(orderYearForSelectedClient="",1,0), 0)), "")</f>
        <v/>
      </c>
      <c r="BO61" s="383" t="str">
        <f t="shared" si="0"/>
        <v/>
      </c>
    </row>
    <row r="62" spans="63:67">
      <c r="BK62" s="381" t="str">
        <f t="array" ref="BK62">IFERROR(IF($AO$9="",INDEX(orderHistory[order_date],ROW()-9),INDEX(orderHistory[order_date], MATCH(0, IF($AO$9=orderHistory[customer],COUNTIF($BK$9:$BK61,orderHistory[order_date]), "")), 0)),"")</f>
        <v/>
      </c>
      <c r="BL62" s="382" t="str">
        <f t="array" ref="BL62">IFERROR(IF($AO$9="ALL",INDEX(orderHistory[order_id],ROW()-9),INDEX(orderHistory[order_id], MATCH(0, IF($AO$9=orderHistory[customer],COUNTIF($BL$9:$BL61,orderHistory[order_id]), "")), 0)),"")</f>
        <v/>
      </c>
      <c r="BM62" s="383" t="str">
        <f t="shared" si="1"/>
        <v/>
      </c>
      <c r="BN62" s="382" t="str">
        <f t="array" aca="1" ref="BN62" ca="1">IFERROR(INDEX(orderYearForSelectedClient, MATCH(0, COUNTIF($BN$9:BN61, orderYearForSelectedClient&amp;"") + IF(orderYearForSelectedClient="",1,0), 0)), "")</f>
        <v/>
      </c>
      <c r="BO62" s="383" t="str">
        <f t="shared" si="0"/>
        <v/>
      </c>
    </row>
    <row r="63" spans="63:67">
      <c r="BK63" s="381" t="str">
        <f t="array" ref="BK63">IFERROR(IF($AO$9="",INDEX(orderHistory[order_date],ROW()-9),INDEX(orderHistory[order_date], MATCH(0, IF($AO$9=orderHistory[customer],COUNTIF($BK$9:$BK62,orderHistory[order_date]), "")), 0)),"")</f>
        <v/>
      </c>
      <c r="BL63" s="382" t="str">
        <f t="array" ref="BL63">IFERROR(IF($AO$9="ALL",INDEX(orderHistory[order_id],ROW()-9),INDEX(orderHistory[order_id], MATCH(0, IF($AO$9=orderHistory[customer],COUNTIF($BL$9:$BL62,orderHistory[order_id]), "")), 0)),"")</f>
        <v/>
      </c>
      <c r="BM63" s="383" t="str">
        <f t="shared" si="1"/>
        <v/>
      </c>
      <c r="BN63" s="382" t="str">
        <f t="array" aca="1" ref="BN63" ca="1">IFERROR(INDEX(orderYearForSelectedClient, MATCH(0, COUNTIF($BN$9:BN62, orderYearForSelectedClient&amp;"") + IF(orderYearForSelectedClient="",1,0), 0)), "")</f>
        <v/>
      </c>
      <c r="BO63" s="383" t="str">
        <f t="shared" si="0"/>
        <v/>
      </c>
    </row>
    <row r="64" spans="63:67">
      <c r="BK64" s="381" t="str">
        <f t="array" ref="BK64">IFERROR(IF($AO$9="",INDEX(orderHistory[order_date],ROW()-9),INDEX(orderHistory[order_date], MATCH(0, IF($AO$9=orderHistory[customer],COUNTIF($BK$9:$BK63,orderHistory[order_date]), "")), 0)),"")</f>
        <v/>
      </c>
      <c r="BL64" s="382" t="str">
        <f t="array" ref="BL64">IFERROR(IF($AO$9="ALL",INDEX(orderHistory[order_id],ROW()-9),INDEX(orderHistory[order_id], MATCH(0, IF($AO$9=orderHistory[customer],COUNTIF($BL$9:$BL63,orderHistory[order_id]), "")), 0)),"")</f>
        <v/>
      </c>
      <c r="BM64" s="383" t="str">
        <f t="shared" si="1"/>
        <v/>
      </c>
      <c r="BN64" s="382" t="str">
        <f t="array" aca="1" ref="BN64" ca="1">IFERROR(INDEX(orderYearForSelectedClient, MATCH(0, COUNTIF($BN$9:BN63, orderYearForSelectedClient&amp;"") + IF(orderYearForSelectedClient="",1,0), 0)), "")</f>
        <v/>
      </c>
      <c r="BO64" s="383" t="str">
        <f t="shared" si="0"/>
        <v/>
      </c>
    </row>
    <row r="65" spans="63:67">
      <c r="BK65" s="381" t="str">
        <f t="array" ref="BK65">IFERROR(IF($AO$9="",INDEX(orderHistory[order_date],ROW()-9),INDEX(orderHistory[order_date], MATCH(0, IF($AO$9=orderHistory[customer],COUNTIF($BK$9:$BK64,orderHistory[order_date]), "")), 0)),"")</f>
        <v/>
      </c>
      <c r="BL65" s="382" t="str">
        <f t="array" ref="BL65">IFERROR(IF($AO$9="ALL",INDEX(orderHistory[order_id],ROW()-9),INDEX(orderHistory[order_id], MATCH(0, IF($AO$9=orderHistory[customer],COUNTIF($BL$9:$BL64,orderHistory[order_id]), "")), 0)),"")</f>
        <v/>
      </c>
      <c r="BM65" s="383" t="str">
        <f t="shared" si="1"/>
        <v/>
      </c>
      <c r="BN65" s="382" t="str">
        <f t="array" aca="1" ref="BN65" ca="1">IFERROR(INDEX(orderYearForSelectedClient, MATCH(0, COUNTIF($BN$9:BN64, orderYearForSelectedClient&amp;"") + IF(orderYearForSelectedClient="",1,0), 0)), "")</f>
        <v/>
      </c>
      <c r="BO65" s="383" t="str">
        <f t="shared" si="0"/>
        <v/>
      </c>
    </row>
    <row r="66" spans="63:67">
      <c r="BK66" s="381" t="str">
        <f t="array" ref="BK66">IFERROR(IF($AO$9="",INDEX(orderHistory[order_date],ROW()-9),INDEX(orderHistory[order_date], MATCH(0, IF($AO$9=orderHistory[customer],COUNTIF($BK$9:$BK65,orderHistory[order_date]), "")), 0)),"")</f>
        <v/>
      </c>
      <c r="BL66" s="382" t="str">
        <f t="array" ref="BL66">IFERROR(IF($AO$9="ALL",INDEX(orderHistory[order_id],ROW()-9),INDEX(orderHistory[order_id], MATCH(0, IF($AO$9=orderHistory[customer],COUNTIF($BL$9:$BL65,orderHistory[order_id]), "")), 0)),"")</f>
        <v/>
      </c>
      <c r="BM66" s="383" t="str">
        <f t="shared" si="1"/>
        <v/>
      </c>
      <c r="BN66" s="382" t="str">
        <f t="array" aca="1" ref="BN66" ca="1">IFERROR(INDEX(orderYearForSelectedClient, MATCH(0, COUNTIF($BN$9:BN65, orderYearForSelectedClient&amp;"") + IF(orderYearForSelectedClient="",1,0), 0)), "")</f>
        <v/>
      </c>
      <c r="BO66" s="383" t="str">
        <f t="shared" si="0"/>
        <v/>
      </c>
    </row>
    <row r="67" spans="63:67">
      <c r="BK67" s="381" t="str">
        <f t="array" ref="BK67">IFERROR(IF($AO$9="",INDEX(orderHistory[order_date],ROW()-9),INDEX(orderHistory[order_date], MATCH(0, IF($AO$9=orderHistory[customer],COUNTIF($BK$9:$BK66,orderHistory[order_date]), "")), 0)),"")</f>
        <v/>
      </c>
      <c r="BL67" s="382" t="str">
        <f t="array" ref="BL67">IFERROR(IF($AO$9="ALL",INDEX(orderHistory[order_id],ROW()-9),INDEX(orderHistory[order_id], MATCH(0, IF($AO$9=orderHistory[customer],COUNTIF($BL$9:$BL66,orderHistory[order_id]), "")), 0)),"")</f>
        <v/>
      </c>
      <c r="BM67" s="383" t="str">
        <f t="shared" si="1"/>
        <v/>
      </c>
      <c r="BN67" s="382" t="str">
        <f t="array" aca="1" ref="BN67" ca="1">IFERROR(INDEX(orderYearForSelectedClient, MATCH(0, COUNTIF($BN$9:BN66, orderYearForSelectedClient&amp;"") + IF(orderYearForSelectedClient="",1,0), 0)), "")</f>
        <v/>
      </c>
      <c r="BO67" s="383" t="str">
        <f t="shared" si="0"/>
        <v/>
      </c>
    </row>
    <row r="68" spans="63:67">
      <c r="BK68" s="381" t="str">
        <f t="array" ref="BK68">IFERROR(IF($AO$9="",INDEX(orderHistory[order_date],ROW()-9),INDEX(orderHistory[order_date], MATCH(0, IF($AO$9=orderHistory[customer],COUNTIF($BK$9:$BK67,orderHistory[order_date]), "")), 0)),"")</f>
        <v/>
      </c>
      <c r="BL68" s="382" t="str">
        <f t="array" ref="BL68">IFERROR(IF($AO$9="ALL",INDEX(orderHistory[order_id],ROW()-9),INDEX(orderHistory[order_id], MATCH(0, IF($AO$9=orderHistory[customer],COUNTIF($BL$9:$BL67,orderHistory[order_id]), "")), 0)),"")</f>
        <v/>
      </c>
      <c r="BM68" s="383" t="str">
        <f t="shared" si="1"/>
        <v/>
      </c>
      <c r="BN68" s="382" t="str">
        <f t="array" aca="1" ref="BN68" ca="1">IFERROR(INDEX(orderYearForSelectedClient, MATCH(0, COUNTIF($BN$9:BN67, orderYearForSelectedClient&amp;"") + IF(orderYearForSelectedClient="",1,0), 0)), "")</f>
        <v/>
      </c>
      <c r="BO68" s="383" t="str">
        <f t="shared" si="0"/>
        <v/>
      </c>
    </row>
    <row r="69" spans="63:67">
      <c r="BK69" s="381" t="str">
        <f t="array" ref="BK69">IFERROR(IF($AO$9="",INDEX(orderHistory[order_date],ROW()-9),INDEX(orderHistory[order_date], MATCH(0, IF($AO$9=orderHistory[customer],COUNTIF($BK$9:$BK68,orderHistory[order_date]), "")), 0)),"")</f>
        <v/>
      </c>
      <c r="BL69" s="382" t="str">
        <f t="array" ref="BL69">IFERROR(IF($AO$9="ALL",INDEX(orderHistory[order_id],ROW()-9),INDEX(orderHistory[order_id], MATCH(0, IF($AO$9=orderHistory[customer],COUNTIF($BL$9:$BL68,orderHistory[order_id]), "")), 0)),"")</f>
        <v/>
      </c>
      <c r="BM69" s="383" t="str">
        <f t="shared" si="1"/>
        <v/>
      </c>
      <c r="BN69" s="382" t="str">
        <f t="array" aca="1" ref="BN69" ca="1">IFERROR(INDEX(orderYearForSelectedClient, MATCH(0, COUNTIF($BN$9:BN68, orderYearForSelectedClient&amp;"") + IF(orderYearForSelectedClient="",1,0), 0)), "")</f>
        <v/>
      </c>
      <c r="BO69" s="383" t="str">
        <f t="shared" si="0"/>
        <v/>
      </c>
    </row>
    <row r="70" spans="63:67">
      <c r="BK70" s="381" t="str">
        <f t="array" ref="BK70">IFERROR(IF($AO$9="",INDEX(orderHistory[order_date],ROW()-9),INDEX(orderHistory[order_date], MATCH(0, IF($AO$9=orderHistory[customer],COUNTIF($BK$9:$BK69,orderHistory[order_date]), "")), 0)),"")</f>
        <v/>
      </c>
      <c r="BL70" s="382" t="str">
        <f t="array" ref="BL70">IFERROR(IF($AO$9="ALL",INDEX(orderHistory[order_id],ROW()-9),INDEX(orderHistory[order_id], MATCH(0, IF($AO$9=orderHistory[customer],COUNTIF($BL$9:$BL69,orderHistory[order_id]), "")), 0)),"")</f>
        <v/>
      </c>
      <c r="BM70" s="383" t="str">
        <f t="shared" si="1"/>
        <v/>
      </c>
      <c r="BN70" s="382" t="str">
        <f t="array" aca="1" ref="BN70" ca="1">IFERROR(INDEX(orderYearForSelectedClient, MATCH(0, COUNTIF($BN$9:BN69, orderYearForSelectedClient&amp;"") + IF(orderYearForSelectedClient="",1,0), 0)), "")</f>
        <v/>
      </c>
      <c r="BO70" s="383" t="str">
        <f t="shared" si="0"/>
        <v/>
      </c>
    </row>
    <row r="71" spans="63:67">
      <c r="BK71" s="381" t="str">
        <f t="array" ref="BK71">IFERROR(IF($AO$9="",INDEX(orderHistory[order_date],ROW()-9),INDEX(orderHistory[order_date], MATCH(0, IF($AO$9=orderHistory[customer],COUNTIF($BK$9:$BK70,orderHistory[order_date]), "")), 0)),"")</f>
        <v/>
      </c>
      <c r="BL71" s="382" t="str">
        <f t="array" ref="BL71">IFERROR(IF($AO$9="ALL",INDEX(orderHistory[order_id],ROW()-9),INDEX(orderHistory[order_id], MATCH(0, IF($AO$9=orderHistory[customer],COUNTIF($BL$9:$BL70,orderHistory[order_id]), "")), 0)),"")</f>
        <v/>
      </c>
      <c r="BM71" s="383" t="str">
        <f t="shared" si="1"/>
        <v/>
      </c>
      <c r="BN71" s="382" t="str">
        <f t="array" aca="1" ref="BN71" ca="1">IFERROR(INDEX(orderYearForSelectedClient, MATCH(0, COUNTIF($BN$9:BN70, orderYearForSelectedClient&amp;"") + IF(orderYearForSelectedClient="",1,0), 0)), "")</f>
        <v/>
      </c>
      <c r="BO71" s="383" t="str">
        <f t="shared" si="0"/>
        <v/>
      </c>
    </row>
    <row r="72" spans="63:67">
      <c r="BK72" s="381" t="str">
        <f t="array" ref="BK72">IFERROR(IF($AO$9="",INDEX(orderHistory[order_date],ROW()-9),INDEX(orderHistory[order_date], MATCH(0, IF($AO$9=orderHistory[customer],COUNTIF($BK$9:$BK71,orderHistory[order_date]), "")), 0)),"")</f>
        <v/>
      </c>
      <c r="BL72" s="382" t="str">
        <f t="array" ref="BL72">IFERROR(IF($AO$9="ALL",INDEX(orderHistory[order_id],ROW()-9),INDEX(orderHistory[order_id], MATCH(0, IF($AO$9=orderHistory[customer],COUNTIF($BL$9:$BL71,orderHistory[order_id]), "")), 0)),"")</f>
        <v/>
      </c>
      <c r="BM72" s="383" t="str">
        <f t="shared" si="1"/>
        <v/>
      </c>
      <c r="BN72" s="382" t="str">
        <f t="array" aca="1" ref="BN72" ca="1">IFERROR(INDEX(orderYearForSelectedClient, MATCH(0, COUNTIF($BN$9:BN71, orderYearForSelectedClient&amp;"") + IF(orderYearForSelectedClient="",1,0), 0)), "")</f>
        <v/>
      </c>
      <c r="BO72" s="383" t="str">
        <f t="shared" si="0"/>
        <v/>
      </c>
    </row>
    <row r="73" spans="63:67">
      <c r="BK73" s="381" t="str">
        <f t="array" ref="BK73">IFERROR(IF($AO$9="",INDEX(orderHistory[order_date],ROW()-9),INDEX(orderHistory[order_date], MATCH(0, IF($AO$9=orderHistory[customer],COUNTIF($BK$9:$BK72,orderHistory[order_date]), "")), 0)),"")</f>
        <v/>
      </c>
      <c r="BL73" s="382" t="str">
        <f t="array" ref="BL73">IFERROR(IF($AO$9="ALL",INDEX(orderHistory[order_id],ROW()-9),INDEX(orderHistory[order_id], MATCH(0, IF($AO$9=orderHistory[customer],COUNTIF($BL$9:$BL72,orderHistory[order_id]), "")), 0)),"")</f>
        <v/>
      </c>
      <c r="BM73" s="383" t="str">
        <f t="shared" si="1"/>
        <v/>
      </c>
      <c r="BN73" s="382" t="str">
        <f t="array" aca="1" ref="BN73" ca="1">IFERROR(INDEX(orderYearForSelectedClient, MATCH(0, COUNTIF($BN$9:BN72, orderYearForSelectedClient&amp;"") + IF(orderYearForSelectedClient="",1,0), 0)), "")</f>
        <v/>
      </c>
      <c r="BO73" s="383" t="str">
        <f t="shared" si="0"/>
        <v/>
      </c>
    </row>
    <row r="74" spans="63:67">
      <c r="BK74" s="381" t="str">
        <f t="array" ref="BK74">IFERROR(IF($AO$9="",INDEX(orderHistory[order_date],ROW()-9),INDEX(orderHistory[order_date], MATCH(0, IF($AO$9=orderHistory[customer],COUNTIF($BK$9:$BK73,orderHistory[order_date]), "")), 0)),"")</f>
        <v/>
      </c>
      <c r="BL74" s="382" t="str">
        <f t="array" ref="BL74">IFERROR(IF($AO$9="ALL",INDEX(orderHistory[order_id],ROW()-9),INDEX(orderHistory[order_id], MATCH(0, IF($AO$9=orderHistory[customer],COUNTIF($BL$9:$BL73,orderHistory[order_id]), "")), 0)),"")</f>
        <v/>
      </c>
      <c r="BM74" s="383" t="str">
        <f t="shared" ref="BM74:BM137" si="2">IF(BK74="","",YEAR(BK74))</f>
        <v/>
      </c>
      <c r="BN74" s="382" t="str">
        <f t="array" aca="1" ref="BN74" ca="1">IFERROR(INDEX(orderYearForSelectedClient, MATCH(0, COUNTIF($BN$9:BN73, orderYearForSelectedClient&amp;"") + IF(orderYearForSelectedClient="",1,0), 0)), "")</f>
        <v/>
      </c>
      <c r="BO74" s="383" t="str">
        <f t="shared" ref="BO74:BO137" si="3">IF($P$5="",BL74,IF(BM74=$P$5,BL74,""))</f>
        <v/>
      </c>
    </row>
    <row r="75" spans="63:67">
      <c r="BK75" s="381" t="str">
        <f t="array" ref="BK75">IFERROR(IF($AO$9="",INDEX(orderHistory[order_date],ROW()-9),INDEX(orderHistory[order_date], MATCH(0, IF($AO$9=orderHistory[customer],COUNTIF($BK$9:$BK74,orderHistory[order_date]), "")), 0)),"")</f>
        <v/>
      </c>
      <c r="BL75" s="382" t="str">
        <f t="array" ref="BL75">IFERROR(IF($AO$9="ALL",INDEX(orderHistory[order_id],ROW()-9),INDEX(orderHistory[order_id], MATCH(0, IF($AO$9=orderHistory[customer],COUNTIF($BL$9:$BL74,orderHistory[order_id]), "")), 0)),"")</f>
        <v/>
      </c>
      <c r="BM75" s="383" t="str">
        <f t="shared" si="2"/>
        <v/>
      </c>
      <c r="BN75" s="382" t="str">
        <f t="array" aca="1" ref="BN75" ca="1">IFERROR(INDEX(orderYearForSelectedClient, MATCH(0, COUNTIF($BN$9:BN74, orderYearForSelectedClient&amp;"") + IF(orderYearForSelectedClient="",1,0), 0)), "")</f>
        <v/>
      </c>
      <c r="BO75" s="383" t="str">
        <f t="shared" si="3"/>
        <v/>
      </c>
    </row>
    <row r="76" spans="63:67">
      <c r="BK76" s="381" t="str">
        <f t="array" ref="BK76">IFERROR(IF($AO$9="",INDEX(orderHistory[order_date],ROW()-9),INDEX(orderHistory[order_date], MATCH(0, IF($AO$9=orderHistory[customer],COUNTIF($BK$9:$BK75,orderHistory[order_date]), "")), 0)),"")</f>
        <v/>
      </c>
      <c r="BL76" s="382" t="str">
        <f t="array" ref="BL76">IFERROR(IF($AO$9="ALL",INDEX(orderHistory[order_id],ROW()-9),INDEX(orderHistory[order_id], MATCH(0, IF($AO$9=orderHistory[customer],COUNTIF($BL$9:$BL75,orderHistory[order_id]), "")), 0)),"")</f>
        <v/>
      </c>
      <c r="BM76" s="383" t="str">
        <f t="shared" si="2"/>
        <v/>
      </c>
      <c r="BN76" s="382" t="str">
        <f t="array" aca="1" ref="BN76" ca="1">IFERROR(INDEX(orderYearForSelectedClient, MATCH(0, COUNTIF($BN$9:BN75, orderYearForSelectedClient&amp;"") + IF(orderYearForSelectedClient="",1,0), 0)), "")</f>
        <v/>
      </c>
      <c r="BO76" s="383" t="str">
        <f t="shared" si="3"/>
        <v/>
      </c>
    </row>
    <row r="77" spans="63:67">
      <c r="BK77" s="381" t="str">
        <f t="array" ref="BK77">IFERROR(IF($AO$9="",INDEX(orderHistory[order_date],ROW()-9),INDEX(orderHistory[order_date], MATCH(0, IF($AO$9=orderHistory[customer],COUNTIF($BK$9:$BK76,orderHistory[order_date]), "")), 0)),"")</f>
        <v/>
      </c>
      <c r="BL77" s="382" t="str">
        <f t="array" ref="BL77">IFERROR(IF($AO$9="ALL",INDEX(orderHistory[order_id],ROW()-9),INDEX(orderHistory[order_id], MATCH(0, IF($AO$9=orderHistory[customer],COUNTIF($BL$9:$BL76,orderHistory[order_id]), "")), 0)),"")</f>
        <v/>
      </c>
      <c r="BM77" s="383" t="str">
        <f t="shared" si="2"/>
        <v/>
      </c>
      <c r="BN77" s="382" t="str">
        <f t="array" aca="1" ref="BN77" ca="1">IFERROR(INDEX(orderYearForSelectedClient, MATCH(0, COUNTIF($BN$9:BN76, orderYearForSelectedClient&amp;"") + IF(orderYearForSelectedClient="",1,0), 0)), "")</f>
        <v/>
      </c>
      <c r="BO77" s="383" t="str">
        <f t="shared" si="3"/>
        <v/>
      </c>
    </row>
    <row r="78" spans="63:67">
      <c r="BK78" s="381" t="str">
        <f t="array" ref="BK78">IFERROR(IF($AO$9="",INDEX(orderHistory[order_date],ROW()-9),INDEX(orderHistory[order_date], MATCH(0, IF($AO$9=orderHistory[customer],COUNTIF($BK$9:$BK77,orderHistory[order_date]), "")), 0)),"")</f>
        <v/>
      </c>
      <c r="BL78" s="382" t="str">
        <f t="array" ref="BL78">IFERROR(IF($AO$9="ALL",INDEX(orderHistory[order_id],ROW()-9),INDEX(orderHistory[order_id], MATCH(0, IF($AO$9=orderHistory[customer],COUNTIF($BL$9:$BL77,orderHistory[order_id]), "")), 0)),"")</f>
        <v/>
      </c>
      <c r="BM78" s="383" t="str">
        <f t="shared" si="2"/>
        <v/>
      </c>
      <c r="BN78" s="382" t="str">
        <f t="array" aca="1" ref="BN78" ca="1">IFERROR(INDEX(orderYearForSelectedClient, MATCH(0, COUNTIF($BN$9:BN77, orderYearForSelectedClient&amp;"") + IF(orderYearForSelectedClient="",1,0), 0)), "")</f>
        <v/>
      </c>
      <c r="BO78" s="383" t="str">
        <f t="shared" si="3"/>
        <v/>
      </c>
    </row>
    <row r="79" spans="63:67">
      <c r="BK79" s="381" t="str">
        <f t="array" ref="BK79">IFERROR(IF($AO$9="",INDEX(orderHistory[order_date],ROW()-9),INDEX(orderHistory[order_date], MATCH(0, IF($AO$9=orderHistory[customer],COUNTIF($BK$9:$BK78,orderHistory[order_date]), "")), 0)),"")</f>
        <v/>
      </c>
      <c r="BL79" s="382" t="str">
        <f t="array" ref="BL79">IFERROR(IF($AO$9="ALL",INDEX(orderHistory[order_id],ROW()-9),INDEX(orderHistory[order_id], MATCH(0, IF($AO$9=orderHistory[customer],COUNTIF($BL$9:$BL78,orderHistory[order_id]), "")), 0)),"")</f>
        <v/>
      </c>
      <c r="BM79" s="383" t="str">
        <f t="shared" si="2"/>
        <v/>
      </c>
      <c r="BN79" s="382" t="str">
        <f t="array" aca="1" ref="BN79" ca="1">IFERROR(INDEX(orderYearForSelectedClient, MATCH(0, COUNTIF($BN$9:BN78, orderYearForSelectedClient&amp;"") + IF(orderYearForSelectedClient="",1,0), 0)), "")</f>
        <v/>
      </c>
      <c r="BO79" s="383" t="str">
        <f t="shared" si="3"/>
        <v/>
      </c>
    </row>
    <row r="80" spans="63:67">
      <c r="BK80" s="381" t="str">
        <f t="array" ref="BK80">IFERROR(IF($AO$9="",INDEX(orderHistory[order_date],ROW()-9),INDEX(orderHistory[order_date], MATCH(0, IF($AO$9=orderHistory[customer],COUNTIF($BK$9:$BK79,orderHistory[order_date]), "")), 0)),"")</f>
        <v/>
      </c>
      <c r="BL80" s="382" t="str">
        <f t="array" ref="BL80">IFERROR(IF($AO$9="ALL",INDEX(orderHistory[order_id],ROW()-9),INDEX(orderHistory[order_id], MATCH(0, IF($AO$9=orderHistory[customer],COUNTIF($BL$9:$BL79,orderHistory[order_id]), "")), 0)),"")</f>
        <v/>
      </c>
      <c r="BM80" s="383" t="str">
        <f t="shared" si="2"/>
        <v/>
      </c>
      <c r="BN80" s="382" t="str">
        <f t="array" aca="1" ref="BN80" ca="1">IFERROR(INDEX(orderYearForSelectedClient, MATCH(0, COUNTIF($BN$9:BN79, orderYearForSelectedClient&amp;"") + IF(orderYearForSelectedClient="",1,0), 0)), "")</f>
        <v/>
      </c>
      <c r="BO80" s="383" t="str">
        <f t="shared" si="3"/>
        <v/>
      </c>
    </row>
    <row r="81" spans="63:67">
      <c r="BK81" s="381" t="str">
        <f t="array" ref="BK81">IFERROR(IF($AO$9="",INDEX(orderHistory[order_date],ROW()-9),INDEX(orderHistory[order_date], MATCH(0, IF($AO$9=orderHistory[customer],COUNTIF($BK$9:$BK80,orderHistory[order_date]), "")), 0)),"")</f>
        <v/>
      </c>
      <c r="BL81" s="382" t="str">
        <f t="array" ref="BL81">IFERROR(IF($AO$9="ALL",INDEX(orderHistory[order_id],ROW()-9),INDEX(orderHistory[order_id], MATCH(0, IF($AO$9=orderHistory[customer],COUNTIF($BL$9:$BL80,orderHistory[order_id]), "")), 0)),"")</f>
        <v/>
      </c>
      <c r="BM81" s="383" t="str">
        <f t="shared" si="2"/>
        <v/>
      </c>
      <c r="BN81" s="382" t="str">
        <f t="array" aca="1" ref="BN81" ca="1">IFERROR(INDEX(orderYearForSelectedClient, MATCH(0, COUNTIF($BN$9:BN80, orderYearForSelectedClient&amp;"") + IF(orderYearForSelectedClient="",1,0), 0)), "")</f>
        <v/>
      </c>
      <c r="BO81" s="383" t="str">
        <f t="shared" si="3"/>
        <v/>
      </c>
    </row>
    <row r="82" spans="63:67">
      <c r="BK82" s="381" t="str">
        <f t="array" ref="BK82">IFERROR(IF($AO$9="",INDEX(orderHistory[order_date],ROW()-9),INDEX(orderHistory[order_date], MATCH(0, IF($AO$9=orderHistory[customer],COUNTIF($BK$9:$BK81,orderHistory[order_date]), "")), 0)),"")</f>
        <v/>
      </c>
      <c r="BL82" s="382" t="str">
        <f t="array" ref="BL82">IFERROR(IF($AO$9="ALL",INDEX(orderHistory[order_id],ROW()-9),INDEX(orderHistory[order_id], MATCH(0, IF($AO$9=orderHistory[customer],COUNTIF($BL$9:$BL81,orderHistory[order_id]), "")), 0)),"")</f>
        <v/>
      </c>
      <c r="BM82" s="383" t="str">
        <f t="shared" si="2"/>
        <v/>
      </c>
      <c r="BN82" s="382" t="str">
        <f t="array" aca="1" ref="BN82" ca="1">IFERROR(INDEX(orderYearForSelectedClient, MATCH(0, COUNTIF($BN$9:BN81, orderYearForSelectedClient&amp;"") + IF(orderYearForSelectedClient="",1,0), 0)), "")</f>
        <v/>
      </c>
      <c r="BO82" s="383" t="str">
        <f t="shared" si="3"/>
        <v/>
      </c>
    </row>
    <row r="83" spans="63:67">
      <c r="BK83" s="381" t="str">
        <f t="array" ref="BK83">IFERROR(IF($AO$9="",INDEX(orderHistory[order_date],ROW()-9),INDEX(orderHistory[order_date], MATCH(0, IF($AO$9=orderHistory[customer],COUNTIF($BK$9:$BK82,orderHistory[order_date]), "")), 0)),"")</f>
        <v/>
      </c>
      <c r="BL83" s="382" t="str">
        <f t="array" ref="BL83">IFERROR(IF($AO$9="ALL",INDEX(orderHistory[order_id],ROW()-9),INDEX(orderHistory[order_id], MATCH(0, IF($AO$9=orderHistory[customer],COUNTIF($BL$9:$BL82,orderHistory[order_id]), "")), 0)),"")</f>
        <v/>
      </c>
      <c r="BM83" s="383" t="str">
        <f t="shared" si="2"/>
        <v/>
      </c>
      <c r="BN83" s="382" t="str">
        <f t="array" aca="1" ref="BN83" ca="1">IFERROR(INDEX(orderYearForSelectedClient, MATCH(0, COUNTIF($BN$9:BN82, orderYearForSelectedClient&amp;"") + IF(orderYearForSelectedClient="",1,0), 0)), "")</f>
        <v/>
      </c>
      <c r="BO83" s="383" t="str">
        <f t="shared" si="3"/>
        <v/>
      </c>
    </row>
    <row r="84" spans="63:67">
      <c r="BK84" s="381" t="str">
        <f t="array" ref="BK84">IFERROR(IF($AO$9="",INDEX(orderHistory[order_date],ROW()-9),INDEX(orderHistory[order_date], MATCH(0, IF($AO$9=orderHistory[customer],COUNTIF($BK$9:$BK83,orderHistory[order_date]), "")), 0)),"")</f>
        <v/>
      </c>
      <c r="BL84" s="382" t="str">
        <f t="array" ref="BL84">IFERROR(IF($AO$9="ALL",INDEX(orderHistory[order_id],ROW()-9),INDEX(orderHistory[order_id], MATCH(0, IF($AO$9=orderHistory[customer],COUNTIF($BL$9:$BL83,orderHistory[order_id]), "")), 0)),"")</f>
        <v/>
      </c>
      <c r="BM84" s="383" t="str">
        <f t="shared" si="2"/>
        <v/>
      </c>
      <c r="BN84" s="382" t="str">
        <f t="array" aca="1" ref="BN84" ca="1">IFERROR(INDEX(orderYearForSelectedClient, MATCH(0, COUNTIF($BN$9:BN83, orderYearForSelectedClient&amp;"") + IF(orderYearForSelectedClient="",1,0), 0)), "")</f>
        <v/>
      </c>
      <c r="BO84" s="383" t="str">
        <f t="shared" si="3"/>
        <v/>
      </c>
    </row>
    <row r="85" spans="63:67">
      <c r="BK85" s="381" t="str">
        <f t="array" ref="BK85">IFERROR(IF($AO$9="",INDEX(orderHistory[order_date],ROW()-9),INDEX(orderHistory[order_date], MATCH(0, IF($AO$9=orderHistory[customer],COUNTIF($BK$9:$BK84,orderHistory[order_date]), "")), 0)),"")</f>
        <v/>
      </c>
      <c r="BL85" s="382" t="str">
        <f t="array" ref="BL85">IFERROR(IF($AO$9="ALL",INDEX(orderHistory[order_id],ROW()-9),INDEX(orderHistory[order_id], MATCH(0, IF($AO$9=orderHistory[customer],COUNTIF($BL$9:$BL84,orderHistory[order_id]), "")), 0)),"")</f>
        <v/>
      </c>
      <c r="BM85" s="383" t="str">
        <f t="shared" si="2"/>
        <v/>
      </c>
      <c r="BN85" s="382" t="str">
        <f t="array" aca="1" ref="BN85" ca="1">IFERROR(INDEX(orderYearForSelectedClient, MATCH(0, COUNTIF($BN$9:BN84, orderYearForSelectedClient&amp;"") + IF(orderYearForSelectedClient="",1,0), 0)), "")</f>
        <v/>
      </c>
      <c r="BO85" s="383" t="str">
        <f t="shared" si="3"/>
        <v/>
      </c>
    </row>
    <row r="86" spans="63:67">
      <c r="BK86" s="381" t="str">
        <f t="array" ref="BK86">IFERROR(IF($AO$9="",INDEX(orderHistory[order_date],ROW()-9),INDEX(orderHistory[order_date], MATCH(0, IF($AO$9=orderHistory[customer],COUNTIF($BK$9:$BK85,orderHistory[order_date]), "")), 0)),"")</f>
        <v/>
      </c>
      <c r="BL86" s="382" t="str">
        <f t="array" ref="BL86">IFERROR(IF($AO$9="ALL",INDEX(orderHistory[order_id],ROW()-9),INDEX(orderHistory[order_id], MATCH(0, IF($AO$9=orderHistory[customer],COUNTIF($BL$9:$BL85,orderHistory[order_id]), "")), 0)),"")</f>
        <v/>
      </c>
      <c r="BM86" s="383" t="str">
        <f t="shared" si="2"/>
        <v/>
      </c>
      <c r="BN86" s="382" t="str">
        <f t="array" aca="1" ref="BN86" ca="1">IFERROR(INDEX(orderYearForSelectedClient, MATCH(0, COUNTIF($BN$9:BN85, orderYearForSelectedClient&amp;"") + IF(orderYearForSelectedClient="",1,0), 0)), "")</f>
        <v/>
      </c>
      <c r="BO86" s="383" t="str">
        <f t="shared" si="3"/>
        <v/>
      </c>
    </row>
    <row r="87" spans="63:67">
      <c r="BK87" s="381" t="str">
        <f t="array" ref="BK87">IFERROR(IF($AO$9="",INDEX(orderHistory[order_date],ROW()-9),INDEX(orderHistory[order_date], MATCH(0, IF($AO$9=orderHistory[customer],COUNTIF($BK$9:$BK86,orderHistory[order_date]), "")), 0)),"")</f>
        <v/>
      </c>
      <c r="BL87" s="382" t="str">
        <f t="array" ref="BL87">IFERROR(IF($AO$9="ALL",INDEX(orderHistory[order_id],ROW()-9),INDEX(orderHistory[order_id], MATCH(0, IF($AO$9=orderHistory[customer],COUNTIF($BL$9:$BL86,orderHistory[order_id]), "")), 0)),"")</f>
        <v/>
      </c>
      <c r="BM87" s="383" t="str">
        <f t="shared" si="2"/>
        <v/>
      </c>
      <c r="BN87" s="382" t="str">
        <f t="array" aca="1" ref="BN87" ca="1">IFERROR(INDEX(orderYearForSelectedClient, MATCH(0, COUNTIF($BN$9:BN86, orderYearForSelectedClient&amp;"") + IF(orderYearForSelectedClient="",1,0), 0)), "")</f>
        <v/>
      </c>
      <c r="BO87" s="383" t="str">
        <f t="shared" si="3"/>
        <v/>
      </c>
    </row>
    <row r="88" spans="63:67">
      <c r="BK88" s="381" t="str">
        <f t="array" ref="BK88">IFERROR(IF($AO$9="",INDEX(orderHistory[order_date],ROW()-9),INDEX(orderHistory[order_date], MATCH(0, IF($AO$9=orderHistory[customer],COUNTIF($BK$9:$BK87,orderHistory[order_date]), "")), 0)),"")</f>
        <v/>
      </c>
      <c r="BL88" s="382" t="str">
        <f t="array" ref="BL88">IFERROR(IF($AO$9="ALL",INDEX(orderHistory[order_id],ROW()-9),INDEX(orderHistory[order_id], MATCH(0, IF($AO$9=orderHistory[customer],COUNTIF($BL$9:$BL87,orderHistory[order_id]), "")), 0)),"")</f>
        <v/>
      </c>
      <c r="BM88" s="383" t="str">
        <f t="shared" si="2"/>
        <v/>
      </c>
      <c r="BN88" s="382" t="str">
        <f t="array" aca="1" ref="BN88" ca="1">IFERROR(INDEX(orderYearForSelectedClient, MATCH(0, COUNTIF($BN$9:BN87, orderYearForSelectedClient&amp;"") + IF(orderYearForSelectedClient="",1,0), 0)), "")</f>
        <v/>
      </c>
      <c r="BO88" s="383" t="str">
        <f t="shared" si="3"/>
        <v/>
      </c>
    </row>
    <row r="89" spans="63:67">
      <c r="BK89" s="381" t="str">
        <f t="array" ref="BK89">IFERROR(IF($AO$9="",INDEX(orderHistory[order_date],ROW()-9),INDEX(orderHistory[order_date], MATCH(0, IF($AO$9=orderHistory[customer],COUNTIF($BK$9:$BK88,orderHistory[order_date]), "")), 0)),"")</f>
        <v/>
      </c>
      <c r="BL89" s="382" t="str">
        <f t="array" ref="BL89">IFERROR(IF($AO$9="ALL",INDEX(orderHistory[order_id],ROW()-9),INDEX(orderHistory[order_id], MATCH(0, IF($AO$9=orderHistory[customer],COUNTIF($BL$9:$BL88,orderHistory[order_id]), "")), 0)),"")</f>
        <v/>
      </c>
      <c r="BM89" s="383" t="str">
        <f t="shared" si="2"/>
        <v/>
      </c>
      <c r="BN89" s="382" t="str">
        <f t="array" aca="1" ref="BN89" ca="1">IFERROR(INDEX(orderYearForSelectedClient, MATCH(0, COUNTIF($BN$9:BN88, orderYearForSelectedClient&amp;"") + IF(orderYearForSelectedClient="",1,0), 0)), "")</f>
        <v/>
      </c>
      <c r="BO89" s="383" t="str">
        <f t="shared" si="3"/>
        <v/>
      </c>
    </row>
    <row r="90" spans="63:67">
      <c r="BK90" s="381" t="str">
        <f t="array" ref="BK90">IFERROR(IF($AO$9="",INDEX(orderHistory[order_date],ROW()-9),INDEX(orderHistory[order_date], MATCH(0, IF($AO$9=orderHistory[customer],COUNTIF($BK$9:$BK89,orderHistory[order_date]), "")), 0)),"")</f>
        <v/>
      </c>
      <c r="BL90" s="382" t="str">
        <f t="array" ref="BL90">IFERROR(IF($AO$9="ALL",INDEX(orderHistory[order_id],ROW()-9),INDEX(orderHistory[order_id], MATCH(0, IF($AO$9=orderHistory[customer],COUNTIF($BL$9:$BL89,orderHistory[order_id]), "")), 0)),"")</f>
        <v/>
      </c>
      <c r="BM90" s="383" t="str">
        <f t="shared" si="2"/>
        <v/>
      </c>
      <c r="BN90" s="382" t="str">
        <f t="array" aca="1" ref="BN90" ca="1">IFERROR(INDEX(orderYearForSelectedClient, MATCH(0, COUNTIF($BN$9:BN89, orderYearForSelectedClient&amp;"") + IF(orderYearForSelectedClient="",1,0), 0)), "")</f>
        <v/>
      </c>
      <c r="BO90" s="383" t="str">
        <f t="shared" si="3"/>
        <v/>
      </c>
    </row>
    <row r="91" spans="63:67">
      <c r="BK91" s="381" t="str">
        <f t="array" ref="BK91">IFERROR(IF($AO$9="",INDEX(orderHistory[order_date],ROW()-9),INDEX(orderHistory[order_date], MATCH(0, IF($AO$9=orderHistory[customer],COUNTIF($BK$9:$BK90,orderHistory[order_date]), "")), 0)),"")</f>
        <v/>
      </c>
      <c r="BL91" s="382" t="str">
        <f t="array" ref="BL91">IFERROR(IF($AO$9="ALL",INDEX(orderHistory[order_id],ROW()-9),INDEX(orderHistory[order_id], MATCH(0, IF($AO$9=orderHistory[customer],COUNTIF($BL$9:$BL90,orderHistory[order_id]), "")), 0)),"")</f>
        <v/>
      </c>
      <c r="BM91" s="383" t="str">
        <f t="shared" si="2"/>
        <v/>
      </c>
      <c r="BN91" s="382" t="str">
        <f t="array" aca="1" ref="BN91" ca="1">IFERROR(INDEX(orderYearForSelectedClient, MATCH(0, COUNTIF($BN$9:BN90, orderYearForSelectedClient&amp;"") + IF(orderYearForSelectedClient="",1,0), 0)), "")</f>
        <v/>
      </c>
      <c r="BO91" s="383" t="str">
        <f t="shared" si="3"/>
        <v/>
      </c>
    </row>
    <row r="92" spans="63:67">
      <c r="BK92" s="381" t="str">
        <f t="array" ref="BK92">IFERROR(IF($AO$9="",INDEX(orderHistory[order_date],ROW()-9),INDEX(orderHistory[order_date], MATCH(0, IF($AO$9=orderHistory[customer],COUNTIF($BK$9:$BK91,orderHistory[order_date]), "")), 0)),"")</f>
        <v/>
      </c>
      <c r="BL92" s="382" t="str">
        <f t="array" ref="BL92">IFERROR(IF($AO$9="ALL",INDEX(orderHistory[order_id],ROW()-9),INDEX(orderHistory[order_id], MATCH(0, IF($AO$9=orderHistory[customer],COUNTIF($BL$9:$BL91,orderHistory[order_id]), "")), 0)),"")</f>
        <v/>
      </c>
      <c r="BM92" s="383" t="str">
        <f t="shared" si="2"/>
        <v/>
      </c>
      <c r="BN92" s="382" t="str">
        <f t="array" aca="1" ref="BN92" ca="1">IFERROR(INDEX(orderYearForSelectedClient, MATCH(0, COUNTIF($BN$9:BN91, orderYearForSelectedClient&amp;"") + IF(orderYearForSelectedClient="",1,0), 0)), "")</f>
        <v/>
      </c>
      <c r="BO92" s="383" t="str">
        <f t="shared" si="3"/>
        <v/>
      </c>
    </row>
    <row r="93" spans="63:67">
      <c r="BK93" s="381" t="str">
        <f t="array" ref="BK93">IFERROR(IF($AO$9="",INDEX(orderHistory[order_date],ROW()-9),INDEX(orderHistory[order_date], MATCH(0, IF($AO$9=orderHistory[customer],COUNTIF($BK$9:$BK92,orderHistory[order_date]), "")), 0)),"")</f>
        <v/>
      </c>
      <c r="BL93" s="382" t="str">
        <f t="array" ref="BL93">IFERROR(IF($AO$9="ALL",INDEX(orderHistory[order_id],ROW()-9),INDEX(orderHistory[order_id], MATCH(0, IF($AO$9=orderHistory[customer],COUNTIF($BL$9:$BL92,orderHistory[order_id]), "")), 0)),"")</f>
        <v/>
      </c>
      <c r="BM93" s="383" t="str">
        <f t="shared" si="2"/>
        <v/>
      </c>
      <c r="BN93" s="382" t="str">
        <f t="array" aca="1" ref="BN93" ca="1">IFERROR(INDEX(orderYearForSelectedClient, MATCH(0, COUNTIF($BN$9:BN92, orderYearForSelectedClient&amp;"") + IF(orderYearForSelectedClient="",1,0), 0)), "")</f>
        <v/>
      </c>
      <c r="BO93" s="383" t="str">
        <f t="shared" si="3"/>
        <v/>
      </c>
    </row>
    <row r="94" spans="63:67">
      <c r="BK94" s="381" t="str">
        <f t="array" ref="BK94">IFERROR(IF($AO$9="",INDEX(orderHistory[order_date],ROW()-9),INDEX(orderHistory[order_date], MATCH(0, IF($AO$9=orderHistory[customer],COUNTIF($BK$9:$BK93,orderHistory[order_date]), "")), 0)),"")</f>
        <v/>
      </c>
      <c r="BL94" s="382" t="str">
        <f t="array" ref="BL94">IFERROR(IF($AO$9="ALL",INDEX(orderHistory[order_id],ROW()-9),INDEX(orderHistory[order_id], MATCH(0, IF($AO$9=orderHistory[customer],COUNTIF($BL$9:$BL93,orderHistory[order_id]), "")), 0)),"")</f>
        <v/>
      </c>
      <c r="BM94" s="383" t="str">
        <f t="shared" si="2"/>
        <v/>
      </c>
      <c r="BN94" s="382" t="str">
        <f t="array" aca="1" ref="BN94" ca="1">IFERROR(INDEX(orderYearForSelectedClient, MATCH(0, COUNTIF($BN$9:BN93, orderYearForSelectedClient&amp;"") + IF(orderYearForSelectedClient="",1,0), 0)), "")</f>
        <v/>
      </c>
      <c r="BO94" s="383" t="str">
        <f t="shared" si="3"/>
        <v/>
      </c>
    </row>
    <row r="95" spans="63:67">
      <c r="BK95" s="381" t="str">
        <f t="array" ref="BK95">IFERROR(IF($AO$9="",INDEX(orderHistory[order_date],ROW()-9),INDEX(orderHistory[order_date], MATCH(0, IF($AO$9=orderHistory[customer],COUNTIF($BK$9:$BK94,orderHistory[order_date]), "")), 0)),"")</f>
        <v/>
      </c>
      <c r="BL95" s="382" t="str">
        <f t="array" ref="BL95">IFERROR(IF($AO$9="ALL",INDEX(orderHistory[order_id],ROW()-9),INDEX(orderHistory[order_id], MATCH(0, IF($AO$9=orderHistory[customer],COUNTIF($BL$9:$BL94,orderHistory[order_id]), "")), 0)),"")</f>
        <v/>
      </c>
      <c r="BM95" s="383" t="str">
        <f t="shared" si="2"/>
        <v/>
      </c>
      <c r="BN95" s="382" t="str">
        <f t="array" aca="1" ref="BN95" ca="1">IFERROR(INDEX(orderYearForSelectedClient, MATCH(0, COUNTIF($BN$9:BN94, orderYearForSelectedClient&amp;"") + IF(orderYearForSelectedClient="",1,0), 0)), "")</f>
        <v/>
      </c>
      <c r="BO95" s="383" t="str">
        <f t="shared" si="3"/>
        <v/>
      </c>
    </row>
    <row r="96" spans="63:67">
      <c r="BK96" s="381" t="str">
        <f t="array" ref="BK96">IFERROR(IF($AO$9="",INDEX(orderHistory[order_date],ROW()-9),INDEX(orderHistory[order_date], MATCH(0, IF($AO$9=orderHistory[customer],COUNTIF($BK$9:$BK95,orderHistory[order_date]), "")), 0)),"")</f>
        <v/>
      </c>
      <c r="BL96" s="382" t="str">
        <f t="array" ref="BL96">IFERROR(IF($AO$9="ALL",INDEX(orderHistory[order_id],ROW()-9),INDEX(orderHistory[order_id], MATCH(0, IF($AO$9=orderHistory[customer],COUNTIF($BL$9:$BL95,orderHistory[order_id]), "")), 0)),"")</f>
        <v/>
      </c>
      <c r="BM96" s="383" t="str">
        <f t="shared" si="2"/>
        <v/>
      </c>
      <c r="BN96" s="382" t="str">
        <f t="array" aca="1" ref="BN96" ca="1">IFERROR(INDEX(orderYearForSelectedClient, MATCH(0, COUNTIF($BN$9:BN95, orderYearForSelectedClient&amp;"") + IF(orderYearForSelectedClient="",1,0), 0)), "")</f>
        <v/>
      </c>
      <c r="BO96" s="383" t="str">
        <f t="shared" si="3"/>
        <v/>
      </c>
    </row>
    <row r="97" spans="63:67">
      <c r="BK97" s="381" t="str">
        <f t="array" ref="BK97">IFERROR(IF($AO$9="",INDEX(orderHistory[order_date],ROW()-9),INDEX(orderHistory[order_date], MATCH(0, IF($AO$9=orderHistory[customer],COUNTIF($BK$9:$BK96,orderHistory[order_date]), "")), 0)),"")</f>
        <v/>
      </c>
      <c r="BL97" s="382" t="str">
        <f t="array" ref="BL97">IFERROR(IF($AO$9="ALL",INDEX(orderHistory[order_id],ROW()-9),INDEX(orderHistory[order_id], MATCH(0, IF($AO$9=orderHistory[customer],COUNTIF($BL$9:$BL96,orderHistory[order_id]), "")), 0)),"")</f>
        <v/>
      </c>
      <c r="BM97" s="383" t="str">
        <f t="shared" si="2"/>
        <v/>
      </c>
      <c r="BN97" s="382" t="str">
        <f t="array" aca="1" ref="BN97" ca="1">IFERROR(INDEX(orderYearForSelectedClient, MATCH(0, COUNTIF($BN$9:BN96, orderYearForSelectedClient&amp;"") + IF(orderYearForSelectedClient="",1,0), 0)), "")</f>
        <v/>
      </c>
      <c r="BO97" s="383" t="str">
        <f t="shared" si="3"/>
        <v/>
      </c>
    </row>
    <row r="98" spans="63:67">
      <c r="BK98" s="381" t="str">
        <f t="array" ref="BK98">IFERROR(IF($AO$9="",INDEX(orderHistory[order_date],ROW()-9),INDEX(orderHistory[order_date], MATCH(0, IF($AO$9=orderHistory[customer],COUNTIF($BK$9:$BK97,orderHistory[order_date]), "")), 0)),"")</f>
        <v/>
      </c>
      <c r="BL98" s="382" t="str">
        <f t="array" ref="BL98">IFERROR(IF($AO$9="ALL",INDEX(orderHistory[order_id],ROW()-9),INDEX(orderHistory[order_id], MATCH(0, IF($AO$9=orderHistory[customer],COUNTIF($BL$9:$BL97,orderHistory[order_id]), "")), 0)),"")</f>
        <v/>
      </c>
      <c r="BM98" s="383" t="str">
        <f t="shared" si="2"/>
        <v/>
      </c>
      <c r="BN98" s="382" t="str">
        <f t="array" aca="1" ref="BN98" ca="1">IFERROR(INDEX(orderYearForSelectedClient, MATCH(0, COUNTIF($BN$9:BN97, orderYearForSelectedClient&amp;"") + IF(orderYearForSelectedClient="",1,0), 0)), "")</f>
        <v/>
      </c>
      <c r="BO98" s="383" t="str">
        <f t="shared" si="3"/>
        <v/>
      </c>
    </row>
    <row r="99" spans="63:67">
      <c r="BK99" s="381" t="str">
        <f t="array" ref="BK99">IFERROR(IF($AO$9="",INDEX(orderHistory[order_date],ROW()-9),INDEX(orderHistory[order_date], MATCH(0, IF($AO$9=orderHistory[customer],COUNTIF($BK$9:$BK98,orderHistory[order_date]), "")), 0)),"")</f>
        <v/>
      </c>
      <c r="BL99" s="382" t="str">
        <f t="array" ref="BL99">IFERROR(IF($AO$9="ALL",INDEX(orderHistory[order_id],ROW()-9),INDEX(orderHistory[order_id], MATCH(0, IF($AO$9=orderHistory[customer],COUNTIF($BL$9:$BL98,orderHistory[order_id]), "")), 0)),"")</f>
        <v/>
      </c>
      <c r="BM99" s="383" t="str">
        <f t="shared" si="2"/>
        <v/>
      </c>
      <c r="BN99" s="382" t="str">
        <f t="array" aca="1" ref="BN99" ca="1">IFERROR(INDEX(orderYearForSelectedClient, MATCH(0, COUNTIF($BN$9:BN98, orderYearForSelectedClient&amp;"") + IF(orderYearForSelectedClient="",1,0), 0)), "")</f>
        <v/>
      </c>
      <c r="BO99" s="383" t="str">
        <f t="shared" si="3"/>
        <v/>
      </c>
    </row>
    <row r="100" spans="63:67">
      <c r="BK100" s="381" t="str">
        <f t="array" ref="BK100">IFERROR(IF($AO$9="",INDEX(orderHistory[order_date],ROW()-9),INDEX(orderHistory[order_date], MATCH(0, IF($AO$9=orderHistory[customer],COUNTIF($BK$9:$BK99,orderHistory[order_date]), "")), 0)),"")</f>
        <v/>
      </c>
      <c r="BL100" s="382" t="str">
        <f t="array" ref="BL100">IFERROR(IF($AO$9="ALL",INDEX(orderHistory[order_id],ROW()-9),INDEX(orderHistory[order_id], MATCH(0, IF($AO$9=orderHistory[customer],COUNTIF($BL$9:$BL99,orderHistory[order_id]), "")), 0)),"")</f>
        <v/>
      </c>
      <c r="BM100" s="383" t="str">
        <f t="shared" si="2"/>
        <v/>
      </c>
      <c r="BN100" s="382" t="str">
        <f t="array" aca="1" ref="BN100" ca="1">IFERROR(INDEX(orderYearForSelectedClient, MATCH(0, COUNTIF($BN$9:BN99, orderYearForSelectedClient&amp;"") + IF(orderYearForSelectedClient="",1,0), 0)), "")</f>
        <v/>
      </c>
      <c r="BO100" s="383" t="str">
        <f t="shared" si="3"/>
        <v/>
      </c>
    </row>
    <row r="101" spans="63:67">
      <c r="BK101" s="381" t="str">
        <f t="array" ref="BK101">IFERROR(IF($AO$9="",INDEX(orderHistory[order_date],ROW()-9),INDEX(orderHistory[order_date], MATCH(0, IF($AO$9=orderHistory[customer],COUNTIF($BK$9:$BK100,orderHistory[order_date]), "")), 0)),"")</f>
        <v/>
      </c>
      <c r="BL101" s="382" t="str">
        <f t="array" ref="BL101">IFERROR(IF($AO$9="ALL",INDEX(orderHistory[order_id],ROW()-9),INDEX(orderHistory[order_id], MATCH(0, IF($AO$9=orderHistory[customer],COUNTIF($BL$9:$BL100,orderHistory[order_id]), "")), 0)),"")</f>
        <v/>
      </c>
      <c r="BM101" s="383" t="str">
        <f t="shared" si="2"/>
        <v/>
      </c>
      <c r="BN101" s="382" t="str">
        <f t="array" aca="1" ref="BN101" ca="1">IFERROR(INDEX(orderYearForSelectedClient, MATCH(0, COUNTIF($BN$9:BN100, orderYearForSelectedClient&amp;"") + IF(orderYearForSelectedClient="",1,0), 0)), "")</f>
        <v/>
      </c>
      <c r="BO101" s="383" t="str">
        <f t="shared" si="3"/>
        <v/>
      </c>
    </row>
    <row r="102" spans="63:67">
      <c r="BK102" s="381" t="str">
        <f t="array" ref="BK102">IFERROR(IF($AO$9="",INDEX(orderHistory[order_date],ROW()-9),INDEX(orderHistory[order_date], MATCH(0, IF($AO$9=orderHistory[customer],COUNTIF($BK$9:$BK101,orderHistory[order_date]), "")), 0)),"")</f>
        <v/>
      </c>
      <c r="BL102" s="382" t="str">
        <f t="array" ref="BL102">IFERROR(IF($AO$9="ALL",INDEX(orderHistory[order_id],ROW()-9),INDEX(orderHistory[order_id], MATCH(0, IF($AO$9=orderHistory[customer],COUNTIF($BL$9:$BL101,orderHistory[order_id]), "")), 0)),"")</f>
        <v/>
      </c>
      <c r="BM102" s="383" t="str">
        <f t="shared" si="2"/>
        <v/>
      </c>
      <c r="BN102" s="382" t="str">
        <f t="array" aca="1" ref="BN102" ca="1">IFERROR(INDEX(orderYearForSelectedClient, MATCH(0, COUNTIF($BN$9:BN101, orderYearForSelectedClient&amp;"") + IF(orderYearForSelectedClient="",1,0), 0)), "")</f>
        <v/>
      </c>
      <c r="BO102" s="383" t="str">
        <f t="shared" si="3"/>
        <v/>
      </c>
    </row>
    <row r="103" spans="63:67">
      <c r="BK103" s="381" t="str">
        <f t="array" ref="BK103">IFERROR(IF($AO$9="",INDEX(orderHistory[order_date],ROW()-9),INDEX(orderHistory[order_date], MATCH(0, IF($AO$9=orderHistory[customer],COUNTIF($BK$9:$BK102,orderHistory[order_date]), "")), 0)),"")</f>
        <v/>
      </c>
      <c r="BL103" s="382" t="str">
        <f t="array" ref="BL103">IFERROR(IF($AO$9="ALL",INDEX(orderHistory[order_id],ROW()-9),INDEX(orderHistory[order_id], MATCH(0, IF($AO$9=orderHistory[customer],COUNTIF($BL$9:$BL102,orderHistory[order_id]), "")), 0)),"")</f>
        <v/>
      </c>
      <c r="BM103" s="383" t="str">
        <f t="shared" si="2"/>
        <v/>
      </c>
      <c r="BN103" s="382" t="str">
        <f t="array" aca="1" ref="BN103" ca="1">IFERROR(INDEX(orderYearForSelectedClient, MATCH(0, COUNTIF($BN$9:BN102, orderYearForSelectedClient&amp;"") + IF(orderYearForSelectedClient="",1,0), 0)), "")</f>
        <v/>
      </c>
      <c r="BO103" s="383" t="str">
        <f t="shared" si="3"/>
        <v/>
      </c>
    </row>
    <row r="104" spans="63:67">
      <c r="BK104" s="381" t="str">
        <f t="array" ref="BK104">IFERROR(IF($AO$9="",INDEX(orderHistory[order_date],ROW()-9),INDEX(orderHistory[order_date], MATCH(0, IF($AO$9=orderHistory[customer],COUNTIF($BK$9:$BK103,orderHistory[order_date]), "")), 0)),"")</f>
        <v/>
      </c>
      <c r="BL104" s="382" t="str">
        <f t="array" ref="BL104">IFERROR(IF($AO$9="ALL",INDEX(orderHistory[order_id],ROW()-9),INDEX(orderHistory[order_id], MATCH(0, IF($AO$9=orderHistory[customer],COUNTIF($BL$9:$BL103,orderHistory[order_id]), "")), 0)),"")</f>
        <v/>
      </c>
      <c r="BM104" s="383" t="str">
        <f t="shared" si="2"/>
        <v/>
      </c>
      <c r="BN104" s="382" t="str">
        <f t="array" aca="1" ref="BN104" ca="1">IFERROR(INDEX(orderYearForSelectedClient, MATCH(0, COUNTIF($BN$9:BN103, orderYearForSelectedClient&amp;"") + IF(orderYearForSelectedClient="",1,0), 0)), "")</f>
        <v/>
      </c>
      <c r="BO104" s="383" t="str">
        <f t="shared" si="3"/>
        <v/>
      </c>
    </row>
    <row r="105" spans="63:67">
      <c r="BK105" s="381" t="str">
        <f t="array" ref="BK105">IFERROR(IF($AO$9="",INDEX(orderHistory[order_date],ROW()-9),INDEX(orderHistory[order_date], MATCH(0, IF($AO$9=orderHistory[customer],COUNTIF($BK$9:$BK104,orderHistory[order_date]), "")), 0)),"")</f>
        <v/>
      </c>
      <c r="BL105" s="382" t="str">
        <f t="array" ref="BL105">IFERROR(IF($AO$9="ALL",INDEX(orderHistory[order_id],ROW()-9),INDEX(orderHistory[order_id], MATCH(0, IF($AO$9=orderHistory[customer],COUNTIF($BL$9:$BL104,orderHistory[order_id]), "")), 0)),"")</f>
        <v/>
      </c>
      <c r="BM105" s="383" t="str">
        <f t="shared" si="2"/>
        <v/>
      </c>
      <c r="BN105" s="382" t="str">
        <f t="array" aca="1" ref="BN105" ca="1">IFERROR(INDEX(orderYearForSelectedClient, MATCH(0, COUNTIF($BN$9:BN104, orderYearForSelectedClient&amp;"") + IF(orderYearForSelectedClient="",1,0), 0)), "")</f>
        <v/>
      </c>
      <c r="BO105" s="383" t="str">
        <f t="shared" si="3"/>
        <v/>
      </c>
    </row>
    <row r="106" spans="63:67">
      <c r="BK106" s="381" t="str">
        <f t="array" ref="BK106">IFERROR(IF($AO$9="",INDEX(orderHistory[order_date],ROW()-9),INDEX(orderHistory[order_date], MATCH(0, IF($AO$9=orderHistory[customer],COUNTIF($BK$9:$BK105,orderHistory[order_date]), "")), 0)),"")</f>
        <v/>
      </c>
      <c r="BL106" s="382" t="str">
        <f t="array" ref="BL106">IFERROR(IF($AO$9="ALL",INDEX(orderHistory[order_id],ROW()-9),INDEX(orderHistory[order_id], MATCH(0, IF($AO$9=orderHistory[customer],COUNTIF($BL$9:$BL105,orderHistory[order_id]), "")), 0)),"")</f>
        <v/>
      </c>
      <c r="BM106" s="383" t="str">
        <f t="shared" si="2"/>
        <v/>
      </c>
      <c r="BN106" s="382" t="str">
        <f t="array" aca="1" ref="BN106" ca="1">IFERROR(INDEX(orderYearForSelectedClient, MATCH(0, COUNTIF($BN$9:BN105, orderYearForSelectedClient&amp;"") + IF(orderYearForSelectedClient="",1,0), 0)), "")</f>
        <v/>
      </c>
      <c r="BO106" s="383" t="str">
        <f t="shared" si="3"/>
        <v/>
      </c>
    </row>
    <row r="107" spans="63:67">
      <c r="BK107" s="381" t="str">
        <f t="array" ref="BK107">IFERROR(IF($AO$9="",INDEX(orderHistory[order_date],ROW()-9),INDEX(orderHistory[order_date], MATCH(0, IF($AO$9=orderHistory[customer],COUNTIF($BK$9:$BK106,orderHistory[order_date]), "")), 0)),"")</f>
        <v/>
      </c>
      <c r="BL107" s="382" t="str">
        <f t="array" ref="BL107">IFERROR(IF($AO$9="ALL",INDEX(orderHistory[order_id],ROW()-9),INDEX(orderHistory[order_id], MATCH(0, IF($AO$9=orderHistory[customer],COUNTIF($BL$9:$BL106,orderHistory[order_id]), "")), 0)),"")</f>
        <v/>
      </c>
      <c r="BM107" s="383" t="str">
        <f t="shared" si="2"/>
        <v/>
      </c>
      <c r="BN107" s="382" t="str">
        <f t="array" aca="1" ref="BN107" ca="1">IFERROR(INDEX(orderYearForSelectedClient, MATCH(0, COUNTIF($BN$9:BN106, orderYearForSelectedClient&amp;"") + IF(orderYearForSelectedClient="",1,0), 0)), "")</f>
        <v/>
      </c>
      <c r="BO107" s="383" t="str">
        <f t="shared" si="3"/>
        <v/>
      </c>
    </row>
    <row r="108" spans="63:67">
      <c r="BK108" s="381" t="str">
        <f t="array" ref="BK108">IFERROR(IF($AO$9="",INDEX(orderHistory[order_date],ROW()-9),INDEX(orderHistory[order_date], MATCH(0, IF($AO$9=orderHistory[customer],COUNTIF($BK$9:$BK107,orderHistory[order_date]), "")), 0)),"")</f>
        <v/>
      </c>
      <c r="BL108" s="382" t="str">
        <f t="array" ref="BL108">IFERROR(IF($AO$9="ALL",INDEX(orderHistory[order_id],ROW()-9),INDEX(orderHistory[order_id], MATCH(0, IF($AO$9=orderHistory[customer],COUNTIF($BL$9:$BL107,orderHistory[order_id]), "")), 0)),"")</f>
        <v/>
      </c>
      <c r="BM108" s="383" t="str">
        <f t="shared" si="2"/>
        <v/>
      </c>
      <c r="BN108" s="382" t="str">
        <f t="array" aca="1" ref="BN108" ca="1">IFERROR(INDEX(orderYearForSelectedClient, MATCH(0, COUNTIF($BN$9:BN107, orderYearForSelectedClient&amp;"") + IF(orderYearForSelectedClient="",1,0), 0)), "")</f>
        <v/>
      </c>
      <c r="BO108" s="383" t="str">
        <f t="shared" si="3"/>
        <v/>
      </c>
    </row>
    <row r="109" spans="63:67">
      <c r="BK109" s="381" t="str">
        <f t="array" ref="BK109">IFERROR(IF($AO$9="",INDEX(orderHistory[order_date],ROW()-9),INDEX(orderHistory[order_date], MATCH(0, IF($AO$9=orderHistory[customer],COUNTIF($BK$9:$BK108,orderHistory[order_date]), "")), 0)),"")</f>
        <v/>
      </c>
      <c r="BL109" s="382" t="str">
        <f t="array" ref="BL109">IFERROR(IF($AO$9="ALL",INDEX(orderHistory[order_id],ROW()-9),INDEX(orderHistory[order_id], MATCH(0, IF($AO$9=orderHistory[customer],COUNTIF($BL$9:$BL108,orderHistory[order_id]), "")), 0)),"")</f>
        <v/>
      </c>
      <c r="BM109" s="383" t="str">
        <f t="shared" si="2"/>
        <v/>
      </c>
      <c r="BN109" s="382" t="str">
        <f t="array" aca="1" ref="BN109" ca="1">IFERROR(INDEX(orderYearForSelectedClient, MATCH(0, COUNTIF($BN$9:BN108, orderYearForSelectedClient&amp;"") + IF(orderYearForSelectedClient="",1,0), 0)), "")</f>
        <v/>
      </c>
      <c r="BO109" s="383" t="str">
        <f t="shared" si="3"/>
        <v/>
      </c>
    </row>
    <row r="110" spans="63:67">
      <c r="BK110" s="381" t="str">
        <f t="array" ref="BK110">IFERROR(IF($AO$9="",INDEX(orderHistory[order_date],ROW()-9),INDEX(orderHistory[order_date], MATCH(0, IF($AO$9=orderHistory[customer],COUNTIF($BK$9:$BK109,orderHistory[order_date]), "")), 0)),"")</f>
        <v/>
      </c>
      <c r="BL110" s="382" t="str">
        <f t="array" ref="BL110">IFERROR(IF($AO$9="ALL",INDEX(orderHistory[order_id],ROW()-9),INDEX(orderHistory[order_id], MATCH(0, IF($AO$9=orderHistory[customer],COUNTIF($BL$9:$BL109,orderHistory[order_id]), "")), 0)),"")</f>
        <v/>
      </c>
      <c r="BM110" s="383" t="str">
        <f t="shared" si="2"/>
        <v/>
      </c>
      <c r="BN110" s="382" t="str">
        <f t="array" aca="1" ref="BN110" ca="1">IFERROR(INDEX(orderYearForSelectedClient, MATCH(0, COUNTIF($BN$9:BN109, orderYearForSelectedClient&amp;"") + IF(orderYearForSelectedClient="",1,0), 0)), "")</f>
        <v/>
      </c>
      <c r="BO110" s="383" t="str">
        <f t="shared" si="3"/>
        <v/>
      </c>
    </row>
    <row r="111" spans="63:67">
      <c r="BK111" s="381" t="str">
        <f t="array" ref="BK111">IFERROR(IF($AO$9="",INDEX(orderHistory[order_date],ROW()-9),INDEX(orderHistory[order_date], MATCH(0, IF($AO$9=orderHistory[customer],COUNTIF($BK$9:$BK110,orderHistory[order_date]), "")), 0)),"")</f>
        <v/>
      </c>
      <c r="BL111" s="382" t="str">
        <f t="array" ref="BL111">IFERROR(IF($AO$9="ALL",INDEX(orderHistory[order_id],ROW()-9),INDEX(orderHistory[order_id], MATCH(0, IF($AO$9=orderHistory[customer],COUNTIF($BL$9:$BL110,orderHistory[order_id]), "")), 0)),"")</f>
        <v/>
      </c>
      <c r="BM111" s="383" t="str">
        <f t="shared" si="2"/>
        <v/>
      </c>
      <c r="BN111" s="382" t="str">
        <f t="array" aca="1" ref="BN111" ca="1">IFERROR(INDEX(orderYearForSelectedClient, MATCH(0, COUNTIF($BN$9:BN110, orderYearForSelectedClient&amp;"") + IF(orderYearForSelectedClient="",1,0), 0)), "")</f>
        <v/>
      </c>
      <c r="BO111" s="383" t="str">
        <f t="shared" si="3"/>
        <v/>
      </c>
    </row>
    <row r="112" spans="63:67">
      <c r="BK112" s="381" t="str">
        <f t="array" ref="BK112">IFERROR(IF($AO$9="",INDEX(orderHistory[order_date],ROW()-9),INDEX(orderHistory[order_date], MATCH(0, IF($AO$9=orderHistory[customer],COUNTIF($BK$9:$BK111,orderHistory[order_date]), "")), 0)),"")</f>
        <v/>
      </c>
      <c r="BL112" s="382" t="str">
        <f t="array" ref="BL112">IFERROR(IF($AO$9="ALL",INDEX(orderHistory[order_id],ROW()-9),INDEX(orderHistory[order_id], MATCH(0, IF($AO$9=orderHistory[customer],COUNTIF($BL$9:$BL111,orderHistory[order_id]), "")), 0)),"")</f>
        <v/>
      </c>
      <c r="BM112" s="383" t="str">
        <f t="shared" si="2"/>
        <v/>
      </c>
      <c r="BN112" s="382" t="str">
        <f t="array" aca="1" ref="BN112" ca="1">IFERROR(INDEX(orderYearForSelectedClient, MATCH(0, COUNTIF($BN$9:BN111, orderYearForSelectedClient&amp;"") + IF(orderYearForSelectedClient="",1,0), 0)), "")</f>
        <v/>
      </c>
      <c r="BO112" s="383" t="str">
        <f t="shared" si="3"/>
        <v/>
      </c>
    </row>
    <row r="113" spans="63:67">
      <c r="BK113" s="381" t="str">
        <f t="array" ref="BK113">IFERROR(IF($AO$9="",INDEX(orderHistory[order_date],ROW()-9),INDEX(orderHistory[order_date], MATCH(0, IF($AO$9=orderHistory[customer],COUNTIF($BK$9:$BK112,orderHistory[order_date]), "")), 0)),"")</f>
        <v/>
      </c>
      <c r="BL113" s="382" t="str">
        <f t="array" ref="BL113">IFERROR(IF($AO$9="ALL",INDEX(orderHistory[order_id],ROW()-9),INDEX(orderHistory[order_id], MATCH(0, IF($AO$9=orderHistory[customer],COUNTIF($BL$9:$BL112,orderHistory[order_id]), "")), 0)),"")</f>
        <v/>
      </c>
      <c r="BM113" s="383" t="str">
        <f t="shared" si="2"/>
        <v/>
      </c>
      <c r="BN113" s="382" t="str">
        <f t="array" aca="1" ref="BN113" ca="1">IFERROR(INDEX(orderYearForSelectedClient, MATCH(0, COUNTIF($BN$9:BN112, orderYearForSelectedClient&amp;"") + IF(orderYearForSelectedClient="",1,0), 0)), "")</f>
        <v/>
      </c>
      <c r="BO113" s="383" t="str">
        <f t="shared" si="3"/>
        <v/>
      </c>
    </row>
    <row r="114" spans="63:67">
      <c r="BK114" s="381" t="str">
        <f t="array" ref="BK114">IFERROR(IF($AO$9="",INDEX(orderHistory[order_date],ROW()-9),INDEX(orderHistory[order_date], MATCH(0, IF($AO$9=orderHistory[customer],COUNTIF($BK$9:$BK113,orderHistory[order_date]), "")), 0)),"")</f>
        <v/>
      </c>
      <c r="BL114" s="382" t="str">
        <f t="array" ref="BL114">IFERROR(IF($AO$9="ALL",INDEX(orderHistory[order_id],ROW()-9),INDEX(orderHistory[order_id], MATCH(0, IF($AO$9=orderHistory[customer],COUNTIF($BL$9:$BL113,orderHistory[order_id]), "")), 0)),"")</f>
        <v/>
      </c>
      <c r="BM114" s="383" t="str">
        <f t="shared" si="2"/>
        <v/>
      </c>
      <c r="BN114" s="382" t="str">
        <f t="array" aca="1" ref="BN114" ca="1">IFERROR(INDEX(orderYearForSelectedClient, MATCH(0, COUNTIF($BN$9:BN113, orderYearForSelectedClient&amp;"") + IF(orderYearForSelectedClient="",1,0), 0)), "")</f>
        <v/>
      </c>
      <c r="BO114" s="383" t="str">
        <f t="shared" si="3"/>
        <v/>
      </c>
    </row>
    <row r="115" spans="63:67">
      <c r="BK115" s="381" t="str">
        <f t="array" ref="BK115">IFERROR(IF($AO$9="",INDEX(orderHistory[order_date],ROW()-9),INDEX(orderHistory[order_date], MATCH(0, IF($AO$9=orderHistory[customer],COUNTIF($BK$9:$BK114,orderHistory[order_date]), "")), 0)),"")</f>
        <v/>
      </c>
      <c r="BL115" s="382" t="str">
        <f t="array" ref="BL115">IFERROR(IF($AO$9="ALL",INDEX(orderHistory[order_id],ROW()-9),INDEX(orderHistory[order_id], MATCH(0, IF($AO$9=orderHistory[customer],COUNTIF($BL$9:$BL114,orderHistory[order_id]), "")), 0)),"")</f>
        <v/>
      </c>
      <c r="BM115" s="383" t="str">
        <f t="shared" si="2"/>
        <v/>
      </c>
      <c r="BN115" s="382" t="str">
        <f t="array" aca="1" ref="BN115" ca="1">IFERROR(INDEX(orderYearForSelectedClient, MATCH(0, COUNTIF($BN$9:BN114, orderYearForSelectedClient&amp;"") + IF(orderYearForSelectedClient="",1,0), 0)), "")</f>
        <v/>
      </c>
      <c r="BO115" s="383" t="str">
        <f t="shared" si="3"/>
        <v/>
      </c>
    </row>
    <row r="116" spans="63:67">
      <c r="BK116" s="381" t="str">
        <f t="array" ref="BK116">IFERROR(IF($AO$9="",INDEX(orderHistory[order_date],ROW()-9),INDEX(orderHistory[order_date], MATCH(0, IF($AO$9=orderHistory[customer],COUNTIF($BK$9:$BK115,orderHistory[order_date]), "")), 0)),"")</f>
        <v/>
      </c>
      <c r="BL116" s="382" t="str">
        <f t="array" ref="BL116">IFERROR(IF($AO$9="ALL",INDEX(orderHistory[order_id],ROW()-9),INDEX(orderHistory[order_id], MATCH(0, IF($AO$9=orderHistory[customer],COUNTIF($BL$9:$BL115,orderHistory[order_id]), "")), 0)),"")</f>
        <v/>
      </c>
      <c r="BM116" s="383" t="str">
        <f t="shared" si="2"/>
        <v/>
      </c>
      <c r="BN116" s="382" t="str">
        <f t="array" aca="1" ref="BN116" ca="1">IFERROR(INDEX(orderYearForSelectedClient, MATCH(0, COUNTIF($BN$9:BN115, orderYearForSelectedClient&amp;"") + IF(orderYearForSelectedClient="",1,0), 0)), "")</f>
        <v/>
      </c>
      <c r="BO116" s="383" t="str">
        <f t="shared" si="3"/>
        <v/>
      </c>
    </row>
    <row r="117" spans="63:67">
      <c r="BK117" s="381" t="str">
        <f t="array" ref="BK117">IFERROR(IF($AO$9="",INDEX(orderHistory[order_date],ROW()-9),INDEX(orderHistory[order_date], MATCH(0, IF($AO$9=orderHistory[customer],COUNTIF($BK$9:$BK116,orderHistory[order_date]), "")), 0)),"")</f>
        <v/>
      </c>
      <c r="BL117" s="382" t="str">
        <f t="array" ref="BL117">IFERROR(IF($AO$9="ALL",INDEX(orderHistory[order_id],ROW()-9),INDEX(orderHistory[order_id], MATCH(0, IF($AO$9=orderHistory[customer],COUNTIF($BL$9:$BL116,orderHistory[order_id]), "")), 0)),"")</f>
        <v/>
      </c>
      <c r="BM117" s="383" t="str">
        <f t="shared" si="2"/>
        <v/>
      </c>
      <c r="BN117" s="382" t="str">
        <f t="array" aca="1" ref="BN117" ca="1">IFERROR(INDEX(orderYearForSelectedClient, MATCH(0, COUNTIF($BN$9:BN116, orderYearForSelectedClient&amp;"") + IF(orderYearForSelectedClient="",1,0), 0)), "")</f>
        <v/>
      </c>
      <c r="BO117" s="383" t="str">
        <f t="shared" si="3"/>
        <v/>
      </c>
    </row>
    <row r="118" spans="63:67">
      <c r="BK118" s="381" t="str">
        <f t="array" ref="BK118">IFERROR(IF($AO$9="",INDEX(orderHistory[order_date],ROW()-9),INDEX(orderHistory[order_date], MATCH(0, IF($AO$9=orderHistory[customer],COUNTIF($BK$9:$BK117,orderHistory[order_date]), "")), 0)),"")</f>
        <v/>
      </c>
      <c r="BL118" s="382" t="str">
        <f t="array" ref="BL118">IFERROR(IF($AO$9="ALL",INDEX(orderHistory[order_id],ROW()-9),INDEX(orderHistory[order_id], MATCH(0, IF($AO$9=orderHistory[customer],COUNTIF($BL$9:$BL117,orderHistory[order_id]), "")), 0)),"")</f>
        <v/>
      </c>
      <c r="BM118" s="383" t="str">
        <f t="shared" si="2"/>
        <v/>
      </c>
      <c r="BN118" s="382" t="str">
        <f t="array" aca="1" ref="BN118" ca="1">IFERROR(INDEX(orderYearForSelectedClient, MATCH(0, COUNTIF($BN$9:BN117, orderYearForSelectedClient&amp;"") + IF(orderYearForSelectedClient="",1,0), 0)), "")</f>
        <v/>
      </c>
      <c r="BO118" s="383" t="str">
        <f t="shared" si="3"/>
        <v/>
      </c>
    </row>
    <row r="119" spans="63:67">
      <c r="BK119" s="381" t="str">
        <f t="array" ref="BK119">IFERROR(IF($AO$9="",INDEX(orderHistory[order_date],ROW()-9),INDEX(orderHistory[order_date], MATCH(0, IF($AO$9=orderHistory[customer],COUNTIF($BK$9:$BK118,orderHistory[order_date]), "")), 0)),"")</f>
        <v/>
      </c>
      <c r="BL119" s="382" t="str">
        <f t="array" ref="BL119">IFERROR(IF($AO$9="ALL",INDEX(orderHistory[order_id],ROW()-9),INDEX(orderHistory[order_id], MATCH(0, IF($AO$9=orderHistory[customer],COUNTIF($BL$9:$BL118,orderHistory[order_id]), "")), 0)),"")</f>
        <v/>
      </c>
      <c r="BM119" s="383" t="str">
        <f t="shared" si="2"/>
        <v/>
      </c>
      <c r="BN119" s="382" t="str">
        <f t="array" aca="1" ref="BN119" ca="1">IFERROR(INDEX(orderYearForSelectedClient, MATCH(0, COUNTIF($BN$9:BN118, orderYearForSelectedClient&amp;"") + IF(orderYearForSelectedClient="",1,0), 0)), "")</f>
        <v/>
      </c>
      <c r="BO119" s="383" t="str">
        <f t="shared" si="3"/>
        <v/>
      </c>
    </row>
    <row r="120" spans="63:67">
      <c r="BK120" s="381" t="str">
        <f t="array" ref="BK120">IFERROR(IF($AO$9="",INDEX(orderHistory[order_date],ROW()-9),INDEX(orderHistory[order_date], MATCH(0, IF($AO$9=orderHistory[customer],COUNTIF($BK$9:$BK119,orderHistory[order_date]), "")), 0)),"")</f>
        <v/>
      </c>
      <c r="BL120" s="382" t="str">
        <f t="array" ref="BL120">IFERROR(IF($AO$9="ALL",INDEX(orderHistory[order_id],ROW()-9),INDEX(orderHistory[order_id], MATCH(0, IF($AO$9=orderHistory[customer],COUNTIF($BL$9:$BL119,orderHistory[order_id]), "")), 0)),"")</f>
        <v/>
      </c>
      <c r="BM120" s="383" t="str">
        <f t="shared" si="2"/>
        <v/>
      </c>
      <c r="BN120" s="382" t="str">
        <f t="array" aca="1" ref="BN120" ca="1">IFERROR(INDEX(orderYearForSelectedClient, MATCH(0, COUNTIF($BN$9:BN119, orderYearForSelectedClient&amp;"") + IF(orderYearForSelectedClient="",1,0), 0)), "")</f>
        <v/>
      </c>
      <c r="BO120" s="383" t="str">
        <f t="shared" si="3"/>
        <v/>
      </c>
    </row>
    <row r="121" spans="63:67">
      <c r="BK121" s="381" t="str">
        <f t="array" ref="BK121">IFERROR(IF($AO$9="",INDEX(orderHistory[order_date],ROW()-9),INDEX(orderHistory[order_date], MATCH(0, IF($AO$9=orderHistory[customer],COUNTIF($BK$9:$BK120,orderHistory[order_date]), "")), 0)),"")</f>
        <v/>
      </c>
      <c r="BL121" s="382" t="str">
        <f t="array" ref="BL121">IFERROR(IF($AO$9="ALL",INDEX(orderHistory[order_id],ROW()-9),INDEX(orderHistory[order_id], MATCH(0, IF($AO$9=orderHistory[customer],COUNTIF($BL$9:$BL120,orderHistory[order_id]), "")), 0)),"")</f>
        <v/>
      </c>
      <c r="BM121" s="383" t="str">
        <f t="shared" si="2"/>
        <v/>
      </c>
      <c r="BN121" s="382" t="str">
        <f t="array" aca="1" ref="BN121" ca="1">IFERROR(INDEX(orderYearForSelectedClient, MATCH(0, COUNTIF($BN$9:BN120, orderYearForSelectedClient&amp;"") + IF(orderYearForSelectedClient="",1,0), 0)), "")</f>
        <v/>
      </c>
      <c r="BO121" s="383" t="str">
        <f t="shared" si="3"/>
        <v/>
      </c>
    </row>
    <row r="122" spans="63:67">
      <c r="BK122" s="381" t="str">
        <f t="array" ref="BK122">IFERROR(IF($AO$9="",INDEX(orderHistory[order_date],ROW()-9),INDEX(orderHistory[order_date], MATCH(0, IF($AO$9=orderHistory[customer],COUNTIF($BK$9:$BK121,orderHistory[order_date]), "")), 0)),"")</f>
        <v/>
      </c>
      <c r="BL122" s="382" t="str">
        <f t="array" ref="BL122">IFERROR(IF($AO$9="ALL",INDEX(orderHistory[order_id],ROW()-9),INDEX(orderHistory[order_id], MATCH(0, IF($AO$9=orderHistory[customer],COUNTIF($BL$9:$BL121,orderHistory[order_id]), "")), 0)),"")</f>
        <v/>
      </c>
      <c r="BM122" s="383" t="str">
        <f t="shared" si="2"/>
        <v/>
      </c>
      <c r="BN122" s="382" t="str">
        <f t="array" aca="1" ref="BN122" ca="1">IFERROR(INDEX(orderYearForSelectedClient, MATCH(0, COUNTIF($BN$9:BN121, orderYearForSelectedClient&amp;"") + IF(orderYearForSelectedClient="",1,0), 0)), "")</f>
        <v/>
      </c>
      <c r="BO122" s="383" t="str">
        <f t="shared" si="3"/>
        <v/>
      </c>
    </row>
    <row r="123" spans="63:67">
      <c r="BK123" s="381" t="str">
        <f t="array" ref="BK123">IFERROR(IF($AO$9="",INDEX(orderHistory[order_date],ROW()-9),INDEX(orderHistory[order_date], MATCH(0, IF($AO$9=orderHistory[customer],COUNTIF($BK$9:$BK122,orderHistory[order_date]), "")), 0)),"")</f>
        <v/>
      </c>
      <c r="BL123" s="382" t="str">
        <f t="array" ref="BL123">IFERROR(IF($AO$9="ALL",INDEX(orderHistory[order_id],ROW()-9),INDEX(orderHistory[order_id], MATCH(0, IF($AO$9=orderHistory[customer],COUNTIF($BL$9:$BL122,orderHistory[order_id]), "")), 0)),"")</f>
        <v/>
      </c>
      <c r="BM123" s="383" t="str">
        <f t="shared" si="2"/>
        <v/>
      </c>
      <c r="BN123" s="382" t="str">
        <f t="array" aca="1" ref="BN123" ca="1">IFERROR(INDEX(orderYearForSelectedClient, MATCH(0, COUNTIF($BN$9:BN122, orderYearForSelectedClient&amp;"") + IF(orderYearForSelectedClient="",1,0), 0)), "")</f>
        <v/>
      </c>
      <c r="BO123" s="383" t="str">
        <f t="shared" si="3"/>
        <v/>
      </c>
    </row>
    <row r="124" spans="63:67">
      <c r="BK124" s="381" t="str">
        <f t="array" ref="BK124">IFERROR(IF($AO$9="",INDEX(orderHistory[order_date],ROW()-9),INDEX(orderHistory[order_date], MATCH(0, IF($AO$9=orderHistory[customer],COUNTIF($BK$9:$BK123,orderHistory[order_date]), "")), 0)),"")</f>
        <v/>
      </c>
      <c r="BL124" s="382" t="str">
        <f t="array" ref="BL124">IFERROR(IF($AO$9="ALL",INDEX(orderHistory[order_id],ROW()-9),INDEX(orderHistory[order_id], MATCH(0, IF($AO$9=orderHistory[customer],COUNTIF($BL$9:$BL123,orderHistory[order_id]), "")), 0)),"")</f>
        <v/>
      </c>
      <c r="BM124" s="383" t="str">
        <f t="shared" si="2"/>
        <v/>
      </c>
      <c r="BN124" s="382" t="str">
        <f t="array" aca="1" ref="BN124" ca="1">IFERROR(INDEX(orderYearForSelectedClient, MATCH(0, COUNTIF($BN$9:BN123, orderYearForSelectedClient&amp;"") + IF(orderYearForSelectedClient="",1,0), 0)), "")</f>
        <v/>
      </c>
      <c r="BO124" s="383" t="str">
        <f t="shared" si="3"/>
        <v/>
      </c>
    </row>
    <row r="125" spans="63:67">
      <c r="BK125" s="381" t="str">
        <f t="array" ref="BK125">IFERROR(IF($AO$9="",INDEX(orderHistory[order_date],ROW()-9),INDEX(orderHistory[order_date], MATCH(0, IF($AO$9=orderHistory[customer],COUNTIF($BK$9:$BK124,orderHistory[order_date]), "")), 0)),"")</f>
        <v/>
      </c>
      <c r="BL125" s="382" t="str">
        <f t="array" ref="BL125">IFERROR(IF($AO$9="ALL",INDEX(orderHistory[order_id],ROW()-9),INDEX(orderHistory[order_id], MATCH(0, IF($AO$9=orderHistory[customer],COUNTIF($BL$9:$BL124,orderHistory[order_id]), "")), 0)),"")</f>
        <v/>
      </c>
      <c r="BM125" s="383" t="str">
        <f t="shared" si="2"/>
        <v/>
      </c>
      <c r="BN125" s="382" t="str">
        <f t="array" aca="1" ref="BN125" ca="1">IFERROR(INDEX(orderYearForSelectedClient, MATCH(0, COUNTIF($BN$9:BN124, orderYearForSelectedClient&amp;"") + IF(orderYearForSelectedClient="",1,0), 0)), "")</f>
        <v/>
      </c>
      <c r="BO125" s="383" t="str">
        <f t="shared" si="3"/>
        <v/>
      </c>
    </row>
    <row r="126" spans="63:67">
      <c r="BK126" s="381" t="str">
        <f t="array" ref="BK126">IFERROR(IF($AO$9="",INDEX(orderHistory[order_date],ROW()-9),INDEX(orderHistory[order_date], MATCH(0, IF($AO$9=orderHistory[customer],COUNTIF($BK$9:$BK125,orderHistory[order_date]), "")), 0)),"")</f>
        <v/>
      </c>
      <c r="BL126" s="382" t="str">
        <f t="array" ref="BL126">IFERROR(IF($AO$9="ALL",INDEX(orderHistory[order_id],ROW()-9),INDEX(orderHistory[order_id], MATCH(0, IF($AO$9=orderHistory[customer],COUNTIF($BL$9:$BL125,orderHistory[order_id]), "")), 0)),"")</f>
        <v/>
      </c>
      <c r="BM126" s="383" t="str">
        <f t="shared" si="2"/>
        <v/>
      </c>
      <c r="BN126" s="382" t="str">
        <f t="array" aca="1" ref="BN126" ca="1">IFERROR(INDEX(orderYearForSelectedClient, MATCH(0, COUNTIF($BN$9:BN125, orderYearForSelectedClient&amp;"") + IF(orderYearForSelectedClient="",1,0), 0)), "")</f>
        <v/>
      </c>
      <c r="BO126" s="383" t="str">
        <f t="shared" si="3"/>
        <v/>
      </c>
    </row>
    <row r="127" spans="63:67">
      <c r="BK127" s="381" t="str">
        <f t="array" ref="BK127">IFERROR(IF($AO$9="",INDEX(orderHistory[order_date],ROW()-9),INDEX(orderHistory[order_date], MATCH(0, IF($AO$9=orderHistory[customer],COUNTIF($BK$9:$BK126,orderHistory[order_date]), "")), 0)),"")</f>
        <v/>
      </c>
      <c r="BL127" s="382" t="str">
        <f t="array" ref="BL127">IFERROR(IF($AO$9="ALL",INDEX(orderHistory[order_id],ROW()-9),INDEX(orderHistory[order_id], MATCH(0, IF($AO$9=orderHistory[customer],COUNTIF($BL$9:$BL126,orderHistory[order_id]), "")), 0)),"")</f>
        <v/>
      </c>
      <c r="BM127" s="383" t="str">
        <f t="shared" si="2"/>
        <v/>
      </c>
      <c r="BN127" s="382" t="str">
        <f t="array" aca="1" ref="BN127" ca="1">IFERROR(INDEX(orderYearForSelectedClient, MATCH(0, COUNTIF($BN$9:BN126, orderYearForSelectedClient&amp;"") + IF(orderYearForSelectedClient="",1,0), 0)), "")</f>
        <v/>
      </c>
      <c r="BO127" s="383" t="str">
        <f t="shared" si="3"/>
        <v/>
      </c>
    </row>
    <row r="128" spans="63:67">
      <c r="BK128" s="381" t="str">
        <f t="array" ref="BK128">IFERROR(IF($AO$9="",INDEX(orderHistory[order_date],ROW()-9),INDEX(orderHistory[order_date], MATCH(0, IF($AO$9=orderHistory[customer],COUNTIF($BK$9:$BK127,orderHistory[order_date]), "")), 0)),"")</f>
        <v/>
      </c>
      <c r="BL128" s="382" t="str">
        <f t="array" ref="BL128">IFERROR(IF($AO$9="ALL",INDEX(orderHistory[order_id],ROW()-9),INDEX(orderHistory[order_id], MATCH(0, IF($AO$9=orderHistory[customer],COUNTIF($BL$9:$BL127,orderHistory[order_id]), "")), 0)),"")</f>
        <v/>
      </c>
      <c r="BM128" s="383" t="str">
        <f t="shared" si="2"/>
        <v/>
      </c>
      <c r="BN128" s="382" t="str">
        <f t="array" aca="1" ref="BN128" ca="1">IFERROR(INDEX(orderYearForSelectedClient, MATCH(0, COUNTIF($BN$9:BN127, orderYearForSelectedClient&amp;"") + IF(orderYearForSelectedClient="",1,0), 0)), "")</f>
        <v/>
      </c>
      <c r="BO128" s="383" t="str">
        <f t="shared" si="3"/>
        <v/>
      </c>
    </row>
    <row r="129" spans="63:67">
      <c r="BK129" s="381" t="str">
        <f t="array" ref="BK129">IFERROR(IF($AO$9="",INDEX(orderHistory[order_date],ROW()-9),INDEX(orderHistory[order_date], MATCH(0, IF($AO$9=orderHistory[customer],COUNTIF($BK$9:$BK128,orderHistory[order_date]), "")), 0)),"")</f>
        <v/>
      </c>
      <c r="BL129" s="382" t="str">
        <f t="array" ref="BL129">IFERROR(IF($AO$9="ALL",INDEX(orderHistory[order_id],ROW()-9),INDEX(orderHistory[order_id], MATCH(0, IF($AO$9=orderHistory[customer],COUNTIF($BL$9:$BL128,orderHistory[order_id]), "")), 0)),"")</f>
        <v/>
      </c>
      <c r="BM129" s="383" t="str">
        <f t="shared" si="2"/>
        <v/>
      </c>
      <c r="BN129" s="382" t="str">
        <f t="array" aca="1" ref="BN129" ca="1">IFERROR(INDEX(orderYearForSelectedClient, MATCH(0, COUNTIF($BN$9:BN128, orderYearForSelectedClient&amp;"") + IF(orderYearForSelectedClient="",1,0), 0)), "")</f>
        <v/>
      </c>
      <c r="BO129" s="383" t="str">
        <f t="shared" si="3"/>
        <v/>
      </c>
    </row>
    <row r="130" spans="63:67">
      <c r="BK130" s="381" t="str">
        <f t="array" ref="BK130">IFERROR(IF($AO$9="",INDEX(orderHistory[order_date],ROW()-9),INDEX(orderHistory[order_date], MATCH(0, IF($AO$9=orderHistory[customer],COUNTIF($BK$9:$BK129,orderHistory[order_date]), "")), 0)),"")</f>
        <v/>
      </c>
      <c r="BL130" s="382" t="str">
        <f t="array" ref="BL130">IFERROR(IF($AO$9="ALL",INDEX(orderHistory[order_id],ROW()-9),INDEX(orderHistory[order_id], MATCH(0, IF($AO$9=orderHistory[customer],COUNTIF($BL$9:$BL129,orderHistory[order_id]), "")), 0)),"")</f>
        <v/>
      </c>
      <c r="BM130" s="383" t="str">
        <f t="shared" si="2"/>
        <v/>
      </c>
      <c r="BN130" s="382" t="str">
        <f t="array" aca="1" ref="BN130" ca="1">IFERROR(INDEX(orderYearForSelectedClient, MATCH(0, COUNTIF($BN$9:BN129, orderYearForSelectedClient&amp;"") + IF(orderYearForSelectedClient="",1,0), 0)), "")</f>
        <v/>
      </c>
      <c r="BO130" s="383" t="str">
        <f t="shared" si="3"/>
        <v/>
      </c>
    </row>
    <row r="131" spans="63:67">
      <c r="BK131" s="381" t="str">
        <f t="array" ref="BK131">IFERROR(IF($AO$9="",INDEX(orderHistory[order_date],ROW()-9),INDEX(orderHistory[order_date], MATCH(0, IF($AO$9=orderHistory[customer],COUNTIF($BK$9:$BK130,orderHistory[order_date]), "")), 0)),"")</f>
        <v/>
      </c>
      <c r="BL131" s="382" t="str">
        <f t="array" ref="BL131">IFERROR(IF($AO$9="ALL",INDEX(orderHistory[order_id],ROW()-9),INDEX(orderHistory[order_id], MATCH(0, IF($AO$9=orderHistory[customer],COUNTIF($BL$9:$BL130,orderHistory[order_id]), "")), 0)),"")</f>
        <v/>
      </c>
      <c r="BM131" s="383" t="str">
        <f t="shared" si="2"/>
        <v/>
      </c>
      <c r="BN131" s="382" t="str">
        <f t="array" aca="1" ref="BN131" ca="1">IFERROR(INDEX(orderYearForSelectedClient, MATCH(0, COUNTIF($BN$9:BN130, orderYearForSelectedClient&amp;"") + IF(orderYearForSelectedClient="",1,0), 0)), "")</f>
        <v/>
      </c>
      <c r="BO131" s="383" t="str">
        <f t="shared" si="3"/>
        <v/>
      </c>
    </row>
    <row r="132" spans="63:67">
      <c r="BK132" s="381" t="str">
        <f t="array" ref="BK132">IFERROR(IF($AO$9="",INDEX(orderHistory[order_date],ROW()-9),INDEX(orderHistory[order_date], MATCH(0, IF($AO$9=orderHistory[customer],COUNTIF($BK$9:$BK131,orderHistory[order_date]), "")), 0)),"")</f>
        <v/>
      </c>
      <c r="BL132" s="382" t="str">
        <f t="array" ref="BL132">IFERROR(IF($AO$9="ALL",INDEX(orderHistory[order_id],ROW()-9),INDEX(orderHistory[order_id], MATCH(0, IF($AO$9=orderHistory[customer],COUNTIF($BL$9:$BL131,orderHistory[order_id]), "")), 0)),"")</f>
        <v/>
      </c>
      <c r="BM132" s="383" t="str">
        <f t="shared" si="2"/>
        <v/>
      </c>
      <c r="BN132" s="382" t="str">
        <f t="array" aca="1" ref="BN132" ca="1">IFERROR(INDEX(orderYearForSelectedClient, MATCH(0, COUNTIF($BN$9:BN131, orderYearForSelectedClient&amp;"") + IF(orderYearForSelectedClient="",1,0), 0)), "")</f>
        <v/>
      </c>
      <c r="BO132" s="383" t="str">
        <f t="shared" si="3"/>
        <v/>
      </c>
    </row>
    <row r="133" spans="63:67">
      <c r="BK133" s="381" t="str">
        <f t="array" ref="BK133">IFERROR(IF($AO$9="",INDEX(orderHistory[order_date],ROW()-9),INDEX(orderHistory[order_date], MATCH(0, IF($AO$9=orderHistory[customer],COUNTIF($BK$9:$BK132,orderHistory[order_date]), "")), 0)),"")</f>
        <v/>
      </c>
      <c r="BL133" s="382" t="str">
        <f t="array" ref="BL133">IFERROR(IF($AO$9="ALL",INDEX(orderHistory[order_id],ROW()-9),INDEX(orderHistory[order_id], MATCH(0, IF($AO$9=orderHistory[customer],COUNTIF($BL$9:$BL132,orderHistory[order_id]), "")), 0)),"")</f>
        <v/>
      </c>
      <c r="BM133" s="383" t="str">
        <f t="shared" si="2"/>
        <v/>
      </c>
      <c r="BN133" s="382" t="str">
        <f t="array" aca="1" ref="BN133" ca="1">IFERROR(INDEX(orderYearForSelectedClient, MATCH(0, COUNTIF($BN$9:BN132, orderYearForSelectedClient&amp;"") + IF(orderYearForSelectedClient="",1,0), 0)), "")</f>
        <v/>
      </c>
      <c r="BO133" s="383" t="str">
        <f t="shared" si="3"/>
        <v/>
      </c>
    </row>
    <row r="134" spans="63:67">
      <c r="BK134" s="381" t="str">
        <f t="array" ref="BK134">IFERROR(IF($AO$9="",INDEX(orderHistory[order_date],ROW()-9),INDEX(orderHistory[order_date], MATCH(0, IF($AO$9=orderHistory[customer],COUNTIF($BK$9:$BK133,orderHistory[order_date]), "")), 0)),"")</f>
        <v/>
      </c>
      <c r="BL134" s="382" t="str">
        <f t="array" ref="BL134">IFERROR(IF($AO$9="ALL",INDEX(orderHistory[order_id],ROW()-9),INDEX(orderHistory[order_id], MATCH(0, IF($AO$9=orderHistory[customer],COUNTIF($BL$9:$BL133,orderHistory[order_id]), "")), 0)),"")</f>
        <v/>
      </c>
      <c r="BM134" s="383" t="str">
        <f t="shared" si="2"/>
        <v/>
      </c>
      <c r="BN134" s="382" t="str">
        <f t="array" aca="1" ref="BN134" ca="1">IFERROR(INDEX(orderYearForSelectedClient, MATCH(0, COUNTIF($BN$9:BN133, orderYearForSelectedClient&amp;"") + IF(orderYearForSelectedClient="",1,0), 0)), "")</f>
        <v/>
      </c>
      <c r="BO134" s="383" t="str">
        <f t="shared" si="3"/>
        <v/>
      </c>
    </row>
    <row r="135" spans="63:67">
      <c r="BK135" s="381" t="str">
        <f t="array" ref="BK135">IFERROR(IF($AO$9="",INDEX(orderHistory[order_date],ROW()-9),INDEX(orderHistory[order_date], MATCH(0, IF($AO$9=orderHistory[customer],COUNTIF($BK$9:$BK134,orderHistory[order_date]), "")), 0)),"")</f>
        <v/>
      </c>
      <c r="BL135" s="382" t="str">
        <f t="array" ref="BL135">IFERROR(IF($AO$9="ALL",INDEX(orderHistory[order_id],ROW()-9),INDEX(orderHistory[order_id], MATCH(0, IF($AO$9=orderHistory[customer],COUNTIF($BL$9:$BL134,orderHistory[order_id]), "")), 0)),"")</f>
        <v/>
      </c>
      <c r="BM135" s="383" t="str">
        <f t="shared" si="2"/>
        <v/>
      </c>
      <c r="BN135" s="382" t="str">
        <f t="array" aca="1" ref="BN135" ca="1">IFERROR(INDEX(orderYearForSelectedClient, MATCH(0, COUNTIF($BN$9:BN134, orderYearForSelectedClient&amp;"") + IF(orderYearForSelectedClient="",1,0), 0)), "")</f>
        <v/>
      </c>
      <c r="BO135" s="383" t="str">
        <f t="shared" si="3"/>
        <v/>
      </c>
    </row>
    <row r="136" spans="63:67">
      <c r="BK136" s="381" t="str">
        <f t="array" ref="BK136">IFERROR(IF($AO$9="",INDEX(orderHistory[order_date],ROW()-9),INDEX(orderHistory[order_date], MATCH(0, IF($AO$9=orderHistory[customer],COUNTIF($BK$9:$BK135,orderHistory[order_date]), "")), 0)),"")</f>
        <v/>
      </c>
      <c r="BL136" s="382" t="str">
        <f t="array" ref="BL136">IFERROR(IF($AO$9="ALL",INDEX(orderHistory[order_id],ROW()-9),INDEX(orderHistory[order_id], MATCH(0, IF($AO$9=orderHistory[customer],COUNTIF($BL$9:$BL135,orderHistory[order_id]), "")), 0)),"")</f>
        <v/>
      </c>
      <c r="BM136" s="383" t="str">
        <f t="shared" si="2"/>
        <v/>
      </c>
      <c r="BN136" s="382" t="str">
        <f t="array" aca="1" ref="BN136" ca="1">IFERROR(INDEX(orderYearForSelectedClient, MATCH(0, COUNTIF($BN$9:BN135, orderYearForSelectedClient&amp;"") + IF(orderYearForSelectedClient="",1,0), 0)), "")</f>
        <v/>
      </c>
      <c r="BO136" s="383" t="str">
        <f t="shared" si="3"/>
        <v/>
      </c>
    </row>
    <row r="137" spans="63:67">
      <c r="BK137" s="381" t="str">
        <f t="array" ref="BK137">IFERROR(IF($AO$9="",INDEX(orderHistory[order_date],ROW()-9),INDEX(orderHistory[order_date], MATCH(0, IF($AO$9=orderHistory[customer],COUNTIF($BK$9:$BK136,orderHistory[order_date]), "")), 0)),"")</f>
        <v/>
      </c>
      <c r="BL137" s="382" t="str">
        <f t="array" ref="BL137">IFERROR(IF($AO$9="ALL",INDEX(orderHistory[order_id],ROW()-9),INDEX(orderHistory[order_id], MATCH(0, IF($AO$9=orderHistory[customer],COUNTIF($BL$9:$BL136,orderHistory[order_id]), "")), 0)),"")</f>
        <v/>
      </c>
      <c r="BM137" s="383" t="str">
        <f t="shared" si="2"/>
        <v/>
      </c>
      <c r="BN137" s="382" t="str">
        <f t="array" aca="1" ref="BN137" ca="1">IFERROR(INDEX(orderYearForSelectedClient, MATCH(0, COUNTIF($BN$9:BN136, orderYearForSelectedClient&amp;"") + IF(orderYearForSelectedClient="",1,0), 0)), "")</f>
        <v/>
      </c>
      <c r="BO137" s="383" t="str">
        <f t="shared" si="3"/>
        <v/>
      </c>
    </row>
    <row r="138" spans="63:67">
      <c r="BK138" s="381" t="str">
        <f t="array" ref="BK138">IFERROR(IF($AO$9="",INDEX(orderHistory[order_date],ROW()-9),INDEX(orderHistory[order_date], MATCH(0, IF($AO$9=orderHistory[customer],COUNTIF($BK$9:$BK137,orderHistory[order_date]), "")), 0)),"")</f>
        <v/>
      </c>
      <c r="BL138" s="382" t="str">
        <f t="array" ref="BL138">IFERROR(IF($AO$9="ALL",INDEX(orderHistory[order_id],ROW()-9),INDEX(orderHistory[order_id], MATCH(0, IF($AO$9=orderHistory[customer],COUNTIF($BL$9:$BL137,orderHistory[order_id]), "")), 0)),"")</f>
        <v/>
      </c>
      <c r="BM138" s="383" t="str">
        <f t="shared" ref="BM138:BM201" si="4">IF(BK138="","",YEAR(BK138))</f>
        <v/>
      </c>
      <c r="BN138" s="382" t="str">
        <f t="array" aca="1" ref="BN138" ca="1">IFERROR(INDEX(orderYearForSelectedClient, MATCH(0, COUNTIF($BN$9:BN137, orderYearForSelectedClient&amp;"") + IF(orderYearForSelectedClient="",1,0), 0)), "")</f>
        <v/>
      </c>
      <c r="BO138" s="383" t="str">
        <f t="shared" ref="BO138:BO201" si="5">IF($P$5="",BL138,IF(BM138=$P$5,BL138,""))</f>
        <v/>
      </c>
    </row>
    <row r="139" spans="63:67">
      <c r="BK139" s="381" t="str">
        <f t="array" ref="BK139">IFERROR(IF($AO$9="",INDEX(orderHistory[order_date],ROW()-9),INDEX(orderHistory[order_date], MATCH(0, IF($AO$9=orderHistory[customer],COUNTIF($BK$9:$BK138,orderHistory[order_date]), "")), 0)),"")</f>
        <v/>
      </c>
      <c r="BL139" s="382" t="str">
        <f t="array" ref="BL139">IFERROR(IF($AO$9="ALL",INDEX(orderHistory[order_id],ROW()-9),INDEX(orderHistory[order_id], MATCH(0, IF($AO$9=orderHistory[customer],COUNTIF($BL$9:$BL138,orderHistory[order_id]), "")), 0)),"")</f>
        <v/>
      </c>
      <c r="BM139" s="383" t="str">
        <f t="shared" si="4"/>
        <v/>
      </c>
      <c r="BN139" s="382" t="str">
        <f t="array" aca="1" ref="BN139" ca="1">IFERROR(INDEX(orderYearForSelectedClient, MATCH(0, COUNTIF($BN$9:BN138, orderYearForSelectedClient&amp;"") + IF(orderYearForSelectedClient="",1,0), 0)), "")</f>
        <v/>
      </c>
      <c r="BO139" s="383" t="str">
        <f t="shared" si="5"/>
        <v/>
      </c>
    </row>
    <row r="140" spans="63:67">
      <c r="BK140" s="381" t="str">
        <f t="array" ref="BK140">IFERROR(IF($AO$9="",INDEX(orderHistory[order_date],ROW()-9),INDEX(orderHistory[order_date], MATCH(0, IF($AO$9=orderHistory[customer],COUNTIF($BK$9:$BK139,orderHistory[order_date]), "")), 0)),"")</f>
        <v/>
      </c>
      <c r="BL140" s="382" t="str">
        <f t="array" ref="BL140">IFERROR(IF($AO$9="ALL",INDEX(orderHistory[order_id],ROW()-9),INDEX(orderHistory[order_id], MATCH(0, IF($AO$9=orderHistory[customer],COUNTIF($BL$9:$BL139,orderHistory[order_id]), "")), 0)),"")</f>
        <v/>
      </c>
      <c r="BM140" s="383" t="str">
        <f t="shared" si="4"/>
        <v/>
      </c>
      <c r="BN140" s="382" t="str">
        <f t="array" aca="1" ref="BN140" ca="1">IFERROR(INDEX(orderYearForSelectedClient, MATCH(0, COUNTIF($BN$9:BN139, orderYearForSelectedClient&amp;"") + IF(orderYearForSelectedClient="",1,0), 0)), "")</f>
        <v/>
      </c>
      <c r="BO140" s="383" t="str">
        <f t="shared" si="5"/>
        <v/>
      </c>
    </row>
    <row r="141" spans="63:67">
      <c r="BK141" s="381" t="str">
        <f t="array" ref="BK141">IFERROR(IF($AO$9="",INDEX(orderHistory[order_date],ROW()-9),INDEX(orderHistory[order_date], MATCH(0, IF($AO$9=orderHistory[customer],COUNTIF($BK$9:$BK140,orderHistory[order_date]), "")), 0)),"")</f>
        <v/>
      </c>
      <c r="BL141" s="382" t="str">
        <f t="array" ref="BL141">IFERROR(IF($AO$9="ALL",INDEX(orderHistory[order_id],ROW()-9),INDEX(orderHistory[order_id], MATCH(0, IF($AO$9=orderHistory[customer],COUNTIF($BL$9:$BL140,orderHistory[order_id]), "")), 0)),"")</f>
        <v/>
      </c>
      <c r="BM141" s="383" t="str">
        <f t="shared" si="4"/>
        <v/>
      </c>
      <c r="BN141" s="382" t="str">
        <f t="array" aca="1" ref="BN141" ca="1">IFERROR(INDEX(orderYearForSelectedClient, MATCH(0, COUNTIF($BN$9:BN140, orderYearForSelectedClient&amp;"") + IF(orderYearForSelectedClient="",1,0), 0)), "")</f>
        <v/>
      </c>
      <c r="BO141" s="383" t="str">
        <f t="shared" si="5"/>
        <v/>
      </c>
    </row>
    <row r="142" spans="63:67">
      <c r="BK142" s="381" t="str">
        <f t="array" ref="BK142">IFERROR(IF($AO$9="",INDEX(orderHistory[order_date],ROW()-9),INDEX(orderHistory[order_date], MATCH(0, IF($AO$9=orderHistory[customer],COUNTIF($BK$9:$BK141,orderHistory[order_date]), "")), 0)),"")</f>
        <v/>
      </c>
      <c r="BL142" s="382" t="str">
        <f t="array" ref="BL142">IFERROR(IF($AO$9="ALL",INDEX(orderHistory[order_id],ROW()-9),INDEX(orderHistory[order_id], MATCH(0, IF($AO$9=orderHistory[customer],COUNTIF($BL$9:$BL141,orderHistory[order_id]), "")), 0)),"")</f>
        <v/>
      </c>
      <c r="BM142" s="383" t="str">
        <f t="shared" si="4"/>
        <v/>
      </c>
      <c r="BN142" s="382" t="str">
        <f t="array" aca="1" ref="BN142" ca="1">IFERROR(INDEX(orderYearForSelectedClient, MATCH(0, COUNTIF($BN$9:BN141, orderYearForSelectedClient&amp;"") + IF(orderYearForSelectedClient="",1,0), 0)), "")</f>
        <v/>
      </c>
      <c r="BO142" s="383" t="str">
        <f t="shared" si="5"/>
        <v/>
      </c>
    </row>
    <row r="143" spans="63:67">
      <c r="BK143" s="381" t="str">
        <f t="array" ref="BK143">IFERROR(IF($AO$9="",INDEX(orderHistory[order_date],ROW()-9),INDEX(orderHistory[order_date], MATCH(0, IF($AO$9=orderHistory[customer],COUNTIF($BK$9:$BK142,orderHistory[order_date]), "")), 0)),"")</f>
        <v/>
      </c>
      <c r="BL143" s="382" t="str">
        <f t="array" ref="BL143">IFERROR(IF($AO$9="ALL",INDEX(orderHistory[order_id],ROW()-9),INDEX(orderHistory[order_id], MATCH(0, IF($AO$9=orderHistory[customer],COUNTIF($BL$9:$BL142,orderHistory[order_id]), "")), 0)),"")</f>
        <v/>
      </c>
      <c r="BM143" s="383" t="str">
        <f t="shared" si="4"/>
        <v/>
      </c>
      <c r="BN143" s="382" t="str">
        <f t="array" aca="1" ref="BN143" ca="1">IFERROR(INDEX(orderYearForSelectedClient, MATCH(0, COUNTIF($BN$9:BN142, orderYearForSelectedClient&amp;"") + IF(orderYearForSelectedClient="",1,0), 0)), "")</f>
        <v/>
      </c>
      <c r="BO143" s="383" t="str">
        <f t="shared" si="5"/>
        <v/>
      </c>
    </row>
    <row r="144" spans="63:67">
      <c r="BK144" s="381" t="str">
        <f t="array" ref="BK144">IFERROR(IF($AO$9="",INDEX(orderHistory[order_date],ROW()-9),INDEX(orderHistory[order_date], MATCH(0, IF($AO$9=orderHistory[customer],COUNTIF($BK$9:$BK143,orderHistory[order_date]), "")), 0)),"")</f>
        <v/>
      </c>
      <c r="BL144" s="382" t="str">
        <f t="array" ref="BL144">IFERROR(IF($AO$9="ALL",INDEX(orderHistory[order_id],ROW()-9),INDEX(orderHistory[order_id], MATCH(0, IF($AO$9=orderHistory[customer],COUNTIF($BL$9:$BL143,orderHistory[order_id]), "")), 0)),"")</f>
        <v/>
      </c>
      <c r="BM144" s="383" t="str">
        <f t="shared" si="4"/>
        <v/>
      </c>
      <c r="BN144" s="382" t="str">
        <f t="array" aca="1" ref="BN144" ca="1">IFERROR(INDEX(orderYearForSelectedClient, MATCH(0, COUNTIF($BN$9:BN143, orderYearForSelectedClient&amp;"") + IF(orderYearForSelectedClient="",1,0), 0)), "")</f>
        <v/>
      </c>
      <c r="BO144" s="383" t="str">
        <f t="shared" si="5"/>
        <v/>
      </c>
    </row>
    <row r="145" spans="63:67">
      <c r="BK145" s="381" t="str">
        <f t="array" ref="BK145">IFERROR(IF($AO$9="",INDEX(orderHistory[order_date],ROW()-9),INDEX(orderHistory[order_date], MATCH(0, IF($AO$9=orderHistory[customer],COUNTIF($BK$9:$BK144,orderHistory[order_date]), "")), 0)),"")</f>
        <v/>
      </c>
      <c r="BL145" s="382" t="str">
        <f t="array" ref="BL145">IFERROR(IF($AO$9="ALL",INDEX(orderHistory[order_id],ROW()-9),INDEX(orderHistory[order_id], MATCH(0, IF($AO$9=orderHistory[customer],COUNTIF($BL$9:$BL144,orderHistory[order_id]), "")), 0)),"")</f>
        <v/>
      </c>
      <c r="BM145" s="383" t="str">
        <f t="shared" si="4"/>
        <v/>
      </c>
      <c r="BN145" s="382" t="str">
        <f t="array" aca="1" ref="BN145" ca="1">IFERROR(INDEX(orderYearForSelectedClient, MATCH(0, COUNTIF($BN$9:BN144, orderYearForSelectedClient&amp;"") + IF(orderYearForSelectedClient="",1,0), 0)), "")</f>
        <v/>
      </c>
      <c r="BO145" s="383" t="str">
        <f t="shared" si="5"/>
        <v/>
      </c>
    </row>
    <row r="146" spans="63:67">
      <c r="BK146" s="381" t="str">
        <f t="array" ref="BK146">IFERROR(IF($AO$9="",INDEX(orderHistory[order_date],ROW()-9),INDEX(orderHistory[order_date], MATCH(0, IF($AO$9=orderHistory[customer],COUNTIF($BK$9:$BK145,orderHistory[order_date]), "")), 0)),"")</f>
        <v/>
      </c>
      <c r="BL146" s="382" t="str">
        <f t="array" ref="BL146">IFERROR(IF($AO$9="ALL",INDEX(orderHistory[order_id],ROW()-9),INDEX(orderHistory[order_id], MATCH(0, IF($AO$9=orderHistory[customer],COUNTIF($BL$9:$BL145,orderHistory[order_id]), "")), 0)),"")</f>
        <v/>
      </c>
      <c r="BM146" s="383" t="str">
        <f t="shared" si="4"/>
        <v/>
      </c>
      <c r="BN146" s="382" t="str">
        <f t="array" aca="1" ref="BN146" ca="1">IFERROR(INDEX(orderYearForSelectedClient, MATCH(0, COUNTIF($BN$9:BN145, orderYearForSelectedClient&amp;"") + IF(orderYearForSelectedClient="",1,0), 0)), "")</f>
        <v/>
      </c>
      <c r="BO146" s="383" t="str">
        <f t="shared" si="5"/>
        <v/>
      </c>
    </row>
    <row r="147" spans="63:67">
      <c r="BK147" s="381" t="str">
        <f t="array" ref="BK147">IFERROR(IF($AO$9="",INDEX(orderHistory[order_date],ROW()-9),INDEX(orderHistory[order_date], MATCH(0, IF($AO$9=orderHistory[customer],COUNTIF($BK$9:$BK146,orderHistory[order_date]), "")), 0)),"")</f>
        <v/>
      </c>
      <c r="BL147" s="382" t="str">
        <f t="array" ref="BL147">IFERROR(IF($AO$9="ALL",INDEX(orderHistory[order_id],ROW()-9),INDEX(orderHistory[order_id], MATCH(0, IF($AO$9=orderHistory[customer],COUNTIF($BL$9:$BL146,orderHistory[order_id]), "")), 0)),"")</f>
        <v/>
      </c>
      <c r="BM147" s="383" t="str">
        <f t="shared" si="4"/>
        <v/>
      </c>
      <c r="BN147" s="382" t="str">
        <f t="array" aca="1" ref="BN147" ca="1">IFERROR(INDEX(orderYearForSelectedClient, MATCH(0, COUNTIF($BN$9:BN146, orderYearForSelectedClient&amp;"") + IF(orderYearForSelectedClient="",1,0), 0)), "")</f>
        <v/>
      </c>
      <c r="BO147" s="383" t="str">
        <f t="shared" si="5"/>
        <v/>
      </c>
    </row>
    <row r="148" spans="63:67">
      <c r="BK148" s="381" t="str">
        <f t="array" ref="BK148">IFERROR(IF($AO$9="",INDEX(orderHistory[order_date],ROW()-9),INDEX(orderHistory[order_date], MATCH(0, IF($AO$9=orderHistory[customer],COUNTIF($BK$9:$BK147,orderHistory[order_date]), "")), 0)),"")</f>
        <v/>
      </c>
      <c r="BL148" s="382" t="str">
        <f t="array" ref="BL148">IFERROR(IF($AO$9="ALL",INDEX(orderHistory[order_id],ROW()-9),INDEX(orderHistory[order_id], MATCH(0, IF($AO$9=orderHistory[customer],COUNTIF($BL$9:$BL147,orderHistory[order_id]), "")), 0)),"")</f>
        <v/>
      </c>
      <c r="BM148" s="383" t="str">
        <f t="shared" si="4"/>
        <v/>
      </c>
      <c r="BN148" s="382" t="str">
        <f t="array" aca="1" ref="BN148" ca="1">IFERROR(INDEX(orderYearForSelectedClient, MATCH(0, COUNTIF($BN$9:BN147, orderYearForSelectedClient&amp;"") + IF(orderYearForSelectedClient="",1,0), 0)), "")</f>
        <v/>
      </c>
      <c r="BO148" s="383" t="str">
        <f t="shared" si="5"/>
        <v/>
      </c>
    </row>
    <row r="149" spans="63:67">
      <c r="BK149" s="381" t="str">
        <f t="array" ref="BK149">IFERROR(IF($AO$9="",INDEX(orderHistory[order_date],ROW()-9),INDEX(orderHistory[order_date], MATCH(0, IF($AO$9=orderHistory[customer],COUNTIF($BK$9:$BK148,orderHistory[order_date]), "")), 0)),"")</f>
        <v/>
      </c>
      <c r="BL149" s="382" t="str">
        <f t="array" ref="BL149">IFERROR(IF($AO$9="ALL",INDEX(orderHistory[order_id],ROW()-9),INDEX(orderHistory[order_id], MATCH(0, IF($AO$9=orderHistory[customer],COUNTIF($BL$9:$BL148,orderHistory[order_id]), "")), 0)),"")</f>
        <v/>
      </c>
      <c r="BM149" s="383" t="str">
        <f t="shared" si="4"/>
        <v/>
      </c>
      <c r="BN149" s="382" t="str">
        <f t="array" aca="1" ref="BN149" ca="1">IFERROR(INDEX(orderYearForSelectedClient, MATCH(0, COUNTIF($BN$9:BN148, orderYearForSelectedClient&amp;"") + IF(orderYearForSelectedClient="",1,0), 0)), "")</f>
        <v/>
      </c>
      <c r="BO149" s="383" t="str">
        <f t="shared" si="5"/>
        <v/>
      </c>
    </row>
    <row r="150" spans="63:67">
      <c r="BK150" s="381" t="str">
        <f t="array" ref="BK150">IFERROR(IF($AO$9="",INDEX(orderHistory[order_date],ROW()-9),INDEX(orderHistory[order_date], MATCH(0, IF($AO$9=orderHistory[customer],COUNTIF($BK$9:$BK149,orderHistory[order_date]), "")), 0)),"")</f>
        <v/>
      </c>
      <c r="BL150" s="382" t="str">
        <f t="array" ref="BL150">IFERROR(IF($AO$9="ALL",INDEX(orderHistory[order_id],ROW()-9),INDEX(orderHistory[order_id], MATCH(0, IF($AO$9=orderHistory[customer],COUNTIF($BL$9:$BL149,orderHistory[order_id]), "")), 0)),"")</f>
        <v/>
      </c>
      <c r="BM150" s="383" t="str">
        <f t="shared" si="4"/>
        <v/>
      </c>
      <c r="BN150" s="382" t="str">
        <f t="array" aca="1" ref="BN150" ca="1">IFERROR(INDEX(orderYearForSelectedClient, MATCH(0, COUNTIF($BN$9:BN149, orderYearForSelectedClient&amp;"") + IF(orderYearForSelectedClient="",1,0), 0)), "")</f>
        <v/>
      </c>
      <c r="BO150" s="383" t="str">
        <f t="shared" si="5"/>
        <v/>
      </c>
    </row>
    <row r="151" spans="63:67">
      <c r="BK151" s="381" t="str">
        <f t="array" ref="BK151">IFERROR(IF($AO$9="",INDEX(orderHistory[order_date],ROW()-9),INDEX(orderHistory[order_date], MATCH(0, IF($AO$9=orderHistory[customer],COUNTIF($BK$9:$BK150,orderHistory[order_date]), "")), 0)),"")</f>
        <v/>
      </c>
      <c r="BL151" s="382" t="str">
        <f t="array" ref="BL151">IFERROR(IF($AO$9="ALL",INDEX(orderHistory[order_id],ROW()-9),INDEX(orderHistory[order_id], MATCH(0, IF($AO$9=orderHistory[customer],COUNTIF($BL$9:$BL150,orderHistory[order_id]), "")), 0)),"")</f>
        <v/>
      </c>
      <c r="BM151" s="383" t="str">
        <f t="shared" si="4"/>
        <v/>
      </c>
      <c r="BN151" s="382" t="str">
        <f t="array" aca="1" ref="BN151" ca="1">IFERROR(INDEX(orderYearForSelectedClient, MATCH(0, COUNTIF($BN$9:BN150, orderYearForSelectedClient&amp;"") + IF(orderYearForSelectedClient="",1,0), 0)), "")</f>
        <v/>
      </c>
      <c r="BO151" s="383" t="str">
        <f t="shared" si="5"/>
        <v/>
      </c>
    </row>
    <row r="152" spans="63:67">
      <c r="BK152" s="381" t="str">
        <f t="array" ref="BK152">IFERROR(IF($AO$9="",INDEX(orderHistory[order_date],ROW()-9),INDEX(orderHistory[order_date], MATCH(0, IF($AO$9=orderHistory[customer],COUNTIF($BK$9:$BK151,orderHistory[order_date]), "")), 0)),"")</f>
        <v/>
      </c>
      <c r="BL152" s="382" t="str">
        <f t="array" ref="BL152">IFERROR(IF($AO$9="ALL",INDEX(orderHistory[order_id],ROW()-9),INDEX(orderHistory[order_id], MATCH(0, IF($AO$9=orderHistory[customer],COUNTIF($BL$9:$BL151,orderHistory[order_id]), "")), 0)),"")</f>
        <v/>
      </c>
      <c r="BM152" s="383" t="str">
        <f t="shared" si="4"/>
        <v/>
      </c>
      <c r="BN152" s="382" t="str">
        <f t="array" aca="1" ref="BN152" ca="1">IFERROR(INDEX(orderYearForSelectedClient, MATCH(0, COUNTIF($BN$9:BN151, orderYearForSelectedClient&amp;"") + IF(orderYearForSelectedClient="",1,0), 0)), "")</f>
        <v/>
      </c>
      <c r="BO152" s="383" t="str">
        <f t="shared" si="5"/>
        <v/>
      </c>
    </row>
    <row r="153" spans="63:67">
      <c r="BK153" s="381" t="str">
        <f t="array" ref="BK153">IFERROR(IF($AO$9="",INDEX(orderHistory[order_date],ROW()-9),INDEX(orderHistory[order_date], MATCH(0, IF($AO$9=orderHistory[customer],COUNTIF($BK$9:$BK152,orderHistory[order_date]), "")), 0)),"")</f>
        <v/>
      </c>
      <c r="BL153" s="382" t="str">
        <f t="array" ref="BL153">IFERROR(IF($AO$9="ALL",INDEX(orderHistory[order_id],ROW()-9),INDEX(orderHistory[order_id], MATCH(0, IF($AO$9=orderHistory[customer],COUNTIF($BL$9:$BL152,orderHistory[order_id]), "")), 0)),"")</f>
        <v/>
      </c>
      <c r="BM153" s="383" t="str">
        <f t="shared" si="4"/>
        <v/>
      </c>
      <c r="BN153" s="382" t="str">
        <f t="array" aca="1" ref="BN153" ca="1">IFERROR(INDEX(orderYearForSelectedClient, MATCH(0, COUNTIF($BN$9:BN152, orderYearForSelectedClient&amp;"") + IF(orderYearForSelectedClient="",1,0), 0)), "")</f>
        <v/>
      </c>
      <c r="BO153" s="383" t="str">
        <f t="shared" si="5"/>
        <v/>
      </c>
    </row>
    <row r="154" spans="63:67">
      <c r="BK154" s="381" t="str">
        <f t="array" ref="BK154">IFERROR(IF($AO$9="",INDEX(orderHistory[order_date],ROW()-9),INDEX(orderHistory[order_date], MATCH(0, IF($AO$9=orderHistory[customer],COUNTIF($BK$9:$BK153,orderHistory[order_date]), "")), 0)),"")</f>
        <v/>
      </c>
      <c r="BL154" s="382" t="str">
        <f t="array" ref="BL154">IFERROR(IF($AO$9="ALL",INDEX(orderHistory[order_id],ROW()-9),INDEX(orderHistory[order_id], MATCH(0, IF($AO$9=orderHistory[customer],COUNTIF($BL$9:$BL153,orderHistory[order_id]), "")), 0)),"")</f>
        <v/>
      </c>
      <c r="BM154" s="383" t="str">
        <f t="shared" si="4"/>
        <v/>
      </c>
      <c r="BN154" s="382" t="str">
        <f t="array" aca="1" ref="BN154" ca="1">IFERROR(INDEX(orderYearForSelectedClient, MATCH(0, COUNTIF($BN$9:BN153, orderYearForSelectedClient&amp;"") + IF(orderYearForSelectedClient="",1,0), 0)), "")</f>
        <v/>
      </c>
      <c r="BO154" s="383" t="str">
        <f t="shared" si="5"/>
        <v/>
      </c>
    </row>
    <row r="155" spans="63:67">
      <c r="BK155" s="381" t="str">
        <f t="array" ref="BK155">IFERROR(IF($AO$9="",INDEX(orderHistory[order_date],ROW()-9),INDEX(orderHistory[order_date], MATCH(0, IF($AO$9=orderHistory[customer],COUNTIF($BK$9:$BK154,orderHistory[order_date]), "")), 0)),"")</f>
        <v/>
      </c>
      <c r="BL155" s="382" t="str">
        <f t="array" ref="BL155">IFERROR(IF($AO$9="ALL",INDEX(orderHistory[order_id],ROW()-9),INDEX(orderHistory[order_id], MATCH(0, IF($AO$9=orderHistory[customer],COUNTIF($BL$9:$BL154,orderHistory[order_id]), "")), 0)),"")</f>
        <v/>
      </c>
      <c r="BM155" s="383" t="str">
        <f t="shared" si="4"/>
        <v/>
      </c>
      <c r="BN155" s="382" t="str">
        <f t="array" aca="1" ref="BN155" ca="1">IFERROR(INDEX(orderYearForSelectedClient, MATCH(0, COUNTIF($BN$9:BN154, orderYearForSelectedClient&amp;"") + IF(orderYearForSelectedClient="",1,0), 0)), "")</f>
        <v/>
      </c>
      <c r="BO155" s="383" t="str">
        <f t="shared" si="5"/>
        <v/>
      </c>
    </row>
    <row r="156" spans="63:67">
      <c r="BK156" s="381" t="str">
        <f t="array" ref="BK156">IFERROR(IF($AO$9="",INDEX(orderHistory[order_date],ROW()-9),INDEX(orderHistory[order_date], MATCH(0, IF($AO$9=orderHistory[customer],COUNTIF($BK$9:$BK155,orderHistory[order_date]), "")), 0)),"")</f>
        <v/>
      </c>
      <c r="BL156" s="382" t="str">
        <f t="array" ref="BL156">IFERROR(IF($AO$9="ALL",INDEX(orderHistory[order_id],ROW()-9),INDEX(orderHistory[order_id], MATCH(0, IF($AO$9=orderHistory[customer],COUNTIF($BL$9:$BL155,orderHistory[order_id]), "")), 0)),"")</f>
        <v/>
      </c>
      <c r="BM156" s="383" t="str">
        <f t="shared" si="4"/>
        <v/>
      </c>
      <c r="BN156" s="382" t="str">
        <f t="array" aca="1" ref="BN156" ca="1">IFERROR(INDEX(orderYearForSelectedClient, MATCH(0, COUNTIF($BN$9:BN155, orderYearForSelectedClient&amp;"") + IF(orderYearForSelectedClient="",1,0), 0)), "")</f>
        <v/>
      </c>
      <c r="BO156" s="383" t="str">
        <f t="shared" si="5"/>
        <v/>
      </c>
    </row>
    <row r="157" spans="63:67">
      <c r="BK157" s="381" t="str">
        <f t="array" ref="BK157">IFERROR(IF($AO$9="",INDEX(orderHistory[order_date],ROW()-9),INDEX(orderHistory[order_date], MATCH(0, IF($AO$9=orderHistory[customer],COUNTIF($BK$9:$BK156,orderHistory[order_date]), "")), 0)),"")</f>
        <v/>
      </c>
      <c r="BL157" s="382" t="str">
        <f t="array" ref="BL157">IFERROR(IF($AO$9="ALL",INDEX(orderHistory[order_id],ROW()-9),INDEX(orderHistory[order_id], MATCH(0, IF($AO$9=orderHistory[customer],COUNTIF($BL$9:$BL156,orderHistory[order_id]), "")), 0)),"")</f>
        <v/>
      </c>
      <c r="BM157" s="383" t="str">
        <f t="shared" si="4"/>
        <v/>
      </c>
      <c r="BN157" s="382" t="str">
        <f t="array" aca="1" ref="BN157" ca="1">IFERROR(INDEX(orderYearForSelectedClient, MATCH(0, COUNTIF($BN$9:BN156, orderYearForSelectedClient&amp;"") + IF(orderYearForSelectedClient="",1,0), 0)), "")</f>
        <v/>
      </c>
      <c r="BO157" s="383" t="str">
        <f t="shared" si="5"/>
        <v/>
      </c>
    </row>
    <row r="158" spans="63:67">
      <c r="BK158" s="381" t="str">
        <f t="array" ref="BK158">IFERROR(IF($AO$9="",INDEX(orderHistory[order_date],ROW()-9),INDEX(orderHistory[order_date], MATCH(0, IF($AO$9=orderHistory[customer],COUNTIF($BK$9:$BK157,orderHistory[order_date]), "")), 0)),"")</f>
        <v/>
      </c>
      <c r="BL158" s="382" t="str">
        <f t="array" ref="BL158">IFERROR(IF($AO$9="ALL",INDEX(orderHistory[order_id],ROW()-9),INDEX(orderHistory[order_id], MATCH(0, IF($AO$9=orderHistory[customer],COUNTIF($BL$9:$BL157,orderHistory[order_id]), "")), 0)),"")</f>
        <v/>
      </c>
      <c r="BM158" s="383" t="str">
        <f t="shared" si="4"/>
        <v/>
      </c>
      <c r="BN158" s="382" t="str">
        <f t="array" aca="1" ref="BN158" ca="1">IFERROR(INDEX(orderYearForSelectedClient, MATCH(0, COUNTIF($BN$9:BN157, orderYearForSelectedClient&amp;"") + IF(orderYearForSelectedClient="",1,0), 0)), "")</f>
        <v/>
      </c>
      <c r="BO158" s="383" t="str">
        <f t="shared" si="5"/>
        <v/>
      </c>
    </row>
    <row r="159" spans="63:67">
      <c r="BK159" s="381" t="str">
        <f t="array" ref="BK159">IFERROR(IF($AO$9="",INDEX(orderHistory[order_date],ROW()-9),INDEX(orderHistory[order_date], MATCH(0, IF($AO$9=orderHistory[customer],COUNTIF($BK$9:$BK158,orderHistory[order_date]), "")), 0)),"")</f>
        <v/>
      </c>
      <c r="BL159" s="382" t="str">
        <f t="array" ref="BL159">IFERROR(IF($AO$9="ALL",INDEX(orderHistory[order_id],ROW()-9),INDEX(orderHistory[order_id], MATCH(0, IF($AO$9=orderHistory[customer],COUNTIF($BL$9:$BL158,orderHistory[order_id]), "")), 0)),"")</f>
        <v/>
      </c>
      <c r="BM159" s="383" t="str">
        <f t="shared" si="4"/>
        <v/>
      </c>
      <c r="BN159" s="382" t="str">
        <f t="array" aca="1" ref="BN159" ca="1">IFERROR(INDEX(orderYearForSelectedClient, MATCH(0, COUNTIF($BN$9:BN158, orderYearForSelectedClient&amp;"") + IF(orderYearForSelectedClient="",1,0), 0)), "")</f>
        <v/>
      </c>
      <c r="BO159" s="383" t="str">
        <f t="shared" si="5"/>
        <v/>
      </c>
    </row>
    <row r="160" spans="63:67">
      <c r="BK160" s="381" t="str">
        <f t="array" ref="BK160">IFERROR(IF($AO$9="",INDEX(orderHistory[order_date],ROW()-9),INDEX(orderHistory[order_date], MATCH(0, IF($AO$9=orderHistory[customer],COUNTIF($BK$9:$BK159,orderHistory[order_date]), "")), 0)),"")</f>
        <v/>
      </c>
      <c r="BL160" s="382" t="str">
        <f t="array" ref="BL160">IFERROR(IF($AO$9="ALL",INDEX(orderHistory[order_id],ROW()-9),INDEX(orderHistory[order_id], MATCH(0, IF($AO$9=orderHistory[customer],COUNTIF($BL$9:$BL159,orderHistory[order_id]), "")), 0)),"")</f>
        <v/>
      </c>
      <c r="BM160" s="383" t="str">
        <f t="shared" si="4"/>
        <v/>
      </c>
      <c r="BN160" s="382" t="str">
        <f t="array" aca="1" ref="BN160" ca="1">IFERROR(INDEX(orderYearForSelectedClient, MATCH(0, COUNTIF($BN$9:BN159, orderYearForSelectedClient&amp;"") + IF(orderYearForSelectedClient="",1,0), 0)), "")</f>
        <v/>
      </c>
      <c r="BO160" s="383" t="str">
        <f t="shared" si="5"/>
        <v/>
      </c>
    </row>
    <row r="161" spans="63:67">
      <c r="BK161" s="381" t="str">
        <f t="array" ref="BK161">IFERROR(IF($AO$9="",INDEX(orderHistory[order_date],ROW()-9),INDEX(orderHistory[order_date], MATCH(0, IF($AO$9=orderHistory[customer],COUNTIF($BK$9:$BK160,orderHistory[order_date]), "")), 0)),"")</f>
        <v/>
      </c>
      <c r="BL161" s="382" t="str">
        <f t="array" ref="BL161">IFERROR(IF($AO$9="ALL",INDEX(orderHistory[order_id],ROW()-9),INDEX(orderHistory[order_id], MATCH(0, IF($AO$9=orderHistory[customer],COUNTIF($BL$9:$BL160,orderHistory[order_id]), "")), 0)),"")</f>
        <v/>
      </c>
      <c r="BM161" s="383" t="str">
        <f t="shared" si="4"/>
        <v/>
      </c>
      <c r="BN161" s="382" t="str">
        <f t="array" aca="1" ref="BN161" ca="1">IFERROR(INDEX(orderYearForSelectedClient, MATCH(0, COUNTIF($BN$9:BN160, orderYearForSelectedClient&amp;"") + IF(orderYearForSelectedClient="",1,0), 0)), "")</f>
        <v/>
      </c>
      <c r="BO161" s="383" t="str">
        <f t="shared" si="5"/>
        <v/>
      </c>
    </row>
    <row r="162" spans="63:67">
      <c r="BK162" s="381" t="str">
        <f t="array" ref="BK162">IFERROR(IF($AO$9="",INDEX(orderHistory[order_date],ROW()-9),INDEX(orderHistory[order_date], MATCH(0, IF($AO$9=orderHistory[customer],COUNTIF($BK$9:$BK161,orderHistory[order_date]), "")), 0)),"")</f>
        <v/>
      </c>
      <c r="BL162" s="382" t="str">
        <f t="array" ref="BL162">IFERROR(IF($AO$9="ALL",INDEX(orderHistory[order_id],ROW()-9),INDEX(orderHistory[order_id], MATCH(0, IF($AO$9=orderHistory[customer],COUNTIF($BL$9:$BL161,orderHistory[order_id]), "")), 0)),"")</f>
        <v/>
      </c>
      <c r="BM162" s="383" t="str">
        <f t="shared" si="4"/>
        <v/>
      </c>
      <c r="BN162" s="382" t="str">
        <f t="array" aca="1" ref="BN162" ca="1">IFERROR(INDEX(orderYearForSelectedClient, MATCH(0, COUNTIF($BN$9:BN161, orderYearForSelectedClient&amp;"") + IF(orderYearForSelectedClient="",1,0), 0)), "")</f>
        <v/>
      </c>
      <c r="BO162" s="383" t="str">
        <f t="shared" si="5"/>
        <v/>
      </c>
    </row>
    <row r="163" spans="63:67">
      <c r="BK163" s="381" t="str">
        <f t="array" ref="BK163">IFERROR(IF($AO$9="",INDEX(orderHistory[order_date],ROW()-9),INDEX(orderHistory[order_date], MATCH(0, IF($AO$9=orderHistory[customer],COUNTIF($BK$9:$BK162,orderHistory[order_date]), "")), 0)),"")</f>
        <v/>
      </c>
      <c r="BL163" s="382" t="str">
        <f t="array" ref="BL163">IFERROR(IF($AO$9="ALL",INDEX(orderHistory[order_id],ROW()-9),INDEX(orderHistory[order_id], MATCH(0, IF($AO$9=orderHistory[customer],COUNTIF($BL$9:$BL162,orderHistory[order_id]), "")), 0)),"")</f>
        <v/>
      </c>
      <c r="BM163" s="383" t="str">
        <f t="shared" si="4"/>
        <v/>
      </c>
      <c r="BN163" s="382" t="str">
        <f t="array" aca="1" ref="BN163" ca="1">IFERROR(INDEX(orderYearForSelectedClient, MATCH(0, COUNTIF($BN$9:BN162, orderYearForSelectedClient&amp;"") + IF(orderYearForSelectedClient="",1,0), 0)), "")</f>
        <v/>
      </c>
      <c r="BO163" s="383" t="str">
        <f t="shared" si="5"/>
        <v/>
      </c>
    </row>
    <row r="164" spans="63:67">
      <c r="BK164" s="381" t="str">
        <f t="array" ref="BK164">IFERROR(IF($AO$9="",INDEX(orderHistory[order_date],ROW()-9),INDEX(orderHistory[order_date], MATCH(0, IF($AO$9=orderHistory[customer],COUNTIF($BK$9:$BK163,orderHistory[order_date]), "")), 0)),"")</f>
        <v/>
      </c>
      <c r="BL164" s="382" t="str">
        <f t="array" ref="BL164">IFERROR(IF($AO$9="ALL",INDEX(orderHistory[order_id],ROW()-9),INDEX(orderHistory[order_id], MATCH(0, IF($AO$9=orderHistory[customer],COUNTIF($BL$9:$BL163,orderHistory[order_id]), "")), 0)),"")</f>
        <v/>
      </c>
      <c r="BM164" s="383" t="str">
        <f t="shared" si="4"/>
        <v/>
      </c>
      <c r="BN164" s="382" t="str">
        <f t="array" aca="1" ref="BN164" ca="1">IFERROR(INDEX(orderYearForSelectedClient, MATCH(0, COUNTIF($BN$9:BN163, orderYearForSelectedClient&amp;"") + IF(orderYearForSelectedClient="",1,0), 0)), "")</f>
        <v/>
      </c>
      <c r="BO164" s="383" t="str">
        <f t="shared" si="5"/>
        <v/>
      </c>
    </row>
    <row r="165" spans="63:67">
      <c r="BK165" s="381" t="str">
        <f t="array" ref="BK165">IFERROR(IF($AO$9="",INDEX(orderHistory[order_date],ROW()-9),INDEX(orderHistory[order_date], MATCH(0, IF($AO$9=orderHistory[customer],COUNTIF($BK$9:$BK164,orderHistory[order_date]), "")), 0)),"")</f>
        <v/>
      </c>
      <c r="BL165" s="382" t="str">
        <f t="array" ref="BL165">IFERROR(IF($AO$9="ALL",INDEX(orderHistory[order_id],ROW()-9),INDEX(orderHistory[order_id], MATCH(0, IF($AO$9=orderHistory[customer],COUNTIF($BL$9:$BL164,orderHistory[order_id]), "")), 0)),"")</f>
        <v/>
      </c>
      <c r="BM165" s="383" t="str">
        <f t="shared" si="4"/>
        <v/>
      </c>
      <c r="BN165" s="382" t="str">
        <f t="array" aca="1" ref="BN165" ca="1">IFERROR(INDEX(orderYearForSelectedClient, MATCH(0, COUNTIF($BN$9:BN164, orderYearForSelectedClient&amp;"") + IF(orderYearForSelectedClient="",1,0), 0)), "")</f>
        <v/>
      </c>
      <c r="BO165" s="383" t="str">
        <f t="shared" si="5"/>
        <v/>
      </c>
    </row>
    <row r="166" spans="63:67">
      <c r="BK166" s="381" t="str">
        <f t="array" ref="BK166">IFERROR(IF($AO$9="",INDEX(orderHistory[order_date],ROW()-9),INDEX(orderHistory[order_date], MATCH(0, IF($AO$9=orderHistory[customer],COUNTIF($BK$9:$BK165,orderHistory[order_date]), "")), 0)),"")</f>
        <v/>
      </c>
      <c r="BL166" s="382" t="str">
        <f t="array" ref="BL166">IFERROR(IF($AO$9="ALL",INDEX(orderHistory[order_id],ROW()-9),INDEX(orderHistory[order_id], MATCH(0, IF($AO$9=orderHistory[customer],COUNTIF($BL$9:$BL165,orderHistory[order_id]), "")), 0)),"")</f>
        <v/>
      </c>
      <c r="BM166" s="383" t="str">
        <f t="shared" si="4"/>
        <v/>
      </c>
      <c r="BN166" s="382" t="str">
        <f t="array" aca="1" ref="BN166" ca="1">IFERROR(INDEX(orderYearForSelectedClient, MATCH(0, COUNTIF($BN$9:BN165, orderYearForSelectedClient&amp;"") + IF(orderYearForSelectedClient="",1,0), 0)), "")</f>
        <v/>
      </c>
      <c r="BO166" s="383" t="str">
        <f t="shared" si="5"/>
        <v/>
      </c>
    </row>
    <row r="167" spans="63:67">
      <c r="BK167" s="381" t="str">
        <f t="array" ref="BK167">IFERROR(IF($AO$9="",INDEX(orderHistory[order_date],ROW()-9),INDEX(orderHistory[order_date], MATCH(0, IF($AO$9=orderHistory[customer],COUNTIF($BK$9:$BK166,orderHistory[order_date]), "")), 0)),"")</f>
        <v/>
      </c>
      <c r="BL167" s="382" t="str">
        <f t="array" ref="BL167">IFERROR(IF($AO$9="ALL",INDEX(orderHistory[order_id],ROW()-9),INDEX(orderHistory[order_id], MATCH(0, IF($AO$9=orderHistory[customer],COUNTIF($BL$9:$BL166,orderHistory[order_id]), "")), 0)),"")</f>
        <v/>
      </c>
      <c r="BM167" s="383" t="str">
        <f t="shared" si="4"/>
        <v/>
      </c>
      <c r="BN167" s="382" t="str">
        <f t="array" aca="1" ref="BN167" ca="1">IFERROR(INDEX(orderYearForSelectedClient, MATCH(0, COUNTIF($BN$9:BN166, orderYearForSelectedClient&amp;"") + IF(orderYearForSelectedClient="",1,0), 0)), "")</f>
        <v/>
      </c>
      <c r="BO167" s="383" t="str">
        <f t="shared" si="5"/>
        <v/>
      </c>
    </row>
    <row r="168" spans="63:67">
      <c r="BK168" s="381" t="str">
        <f t="array" ref="BK168">IFERROR(IF($AO$9="",INDEX(orderHistory[order_date],ROW()-9),INDEX(orderHistory[order_date], MATCH(0, IF($AO$9=orderHistory[customer],COUNTIF($BK$9:$BK167,orderHistory[order_date]), "")), 0)),"")</f>
        <v/>
      </c>
      <c r="BL168" s="382" t="str">
        <f t="array" ref="BL168">IFERROR(IF($AO$9="ALL",INDEX(orderHistory[order_id],ROW()-9),INDEX(orderHistory[order_id], MATCH(0, IF($AO$9=orderHistory[customer],COUNTIF($BL$9:$BL167,orderHistory[order_id]), "")), 0)),"")</f>
        <v/>
      </c>
      <c r="BM168" s="383" t="str">
        <f t="shared" si="4"/>
        <v/>
      </c>
      <c r="BN168" s="382" t="str">
        <f t="array" aca="1" ref="BN168" ca="1">IFERROR(INDEX(orderYearForSelectedClient, MATCH(0, COUNTIF($BN$9:BN167, orderYearForSelectedClient&amp;"") + IF(orderYearForSelectedClient="",1,0), 0)), "")</f>
        <v/>
      </c>
      <c r="BO168" s="383" t="str">
        <f t="shared" si="5"/>
        <v/>
      </c>
    </row>
    <row r="169" spans="63:67">
      <c r="BK169" s="381" t="str">
        <f t="array" ref="BK169">IFERROR(IF($AO$9="",INDEX(orderHistory[order_date],ROW()-9),INDEX(orderHistory[order_date], MATCH(0, IF($AO$9=orderHistory[customer],COUNTIF($BK$9:$BK168,orderHistory[order_date]), "")), 0)),"")</f>
        <v/>
      </c>
      <c r="BL169" s="382" t="str">
        <f t="array" ref="BL169">IFERROR(IF($AO$9="ALL",INDEX(orderHistory[order_id],ROW()-9),INDEX(orderHistory[order_id], MATCH(0, IF($AO$9=orderHistory[customer],COUNTIF($BL$9:$BL168,orderHistory[order_id]), "")), 0)),"")</f>
        <v/>
      </c>
      <c r="BM169" s="383" t="str">
        <f t="shared" si="4"/>
        <v/>
      </c>
      <c r="BN169" s="382" t="str">
        <f t="array" aca="1" ref="BN169" ca="1">IFERROR(INDEX(orderYearForSelectedClient, MATCH(0, COUNTIF($BN$9:BN168, orderYearForSelectedClient&amp;"") + IF(orderYearForSelectedClient="",1,0), 0)), "")</f>
        <v/>
      </c>
      <c r="BO169" s="383" t="str">
        <f t="shared" si="5"/>
        <v/>
      </c>
    </row>
    <row r="170" spans="63:67">
      <c r="BK170" s="381" t="str">
        <f t="array" ref="BK170">IFERROR(IF($AO$9="",INDEX(orderHistory[order_date],ROW()-9),INDEX(orderHistory[order_date], MATCH(0, IF($AO$9=orderHistory[customer],COUNTIF($BK$9:$BK169,orderHistory[order_date]), "")), 0)),"")</f>
        <v/>
      </c>
      <c r="BL170" s="382" t="str">
        <f t="array" ref="BL170">IFERROR(IF($AO$9="ALL",INDEX(orderHistory[order_id],ROW()-9),INDEX(orderHistory[order_id], MATCH(0, IF($AO$9=orderHistory[customer],COUNTIF($BL$9:$BL169,orderHistory[order_id]), "")), 0)),"")</f>
        <v/>
      </c>
      <c r="BM170" s="383" t="str">
        <f t="shared" si="4"/>
        <v/>
      </c>
      <c r="BN170" s="382" t="str">
        <f t="array" aca="1" ref="BN170" ca="1">IFERROR(INDEX(orderYearForSelectedClient, MATCH(0, COUNTIF($BN$9:BN169, orderYearForSelectedClient&amp;"") + IF(orderYearForSelectedClient="",1,0), 0)), "")</f>
        <v/>
      </c>
      <c r="BO170" s="383" t="str">
        <f t="shared" si="5"/>
        <v/>
      </c>
    </row>
    <row r="171" spans="63:67">
      <c r="BK171" s="381" t="str">
        <f t="array" ref="BK171">IFERROR(IF($AO$9="",INDEX(orderHistory[order_date],ROW()-9),INDEX(orderHistory[order_date], MATCH(0, IF($AO$9=orderHistory[customer],COUNTIF($BK$9:$BK170,orderHistory[order_date]), "")), 0)),"")</f>
        <v/>
      </c>
      <c r="BL171" s="382" t="str">
        <f t="array" ref="BL171">IFERROR(IF($AO$9="ALL",INDEX(orderHistory[order_id],ROW()-9),INDEX(orderHistory[order_id], MATCH(0, IF($AO$9=orderHistory[customer],COUNTIF($BL$9:$BL170,orderHistory[order_id]), "")), 0)),"")</f>
        <v/>
      </c>
      <c r="BM171" s="383" t="str">
        <f t="shared" si="4"/>
        <v/>
      </c>
      <c r="BN171" s="382" t="str">
        <f t="array" aca="1" ref="BN171" ca="1">IFERROR(INDEX(orderYearForSelectedClient, MATCH(0, COUNTIF($BN$9:BN170, orderYearForSelectedClient&amp;"") + IF(orderYearForSelectedClient="",1,0), 0)), "")</f>
        <v/>
      </c>
      <c r="BO171" s="383" t="str">
        <f t="shared" si="5"/>
        <v/>
      </c>
    </row>
    <row r="172" spans="63:67">
      <c r="BK172" s="381" t="str">
        <f t="array" ref="BK172">IFERROR(IF($AO$9="",INDEX(orderHistory[order_date],ROW()-9),INDEX(orderHistory[order_date], MATCH(0, IF($AO$9=orderHistory[customer],COUNTIF($BK$9:$BK171,orderHistory[order_date]), "")), 0)),"")</f>
        <v/>
      </c>
      <c r="BL172" s="382" t="str">
        <f t="array" ref="BL172">IFERROR(IF($AO$9="ALL",INDEX(orderHistory[order_id],ROW()-9),INDEX(orderHistory[order_id], MATCH(0, IF($AO$9=orderHistory[customer],COUNTIF($BL$9:$BL171,orderHistory[order_id]), "")), 0)),"")</f>
        <v/>
      </c>
      <c r="BM172" s="383" t="str">
        <f t="shared" si="4"/>
        <v/>
      </c>
      <c r="BN172" s="382" t="str">
        <f t="array" aca="1" ref="BN172" ca="1">IFERROR(INDEX(orderYearForSelectedClient, MATCH(0, COUNTIF($BN$9:BN171, orderYearForSelectedClient&amp;"") + IF(orderYearForSelectedClient="",1,0), 0)), "")</f>
        <v/>
      </c>
      <c r="BO172" s="383" t="str">
        <f t="shared" si="5"/>
        <v/>
      </c>
    </row>
    <row r="173" spans="63:67">
      <c r="BK173" s="381" t="str">
        <f t="array" ref="BK173">IFERROR(IF($AO$9="",INDEX(orderHistory[order_date],ROW()-9),INDEX(orderHistory[order_date], MATCH(0, IF($AO$9=orderHistory[customer],COUNTIF($BK$9:$BK172,orderHistory[order_date]), "")), 0)),"")</f>
        <v/>
      </c>
      <c r="BL173" s="382" t="str">
        <f t="array" ref="BL173">IFERROR(IF($AO$9="ALL",INDEX(orderHistory[order_id],ROW()-9),INDEX(orderHistory[order_id], MATCH(0, IF($AO$9=orderHistory[customer],COUNTIF($BL$9:$BL172,orderHistory[order_id]), "")), 0)),"")</f>
        <v/>
      </c>
      <c r="BM173" s="383" t="str">
        <f t="shared" si="4"/>
        <v/>
      </c>
      <c r="BN173" s="382" t="str">
        <f t="array" aca="1" ref="BN173" ca="1">IFERROR(INDEX(orderYearForSelectedClient, MATCH(0, COUNTIF($BN$9:BN172, orderYearForSelectedClient&amp;"") + IF(orderYearForSelectedClient="",1,0), 0)), "")</f>
        <v/>
      </c>
      <c r="BO173" s="383" t="str">
        <f t="shared" si="5"/>
        <v/>
      </c>
    </row>
    <row r="174" spans="63:67">
      <c r="BK174" s="381" t="str">
        <f t="array" ref="BK174">IFERROR(IF($AO$9="",INDEX(orderHistory[order_date],ROW()-9),INDEX(orderHistory[order_date], MATCH(0, IF($AO$9=orderHistory[customer],COUNTIF($BK$9:$BK173,orderHistory[order_date]), "")), 0)),"")</f>
        <v/>
      </c>
      <c r="BL174" s="382" t="str">
        <f t="array" ref="BL174">IFERROR(IF($AO$9="ALL",INDEX(orderHistory[order_id],ROW()-9),INDEX(orderHistory[order_id], MATCH(0, IF($AO$9=orderHistory[customer],COUNTIF($BL$9:$BL173,orderHistory[order_id]), "")), 0)),"")</f>
        <v/>
      </c>
      <c r="BM174" s="383" t="str">
        <f t="shared" si="4"/>
        <v/>
      </c>
      <c r="BN174" s="382" t="str">
        <f t="array" aca="1" ref="BN174" ca="1">IFERROR(INDEX(orderYearForSelectedClient, MATCH(0, COUNTIF($BN$9:BN173, orderYearForSelectedClient&amp;"") + IF(orderYearForSelectedClient="",1,0), 0)), "")</f>
        <v/>
      </c>
      <c r="BO174" s="383" t="str">
        <f t="shared" si="5"/>
        <v/>
      </c>
    </row>
    <row r="175" spans="63:67">
      <c r="BK175" s="381" t="str">
        <f t="array" ref="BK175">IFERROR(IF($AO$9="",INDEX(orderHistory[order_date],ROW()-9),INDEX(orderHistory[order_date], MATCH(0, IF($AO$9=orderHistory[customer],COUNTIF($BK$9:$BK174,orderHistory[order_date]), "")), 0)),"")</f>
        <v/>
      </c>
      <c r="BL175" s="382" t="str">
        <f t="array" ref="BL175">IFERROR(IF($AO$9="ALL",INDEX(orderHistory[order_id],ROW()-9),INDEX(orderHistory[order_id], MATCH(0, IF($AO$9=orderHistory[customer],COUNTIF($BL$9:$BL174,orderHistory[order_id]), "")), 0)),"")</f>
        <v/>
      </c>
      <c r="BM175" s="383" t="str">
        <f t="shared" si="4"/>
        <v/>
      </c>
      <c r="BN175" s="382" t="str">
        <f t="array" aca="1" ref="BN175" ca="1">IFERROR(INDEX(orderYearForSelectedClient, MATCH(0, COUNTIF($BN$9:BN174, orderYearForSelectedClient&amp;"") + IF(orderYearForSelectedClient="",1,0), 0)), "")</f>
        <v/>
      </c>
      <c r="BO175" s="383" t="str">
        <f t="shared" si="5"/>
        <v/>
      </c>
    </row>
    <row r="176" spans="63:67">
      <c r="BK176" s="381" t="str">
        <f t="array" ref="BK176">IFERROR(IF($AO$9="",INDEX(orderHistory[order_date],ROW()-9),INDEX(orderHistory[order_date], MATCH(0, IF($AO$9=orderHistory[customer],COUNTIF($BK$9:$BK175,orderHistory[order_date]), "")), 0)),"")</f>
        <v/>
      </c>
      <c r="BL176" s="382" t="str">
        <f t="array" ref="BL176">IFERROR(IF($AO$9="ALL",INDEX(orderHistory[order_id],ROW()-9),INDEX(orderHistory[order_id], MATCH(0, IF($AO$9=orderHistory[customer],COUNTIF($BL$9:$BL175,orderHistory[order_id]), "")), 0)),"")</f>
        <v/>
      </c>
      <c r="BM176" s="383" t="str">
        <f t="shared" si="4"/>
        <v/>
      </c>
      <c r="BN176" s="382" t="str">
        <f t="array" aca="1" ref="BN176" ca="1">IFERROR(INDEX(orderYearForSelectedClient, MATCH(0, COUNTIF($BN$9:BN175, orderYearForSelectedClient&amp;"") + IF(orderYearForSelectedClient="",1,0), 0)), "")</f>
        <v/>
      </c>
      <c r="BO176" s="383" t="str">
        <f t="shared" si="5"/>
        <v/>
      </c>
    </row>
    <row r="177" spans="63:67">
      <c r="BK177" s="381" t="str">
        <f t="array" ref="BK177">IFERROR(IF($AO$9="",INDEX(orderHistory[order_date],ROW()-9),INDEX(orderHistory[order_date], MATCH(0, IF($AO$9=orderHistory[customer],COUNTIF($BK$9:$BK176,orderHistory[order_date]), "")), 0)),"")</f>
        <v/>
      </c>
      <c r="BL177" s="382" t="str">
        <f t="array" ref="BL177">IFERROR(IF($AO$9="ALL",INDEX(orderHistory[order_id],ROW()-9),INDEX(orderHistory[order_id], MATCH(0, IF($AO$9=orderHistory[customer],COUNTIF($BL$9:$BL176,orderHistory[order_id]), "")), 0)),"")</f>
        <v/>
      </c>
      <c r="BM177" s="383" t="str">
        <f t="shared" si="4"/>
        <v/>
      </c>
      <c r="BN177" s="382" t="str">
        <f t="array" aca="1" ref="BN177" ca="1">IFERROR(INDEX(orderYearForSelectedClient, MATCH(0, COUNTIF($BN$9:BN176, orderYearForSelectedClient&amp;"") + IF(orderYearForSelectedClient="",1,0), 0)), "")</f>
        <v/>
      </c>
      <c r="BO177" s="383" t="str">
        <f t="shared" si="5"/>
        <v/>
      </c>
    </row>
    <row r="178" spans="63:67">
      <c r="BK178" s="381" t="str">
        <f t="array" ref="BK178">IFERROR(IF($AO$9="",INDEX(orderHistory[order_date],ROW()-9),INDEX(orderHistory[order_date], MATCH(0, IF($AO$9=orderHistory[customer],COUNTIF($BK$9:$BK177,orderHistory[order_date]), "")), 0)),"")</f>
        <v/>
      </c>
      <c r="BL178" s="382" t="str">
        <f t="array" ref="BL178">IFERROR(IF($AO$9="ALL",INDEX(orderHistory[order_id],ROW()-9),INDEX(orderHistory[order_id], MATCH(0, IF($AO$9=orderHistory[customer],COUNTIF($BL$9:$BL177,orderHistory[order_id]), "")), 0)),"")</f>
        <v/>
      </c>
      <c r="BM178" s="383" t="str">
        <f t="shared" si="4"/>
        <v/>
      </c>
      <c r="BN178" s="382" t="str">
        <f t="array" aca="1" ref="BN178" ca="1">IFERROR(INDEX(orderYearForSelectedClient, MATCH(0, COUNTIF($BN$9:BN177, orderYearForSelectedClient&amp;"") + IF(orderYearForSelectedClient="",1,0), 0)), "")</f>
        <v/>
      </c>
      <c r="BO178" s="383" t="str">
        <f t="shared" si="5"/>
        <v/>
      </c>
    </row>
    <row r="179" spans="63:67">
      <c r="BK179" s="381" t="str">
        <f t="array" ref="BK179">IFERROR(IF($AO$9="",INDEX(orderHistory[order_date],ROW()-9),INDEX(orderHistory[order_date], MATCH(0, IF($AO$9=orderHistory[customer],COUNTIF($BK$9:$BK178,orderHistory[order_date]), "")), 0)),"")</f>
        <v/>
      </c>
      <c r="BL179" s="382" t="str">
        <f t="array" ref="BL179">IFERROR(IF($AO$9="ALL",INDEX(orderHistory[order_id],ROW()-9),INDEX(orderHistory[order_id], MATCH(0, IF($AO$9=orderHistory[customer],COUNTIF($BL$9:$BL178,orderHistory[order_id]), "")), 0)),"")</f>
        <v/>
      </c>
      <c r="BM179" s="383" t="str">
        <f t="shared" si="4"/>
        <v/>
      </c>
      <c r="BN179" s="382" t="str">
        <f t="array" aca="1" ref="BN179" ca="1">IFERROR(INDEX(orderYearForSelectedClient, MATCH(0, COUNTIF($BN$9:BN178, orderYearForSelectedClient&amp;"") + IF(orderYearForSelectedClient="",1,0), 0)), "")</f>
        <v/>
      </c>
      <c r="BO179" s="383" t="str">
        <f t="shared" si="5"/>
        <v/>
      </c>
    </row>
    <row r="180" spans="63:67">
      <c r="BK180" s="381" t="str">
        <f t="array" ref="BK180">IFERROR(IF($AO$9="",INDEX(orderHistory[order_date],ROW()-9),INDEX(orderHistory[order_date], MATCH(0, IF($AO$9=orderHistory[customer],COUNTIF($BK$9:$BK179,orderHistory[order_date]), "")), 0)),"")</f>
        <v/>
      </c>
      <c r="BL180" s="382" t="str">
        <f t="array" ref="BL180">IFERROR(IF($AO$9="ALL",INDEX(orderHistory[order_id],ROW()-9),INDEX(orderHistory[order_id], MATCH(0, IF($AO$9=orderHistory[customer],COUNTIF($BL$9:$BL179,orderHistory[order_id]), "")), 0)),"")</f>
        <v/>
      </c>
      <c r="BM180" s="383" t="str">
        <f t="shared" si="4"/>
        <v/>
      </c>
      <c r="BN180" s="382" t="str">
        <f t="array" aca="1" ref="BN180" ca="1">IFERROR(INDEX(orderYearForSelectedClient, MATCH(0, COUNTIF($BN$9:BN179, orderYearForSelectedClient&amp;"") + IF(orderYearForSelectedClient="",1,0), 0)), "")</f>
        <v/>
      </c>
      <c r="BO180" s="383" t="str">
        <f t="shared" si="5"/>
        <v/>
      </c>
    </row>
    <row r="181" spans="63:67">
      <c r="BK181" s="381" t="str">
        <f t="array" ref="BK181">IFERROR(IF($AO$9="",INDEX(orderHistory[order_date],ROW()-9),INDEX(orderHistory[order_date], MATCH(0, IF($AO$9=orderHistory[customer],COUNTIF($BK$9:$BK180,orderHistory[order_date]), "")), 0)),"")</f>
        <v/>
      </c>
      <c r="BL181" s="382" t="str">
        <f t="array" ref="BL181">IFERROR(IF($AO$9="ALL",INDEX(orderHistory[order_id],ROW()-9),INDEX(orderHistory[order_id], MATCH(0, IF($AO$9=orderHistory[customer],COUNTIF($BL$9:$BL180,orderHistory[order_id]), "")), 0)),"")</f>
        <v/>
      </c>
      <c r="BM181" s="383" t="str">
        <f t="shared" si="4"/>
        <v/>
      </c>
      <c r="BN181" s="382" t="str">
        <f t="array" aca="1" ref="BN181" ca="1">IFERROR(INDEX(orderYearForSelectedClient, MATCH(0, COUNTIF($BN$9:BN180, orderYearForSelectedClient&amp;"") + IF(orderYearForSelectedClient="",1,0), 0)), "")</f>
        <v/>
      </c>
      <c r="BO181" s="383" t="str">
        <f t="shared" si="5"/>
        <v/>
      </c>
    </row>
    <row r="182" spans="63:67">
      <c r="BK182" s="381" t="str">
        <f t="array" ref="BK182">IFERROR(IF($AO$9="",INDEX(orderHistory[order_date],ROW()-9),INDEX(orderHistory[order_date], MATCH(0, IF($AO$9=orderHistory[customer],COUNTIF($BK$9:$BK181,orderHistory[order_date]), "")), 0)),"")</f>
        <v/>
      </c>
      <c r="BL182" s="382" t="str">
        <f t="array" ref="BL182">IFERROR(IF($AO$9="ALL",INDEX(orderHistory[order_id],ROW()-9),INDEX(orderHistory[order_id], MATCH(0, IF($AO$9=orderHistory[customer],COUNTIF($BL$9:$BL181,orderHistory[order_id]), "")), 0)),"")</f>
        <v/>
      </c>
      <c r="BM182" s="383" t="str">
        <f t="shared" si="4"/>
        <v/>
      </c>
      <c r="BN182" s="382" t="str">
        <f t="array" aca="1" ref="BN182" ca="1">IFERROR(INDEX(orderYearForSelectedClient, MATCH(0, COUNTIF($BN$9:BN181, orderYearForSelectedClient&amp;"") + IF(orderYearForSelectedClient="",1,0), 0)), "")</f>
        <v/>
      </c>
      <c r="BO182" s="383" t="str">
        <f t="shared" si="5"/>
        <v/>
      </c>
    </row>
    <row r="183" spans="63:67">
      <c r="BK183" s="381" t="str">
        <f t="array" ref="BK183">IFERROR(IF($AO$9="",INDEX(orderHistory[order_date],ROW()-9),INDEX(orderHistory[order_date], MATCH(0, IF($AO$9=orderHistory[customer],COUNTIF($BK$9:$BK182,orderHistory[order_date]), "")), 0)),"")</f>
        <v/>
      </c>
      <c r="BL183" s="382" t="str">
        <f t="array" ref="BL183">IFERROR(IF($AO$9="ALL",INDEX(orderHistory[order_id],ROW()-9),INDEX(orderHistory[order_id], MATCH(0, IF($AO$9=orderHistory[customer],COUNTIF($BL$9:$BL182,orderHistory[order_id]), "")), 0)),"")</f>
        <v/>
      </c>
      <c r="BM183" s="383" t="str">
        <f t="shared" si="4"/>
        <v/>
      </c>
      <c r="BN183" s="382" t="str">
        <f t="array" aca="1" ref="BN183" ca="1">IFERROR(INDEX(orderYearForSelectedClient, MATCH(0, COUNTIF($BN$9:BN182, orderYearForSelectedClient&amp;"") + IF(orderYearForSelectedClient="",1,0), 0)), "")</f>
        <v/>
      </c>
      <c r="BO183" s="383" t="str">
        <f t="shared" si="5"/>
        <v/>
      </c>
    </row>
    <row r="184" spans="63:67">
      <c r="BK184" s="381" t="str">
        <f t="array" ref="BK184">IFERROR(IF($AO$9="",INDEX(orderHistory[order_date],ROW()-9),INDEX(orderHistory[order_date], MATCH(0, IF($AO$9=orderHistory[customer],COUNTIF($BK$9:$BK183,orderHistory[order_date]), "")), 0)),"")</f>
        <v/>
      </c>
      <c r="BL184" s="382" t="str">
        <f t="array" ref="BL184">IFERROR(IF($AO$9="ALL",INDEX(orderHistory[order_id],ROW()-9),INDEX(orderHistory[order_id], MATCH(0, IF($AO$9=orderHistory[customer],COUNTIF($BL$9:$BL183,orderHistory[order_id]), "")), 0)),"")</f>
        <v/>
      </c>
      <c r="BM184" s="383" t="str">
        <f t="shared" si="4"/>
        <v/>
      </c>
      <c r="BN184" s="382" t="str">
        <f t="array" aca="1" ref="BN184" ca="1">IFERROR(INDEX(orderYearForSelectedClient, MATCH(0, COUNTIF($BN$9:BN183, orderYearForSelectedClient&amp;"") + IF(orderYearForSelectedClient="",1,0), 0)), "")</f>
        <v/>
      </c>
      <c r="BO184" s="383" t="str">
        <f t="shared" si="5"/>
        <v/>
      </c>
    </row>
    <row r="185" spans="63:67">
      <c r="BK185" s="381" t="str">
        <f t="array" ref="BK185">IFERROR(IF($AO$9="",INDEX(orderHistory[order_date],ROW()-9),INDEX(orderHistory[order_date], MATCH(0, IF($AO$9=orderHistory[customer],COUNTIF($BK$9:$BK184,orderHistory[order_date]), "")), 0)),"")</f>
        <v/>
      </c>
      <c r="BL185" s="382" t="str">
        <f t="array" ref="BL185">IFERROR(IF($AO$9="ALL",INDEX(orderHistory[order_id],ROW()-9),INDEX(orderHistory[order_id], MATCH(0, IF($AO$9=orderHistory[customer],COUNTIF($BL$9:$BL184,orderHistory[order_id]), "")), 0)),"")</f>
        <v/>
      </c>
      <c r="BM185" s="383" t="str">
        <f t="shared" si="4"/>
        <v/>
      </c>
      <c r="BN185" s="382" t="str">
        <f t="array" aca="1" ref="BN185" ca="1">IFERROR(INDEX(orderYearForSelectedClient, MATCH(0, COUNTIF($BN$9:BN184, orderYearForSelectedClient&amp;"") + IF(orderYearForSelectedClient="",1,0), 0)), "")</f>
        <v/>
      </c>
      <c r="BO185" s="383" t="str">
        <f t="shared" si="5"/>
        <v/>
      </c>
    </row>
    <row r="186" spans="63:67">
      <c r="BK186" s="381" t="str">
        <f t="array" ref="BK186">IFERROR(IF($AO$9="",INDEX(orderHistory[order_date],ROW()-9),INDEX(orderHistory[order_date], MATCH(0, IF($AO$9=orderHistory[customer],COUNTIF($BK$9:$BK185,orderHistory[order_date]), "")), 0)),"")</f>
        <v/>
      </c>
      <c r="BL186" s="382" t="str">
        <f t="array" ref="BL186">IFERROR(IF($AO$9="ALL",INDEX(orderHistory[order_id],ROW()-9),INDEX(orderHistory[order_id], MATCH(0, IF($AO$9=orderHistory[customer],COUNTIF($BL$9:$BL185,orderHistory[order_id]), "")), 0)),"")</f>
        <v/>
      </c>
      <c r="BM186" s="383" t="str">
        <f t="shared" si="4"/>
        <v/>
      </c>
      <c r="BN186" s="382" t="str">
        <f t="array" aca="1" ref="BN186" ca="1">IFERROR(INDEX(orderYearForSelectedClient, MATCH(0, COUNTIF($BN$9:BN185, orderYearForSelectedClient&amp;"") + IF(orderYearForSelectedClient="",1,0), 0)), "")</f>
        <v/>
      </c>
      <c r="BO186" s="383" t="str">
        <f t="shared" si="5"/>
        <v/>
      </c>
    </row>
    <row r="187" spans="63:67">
      <c r="BK187" s="381" t="str">
        <f t="array" ref="BK187">IFERROR(IF($AO$9="",INDEX(orderHistory[order_date],ROW()-9),INDEX(orderHistory[order_date], MATCH(0, IF($AO$9=orderHistory[customer],COUNTIF($BK$9:$BK186,orderHistory[order_date]), "")), 0)),"")</f>
        <v/>
      </c>
      <c r="BL187" s="382" t="str">
        <f t="array" ref="BL187">IFERROR(IF($AO$9="ALL",INDEX(orderHistory[order_id],ROW()-9),INDEX(orderHistory[order_id], MATCH(0, IF($AO$9=orderHistory[customer],COUNTIF($BL$9:$BL186,orderHistory[order_id]), "")), 0)),"")</f>
        <v/>
      </c>
      <c r="BM187" s="383" t="str">
        <f t="shared" si="4"/>
        <v/>
      </c>
      <c r="BN187" s="382" t="str">
        <f t="array" aca="1" ref="BN187" ca="1">IFERROR(INDEX(orderYearForSelectedClient, MATCH(0, COUNTIF($BN$9:BN186, orderYearForSelectedClient&amp;"") + IF(orderYearForSelectedClient="",1,0), 0)), "")</f>
        <v/>
      </c>
      <c r="BO187" s="383" t="str">
        <f t="shared" si="5"/>
        <v/>
      </c>
    </row>
    <row r="188" spans="63:67">
      <c r="BK188" s="381" t="str">
        <f t="array" ref="BK188">IFERROR(IF($AO$9="",INDEX(orderHistory[order_date],ROW()-9),INDEX(orderHistory[order_date], MATCH(0, IF($AO$9=orderHistory[customer],COUNTIF($BK$9:$BK187,orderHistory[order_date]), "")), 0)),"")</f>
        <v/>
      </c>
      <c r="BL188" s="382" t="str">
        <f t="array" ref="BL188">IFERROR(IF($AO$9="ALL",INDEX(orderHistory[order_id],ROW()-9),INDEX(orderHistory[order_id], MATCH(0, IF($AO$9=orderHistory[customer],COUNTIF($BL$9:$BL187,orderHistory[order_id]), "")), 0)),"")</f>
        <v/>
      </c>
      <c r="BM188" s="383" t="str">
        <f t="shared" si="4"/>
        <v/>
      </c>
      <c r="BN188" s="382" t="str">
        <f t="array" aca="1" ref="BN188" ca="1">IFERROR(INDEX(orderYearForSelectedClient, MATCH(0, COUNTIF($BN$9:BN187, orderYearForSelectedClient&amp;"") + IF(orderYearForSelectedClient="",1,0), 0)), "")</f>
        <v/>
      </c>
      <c r="BO188" s="383" t="str">
        <f t="shared" si="5"/>
        <v/>
      </c>
    </row>
    <row r="189" spans="63:67">
      <c r="BK189" s="381" t="str">
        <f t="array" ref="BK189">IFERROR(IF($AO$9="",INDEX(orderHistory[order_date],ROW()-9),INDEX(orderHistory[order_date], MATCH(0, IF($AO$9=orderHistory[customer],COUNTIF($BK$9:$BK188,orderHistory[order_date]), "")), 0)),"")</f>
        <v/>
      </c>
      <c r="BL189" s="382" t="str">
        <f t="array" ref="BL189">IFERROR(IF($AO$9="ALL",INDEX(orderHistory[order_id],ROW()-9),INDEX(orderHistory[order_id], MATCH(0, IF($AO$9=orderHistory[customer],COUNTIF($BL$9:$BL188,orderHistory[order_id]), "")), 0)),"")</f>
        <v/>
      </c>
      <c r="BM189" s="383" t="str">
        <f t="shared" si="4"/>
        <v/>
      </c>
      <c r="BN189" s="382" t="str">
        <f t="array" aca="1" ref="BN189" ca="1">IFERROR(INDEX(orderYearForSelectedClient, MATCH(0, COUNTIF($BN$9:BN188, orderYearForSelectedClient&amp;"") + IF(orderYearForSelectedClient="",1,0), 0)), "")</f>
        <v/>
      </c>
      <c r="BO189" s="383" t="str">
        <f t="shared" si="5"/>
        <v/>
      </c>
    </row>
    <row r="190" spans="63:67">
      <c r="BK190" s="381" t="str">
        <f t="array" ref="BK190">IFERROR(IF($AO$9="",INDEX(orderHistory[order_date],ROW()-9),INDEX(orderHistory[order_date], MATCH(0, IF($AO$9=orderHistory[customer],COUNTIF($BK$9:$BK189,orderHistory[order_date]), "")), 0)),"")</f>
        <v/>
      </c>
      <c r="BL190" s="382" t="str">
        <f t="array" ref="BL190">IFERROR(IF($AO$9="ALL",INDEX(orderHistory[order_id],ROW()-9),INDEX(orderHistory[order_id], MATCH(0, IF($AO$9=orderHistory[customer],COUNTIF($BL$9:$BL189,orderHistory[order_id]), "")), 0)),"")</f>
        <v/>
      </c>
      <c r="BM190" s="383" t="str">
        <f t="shared" si="4"/>
        <v/>
      </c>
      <c r="BN190" s="382" t="str">
        <f t="array" aca="1" ref="BN190" ca="1">IFERROR(INDEX(orderYearForSelectedClient, MATCH(0, COUNTIF($BN$9:BN189, orderYearForSelectedClient&amp;"") + IF(orderYearForSelectedClient="",1,0), 0)), "")</f>
        <v/>
      </c>
      <c r="BO190" s="383" t="str">
        <f t="shared" si="5"/>
        <v/>
      </c>
    </row>
    <row r="191" spans="63:67">
      <c r="BK191" s="381" t="str">
        <f t="array" ref="BK191">IFERROR(IF($AO$9="",INDEX(orderHistory[order_date],ROW()-9),INDEX(orderHistory[order_date], MATCH(0, IF($AO$9=orderHistory[customer],COUNTIF($BK$9:$BK190,orderHistory[order_date]), "")), 0)),"")</f>
        <v/>
      </c>
      <c r="BL191" s="382" t="str">
        <f t="array" ref="BL191">IFERROR(IF($AO$9="ALL",INDEX(orderHistory[order_id],ROW()-9),INDEX(orderHistory[order_id], MATCH(0, IF($AO$9=orderHistory[customer],COUNTIF($BL$9:$BL190,orderHistory[order_id]), "")), 0)),"")</f>
        <v/>
      </c>
      <c r="BM191" s="383" t="str">
        <f t="shared" si="4"/>
        <v/>
      </c>
      <c r="BN191" s="382" t="str">
        <f t="array" aca="1" ref="BN191" ca="1">IFERROR(INDEX(orderYearForSelectedClient, MATCH(0, COUNTIF($BN$9:BN190, orderYearForSelectedClient&amp;"") + IF(orderYearForSelectedClient="",1,0), 0)), "")</f>
        <v/>
      </c>
      <c r="BO191" s="383" t="str">
        <f t="shared" si="5"/>
        <v/>
      </c>
    </row>
    <row r="192" spans="63:67">
      <c r="BK192" s="381" t="str">
        <f t="array" ref="BK192">IFERROR(IF($AO$9="",INDEX(orderHistory[order_date],ROW()-9),INDEX(orderHistory[order_date], MATCH(0, IF($AO$9=orderHistory[customer],COUNTIF($BK$9:$BK191,orderHistory[order_date]), "")), 0)),"")</f>
        <v/>
      </c>
      <c r="BL192" s="382" t="str">
        <f t="array" ref="BL192">IFERROR(IF($AO$9="ALL",INDEX(orderHistory[order_id],ROW()-9),INDEX(orderHistory[order_id], MATCH(0, IF($AO$9=orderHistory[customer],COUNTIF($BL$9:$BL191,orderHistory[order_id]), "")), 0)),"")</f>
        <v/>
      </c>
      <c r="BM192" s="383" t="str">
        <f t="shared" si="4"/>
        <v/>
      </c>
      <c r="BN192" s="382" t="str">
        <f t="array" aca="1" ref="BN192" ca="1">IFERROR(INDEX(orderYearForSelectedClient, MATCH(0, COUNTIF($BN$9:BN191, orderYearForSelectedClient&amp;"") + IF(orderYearForSelectedClient="",1,0), 0)), "")</f>
        <v/>
      </c>
      <c r="BO192" s="383" t="str">
        <f t="shared" si="5"/>
        <v/>
      </c>
    </row>
    <row r="193" spans="63:67">
      <c r="BK193" s="381" t="str">
        <f t="array" ref="BK193">IFERROR(IF($AO$9="",INDEX(orderHistory[order_date],ROW()-9),INDEX(orderHistory[order_date], MATCH(0, IF($AO$9=orderHistory[customer],COUNTIF($BK$9:$BK192,orderHistory[order_date]), "")), 0)),"")</f>
        <v/>
      </c>
      <c r="BL193" s="382" t="str">
        <f t="array" ref="BL193">IFERROR(IF($AO$9="ALL",INDEX(orderHistory[order_id],ROW()-9),INDEX(orderHistory[order_id], MATCH(0, IF($AO$9=orderHistory[customer],COUNTIF($BL$9:$BL192,orderHistory[order_id]), "")), 0)),"")</f>
        <v/>
      </c>
      <c r="BM193" s="383" t="str">
        <f t="shared" si="4"/>
        <v/>
      </c>
      <c r="BN193" s="382" t="str">
        <f t="array" aca="1" ref="BN193" ca="1">IFERROR(INDEX(orderYearForSelectedClient, MATCH(0, COUNTIF($BN$9:BN192, orderYearForSelectedClient&amp;"") + IF(orderYearForSelectedClient="",1,0), 0)), "")</f>
        <v/>
      </c>
      <c r="BO193" s="383" t="str">
        <f t="shared" si="5"/>
        <v/>
      </c>
    </row>
    <row r="194" spans="63:67">
      <c r="BK194" s="381" t="str">
        <f t="array" ref="BK194">IFERROR(IF($AO$9="",INDEX(orderHistory[order_date],ROW()-9),INDEX(orderHistory[order_date], MATCH(0, IF($AO$9=orderHistory[customer],COUNTIF($BK$9:$BK193,orderHistory[order_date]), "")), 0)),"")</f>
        <v/>
      </c>
      <c r="BL194" s="382" t="str">
        <f t="array" ref="BL194">IFERROR(IF($AO$9="ALL",INDEX(orderHistory[order_id],ROW()-9),INDEX(orderHistory[order_id], MATCH(0, IF($AO$9=orderHistory[customer],COUNTIF($BL$9:$BL193,orderHistory[order_id]), "")), 0)),"")</f>
        <v/>
      </c>
      <c r="BM194" s="383" t="str">
        <f t="shared" si="4"/>
        <v/>
      </c>
      <c r="BN194" s="382" t="str">
        <f t="array" aca="1" ref="BN194" ca="1">IFERROR(INDEX(orderYearForSelectedClient, MATCH(0, COUNTIF($BN$9:BN193, orderYearForSelectedClient&amp;"") + IF(orderYearForSelectedClient="",1,0), 0)), "")</f>
        <v/>
      </c>
      <c r="BO194" s="383" t="str">
        <f t="shared" si="5"/>
        <v/>
      </c>
    </row>
    <row r="195" spans="63:67">
      <c r="BK195" s="381" t="str">
        <f t="array" ref="BK195">IFERROR(IF($AO$9="",INDEX(orderHistory[order_date],ROW()-9),INDEX(orderHistory[order_date], MATCH(0, IF($AO$9=orderHistory[customer],COUNTIF($BK$9:$BK194,orderHistory[order_date]), "")), 0)),"")</f>
        <v/>
      </c>
      <c r="BL195" s="382" t="str">
        <f t="array" ref="BL195">IFERROR(IF($AO$9="ALL",INDEX(orderHistory[order_id],ROW()-9),INDEX(orderHistory[order_id], MATCH(0, IF($AO$9=orderHistory[customer],COUNTIF($BL$9:$BL194,orderHistory[order_id]), "")), 0)),"")</f>
        <v/>
      </c>
      <c r="BM195" s="383" t="str">
        <f t="shared" si="4"/>
        <v/>
      </c>
      <c r="BN195" s="382" t="str">
        <f t="array" aca="1" ref="BN195" ca="1">IFERROR(INDEX(orderYearForSelectedClient, MATCH(0, COUNTIF($BN$9:BN194, orderYearForSelectedClient&amp;"") + IF(orderYearForSelectedClient="",1,0), 0)), "")</f>
        <v/>
      </c>
      <c r="BO195" s="383" t="str">
        <f t="shared" si="5"/>
        <v/>
      </c>
    </row>
    <row r="196" spans="63:67">
      <c r="BK196" s="381" t="str">
        <f t="array" ref="BK196">IFERROR(IF($AO$9="",INDEX(orderHistory[order_date],ROW()-9),INDEX(orderHistory[order_date], MATCH(0, IF($AO$9=orderHistory[customer],COUNTIF($BK$9:$BK195,orderHistory[order_date]), "")), 0)),"")</f>
        <v/>
      </c>
      <c r="BL196" s="382" t="str">
        <f t="array" ref="BL196">IFERROR(IF($AO$9="ALL",INDEX(orderHistory[order_id],ROW()-9),INDEX(orderHistory[order_id], MATCH(0, IF($AO$9=orderHistory[customer],COUNTIF($BL$9:$BL195,orderHistory[order_id]), "")), 0)),"")</f>
        <v/>
      </c>
      <c r="BM196" s="383" t="str">
        <f t="shared" si="4"/>
        <v/>
      </c>
      <c r="BN196" s="382" t="str">
        <f t="array" aca="1" ref="BN196" ca="1">IFERROR(INDEX(orderYearForSelectedClient, MATCH(0, COUNTIF($BN$9:BN195, orderYearForSelectedClient&amp;"") + IF(orderYearForSelectedClient="",1,0), 0)), "")</f>
        <v/>
      </c>
      <c r="BO196" s="383" t="str">
        <f t="shared" si="5"/>
        <v/>
      </c>
    </row>
    <row r="197" spans="63:67">
      <c r="BK197" s="381" t="str">
        <f t="array" ref="BK197">IFERROR(IF($AO$9="",INDEX(orderHistory[order_date],ROW()-9),INDEX(orderHistory[order_date], MATCH(0, IF($AO$9=orderHistory[customer],COUNTIF($BK$9:$BK196,orderHistory[order_date]), "")), 0)),"")</f>
        <v/>
      </c>
      <c r="BL197" s="382" t="str">
        <f t="array" ref="BL197">IFERROR(IF($AO$9="ALL",INDEX(orderHistory[order_id],ROW()-9),INDEX(orderHistory[order_id], MATCH(0, IF($AO$9=orderHistory[customer],COUNTIF($BL$9:$BL196,orderHistory[order_id]), "")), 0)),"")</f>
        <v/>
      </c>
      <c r="BM197" s="383" t="str">
        <f t="shared" si="4"/>
        <v/>
      </c>
      <c r="BN197" s="382" t="str">
        <f t="array" aca="1" ref="BN197" ca="1">IFERROR(INDEX(orderYearForSelectedClient, MATCH(0, COUNTIF($BN$9:BN196, orderYearForSelectedClient&amp;"") + IF(orderYearForSelectedClient="",1,0), 0)), "")</f>
        <v/>
      </c>
      <c r="BO197" s="383" t="str">
        <f t="shared" si="5"/>
        <v/>
      </c>
    </row>
    <row r="198" spans="63:67">
      <c r="BK198" s="381" t="str">
        <f t="array" ref="BK198">IFERROR(IF($AO$9="",INDEX(orderHistory[order_date],ROW()-9),INDEX(orderHistory[order_date], MATCH(0, IF($AO$9=orderHistory[customer],COUNTIF($BK$9:$BK197,orderHistory[order_date]), "")), 0)),"")</f>
        <v/>
      </c>
      <c r="BL198" s="382" t="str">
        <f t="array" ref="BL198">IFERROR(IF($AO$9="ALL",INDEX(orderHistory[order_id],ROW()-9),INDEX(orderHistory[order_id], MATCH(0, IF($AO$9=orderHistory[customer],COUNTIF($BL$9:$BL197,orderHistory[order_id]), "")), 0)),"")</f>
        <v/>
      </c>
      <c r="BM198" s="383" t="str">
        <f t="shared" si="4"/>
        <v/>
      </c>
      <c r="BN198" s="382" t="str">
        <f t="array" aca="1" ref="BN198" ca="1">IFERROR(INDEX(orderYearForSelectedClient, MATCH(0, COUNTIF($BN$9:BN197, orderYearForSelectedClient&amp;"") + IF(orderYearForSelectedClient="",1,0), 0)), "")</f>
        <v/>
      </c>
      <c r="BO198" s="383" t="str">
        <f t="shared" si="5"/>
        <v/>
      </c>
    </row>
    <row r="199" spans="63:67">
      <c r="BK199" s="381" t="str">
        <f t="array" ref="BK199">IFERROR(IF($AO$9="",INDEX(orderHistory[order_date],ROW()-9),INDEX(orderHistory[order_date], MATCH(0, IF($AO$9=orderHistory[customer],COUNTIF($BK$9:$BK198,orderHistory[order_date]), "")), 0)),"")</f>
        <v/>
      </c>
      <c r="BL199" s="382" t="str">
        <f t="array" ref="BL199">IFERROR(IF($AO$9="ALL",INDEX(orderHistory[order_id],ROW()-9),INDEX(orderHistory[order_id], MATCH(0, IF($AO$9=orderHistory[customer],COUNTIF($BL$9:$BL198,orderHistory[order_id]), "")), 0)),"")</f>
        <v/>
      </c>
      <c r="BM199" s="383" t="str">
        <f t="shared" si="4"/>
        <v/>
      </c>
      <c r="BN199" s="382" t="str">
        <f t="array" aca="1" ref="BN199" ca="1">IFERROR(INDEX(orderYearForSelectedClient, MATCH(0, COUNTIF($BN$9:BN198, orderYearForSelectedClient&amp;"") + IF(orderYearForSelectedClient="",1,0), 0)), "")</f>
        <v/>
      </c>
      <c r="BO199" s="383" t="str">
        <f t="shared" si="5"/>
        <v/>
      </c>
    </row>
    <row r="200" spans="63:67">
      <c r="BK200" s="381" t="str">
        <f t="array" ref="BK200">IFERROR(IF($AO$9="",INDEX(orderHistory[order_date],ROW()-9),INDEX(orderHistory[order_date], MATCH(0, IF($AO$9=orderHistory[customer],COUNTIF($BK$9:$BK199,orderHistory[order_date]), "")), 0)),"")</f>
        <v/>
      </c>
      <c r="BL200" s="382" t="str">
        <f t="array" ref="BL200">IFERROR(IF($AO$9="ALL",INDEX(orderHistory[order_id],ROW()-9),INDEX(orderHistory[order_id], MATCH(0, IF($AO$9=orderHistory[customer],COUNTIF($BL$9:$BL199,orderHistory[order_id]), "")), 0)),"")</f>
        <v/>
      </c>
      <c r="BM200" s="383" t="str">
        <f t="shared" si="4"/>
        <v/>
      </c>
      <c r="BN200" s="382" t="str">
        <f t="array" aca="1" ref="BN200" ca="1">IFERROR(INDEX(orderYearForSelectedClient, MATCH(0, COUNTIF($BN$9:BN199, orderYearForSelectedClient&amp;"") + IF(orderYearForSelectedClient="",1,0), 0)), "")</f>
        <v/>
      </c>
      <c r="BO200" s="383" t="str">
        <f t="shared" si="5"/>
        <v/>
      </c>
    </row>
    <row r="201" spans="63:67">
      <c r="BK201" s="381" t="str">
        <f t="array" ref="BK201">IFERROR(IF($AO$9="",INDEX(orderHistory[order_date],ROW()-9),INDEX(orderHistory[order_date], MATCH(0, IF($AO$9=orderHistory[customer],COUNTIF($BK$9:$BK200,orderHistory[order_date]), "")), 0)),"")</f>
        <v/>
      </c>
      <c r="BL201" s="382" t="str">
        <f t="array" ref="BL201">IFERROR(IF($AO$9="ALL",INDEX(orderHistory[order_id],ROW()-9),INDEX(orderHistory[order_id], MATCH(0, IF($AO$9=orderHistory[customer],COUNTIF($BL$9:$BL200,orderHistory[order_id]), "")), 0)),"")</f>
        <v/>
      </c>
      <c r="BM201" s="383" t="str">
        <f t="shared" si="4"/>
        <v/>
      </c>
      <c r="BN201" s="382" t="str">
        <f t="array" aca="1" ref="BN201" ca="1">IFERROR(INDEX(orderYearForSelectedClient, MATCH(0, COUNTIF($BN$9:BN200, orderYearForSelectedClient&amp;"") + IF(orderYearForSelectedClient="",1,0), 0)), "")</f>
        <v/>
      </c>
      <c r="BO201" s="383" t="str">
        <f t="shared" si="5"/>
        <v/>
      </c>
    </row>
    <row r="202" spans="63:67">
      <c r="BK202" s="381" t="str">
        <f t="array" ref="BK202">IFERROR(IF($AO$9="",INDEX(orderHistory[order_date],ROW()-9),INDEX(orderHistory[order_date], MATCH(0, IF($AO$9=orderHistory[customer],COUNTIF($BK$9:$BK201,orderHistory[order_date]), "")), 0)),"")</f>
        <v/>
      </c>
      <c r="BL202" s="382" t="str">
        <f t="array" ref="BL202">IFERROR(IF($AO$9="ALL",INDEX(orderHistory[order_id],ROW()-9),INDEX(orderHistory[order_id], MATCH(0, IF($AO$9=orderHistory[customer],COUNTIF($BL$9:$BL201,orderHistory[order_id]), "")), 0)),"")</f>
        <v/>
      </c>
      <c r="BM202" s="383" t="str">
        <f t="shared" ref="BM202:BM250" si="6">IF(BK202="","",YEAR(BK202))</f>
        <v/>
      </c>
      <c r="BN202" s="382" t="str">
        <f t="array" aca="1" ref="BN202" ca="1">IFERROR(INDEX(orderYearForSelectedClient, MATCH(0, COUNTIF($BN$9:BN201, orderYearForSelectedClient&amp;"") + IF(orderYearForSelectedClient="",1,0), 0)), "")</f>
        <v/>
      </c>
      <c r="BO202" s="383" t="str">
        <f t="shared" ref="BO202:BO250" si="7">IF($P$5="",BL202,IF(BM202=$P$5,BL202,""))</f>
        <v/>
      </c>
    </row>
    <row r="203" spans="63:67">
      <c r="BK203" s="381" t="str">
        <f t="array" ref="BK203">IFERROR(IF($AO$9="",INDEX(orderHistory[order_date],ROW()-9),INDEX(orderHistory[order_date], MATCH(0, IF($AO$9=orderHistory[customer],COUNTIF($BK$9:$BK202,orderHistory[order_date]), "")), 0)),"")</f>
        <v/>
      </c>
      <c r="BL203" s="382" t="str">
        <f t="array" ref="BL203">IFERROR(IF($AO$9="ALL",INDEX(orderHistory[order_id],ROW()-9),INDEX(orderHistory[order_id], MATCH(0, IF($AO$9=orderHistory[customer],COUNTIF($BL$9:$BL202,orderHistory[order_id]), "")), 0)),"")</f>
        <v/>
      </c>
      <c r="BM203" s="383" t="str">
        <f t="shared" si="6"/>
        <v/>
      </c>
      <c r="BN203" s="382" t="str">
        <f t="array" aca="1" ref="BN203" ca="1">IFERROR(INDEX(orderYearForSelectedClient, MATCH(0, COUNTIF($BN$9:BN202, orderYearForSelectedClient&amp;"") + IF(orderYearForSelectedClient="",1,0), 0)), "")</f>
        <v/>
      </c>
      <c r="BO203" s="383" t="str">
        <f t="shared" si="7"/>
        <v/>
      </c>
    </row>
    <row r="204" spans="63:67">
      <c r="BK204" s="381" t="str">
        <f t="array" ref="BK204">IFERROR(IF($AO$9="",INDEX(orderHistory[order_date],ROW()-9),INDEX(orderHistory[order_date], MATCH(0, IF($AO$9=orderHistory[customer],COUNTIF($BK$9:$BK203,orderHistory[order_date]), "")), 0)),"")</f>
        <v/>
      </c>
      <c r="BL204" s="382" t="str">
        <f t="array" ref="BL204">IFERROR(IF($AO$9="ALL",INDEX(orderHistory[order_id],ROW()-9),INDEX(orderHistory[order_id], MATCH(0, IF($AO$9=orderHistory[customer],COUNTIF($BL$9:$BL203,orderHistory[order_id]), "")), 0)),"")</f>
        <v/>
      </c>
      <c r="BM204" s="383" t="str">
        <f t="shared" si="6"/>
        <v/>
      </c>
      <c r="BN204" s="382" t="str">
        <f t="array" aca="1" ref="BN204" ca="1">IFERROR(INDEX(orderYearForSelectedClient, MATCH(0, COUNTIF($BN$9:BN203, orderYearForSelectedClient&amp;"") + IF(orderYearForSelectedClient="",1,0), 0)), "")</f>
        <v/>
      </c>
      <c r="BO204" s="383" t="str">
        <f t="shared" si="7"/>
        <v/>
      </c>
    </row>
    <row r="205" spans="63:67">
      <c r="BK205" s="381" t="str">
        <f t="array" ref="BK205">IFERROR(IF($AO$9="",INDEX(orderHistory[order_date],ROW()-9),INDEX(orderHistory[order_date], MATCH(0, IF($AO$9=orderHistory[customer],COUNTIF($BK$9:$BK204,orderHistory[order_date]), "")), 0)),"")</f>
        <v/>
      </c>
      <c r="BL205" s="382" t="str">
        <f t="array" ref="BL205">IFERROR(IF($AO$9="ALL",INDEX(orderHistory[order_id],ROW()-9),INDEX(orderHistory[order_id], MATCH(0, IF($AO$9=orderHistory[customer],COUNTIF($BL$9:$BL204,orderHistory[order_id]), "")), 0)),"")</f>
        <v/>
      </c>
      <c r="BM205" s="383" t="str">
        <f t="shared" si="6"/>
        <v/>
      </c>
      <c r="BN205" s="382" t="str">
        <f t="array" aca="1" ref="BN205" ca="1">IFERROR(INDEX(orderYearForSelectedClient, MATCH(0, COUNTIF($BN$9:BN204, orderYearForSelectedClient&amp;"") + IF(orderYearForSelectedClient="",1,0), 0)), "")</f>
        <v/>
      </c>
      <c r="BO205" s="383" t="str">
        <f t="shared" si="7"/>
        <v/>
      </c>
    </row>
    <row r="206" spans="63:67">
      <c r="BK206" s="381" t="str">
        <f t="array" ref="BK206">IFERROR(IF($AO$9="",INDEX(orderHistory[order_date],ROW()-9),INDEX(orderHistory[order_date], MATCH(0, IF($AO$9=orderHistory[customer],COUNTIF($BK$9:$BK205,orderHistory[order_date]), "")), 0)),"")</f>
        <v/>
      </c>
      <c r="BL206" s="382" t="str">
        <f t="array" ref="BL206">IFERROR(IF($AO$9="ALL",INDEX(orderHistory[order_id],ROW()-9),INDEX(orderHistory[order_id], MATCH(0, IF($AO$9=orderHistory[customer],COUNTIF($BL$9:$BL205,orderHistory[order_id]), "")), 0)),"")</f>
        <v/>
      </c>
      <c r="BM206" s="383" t="str">
        <f t="shared" si="6"/>
        <v/>
      </c>
      <c r="BN206" s="382" t="str">
        <f t="array" aca="1" ref="BN206" ca="1">IFERROR(INDEX(orderYearForSelectedClient, MATCH(0, COUNTIF($BN$9:BN205, orderYearForSelectedClient&amp;"") + IF(orderYearForSelectedClient="",1,0), 0)), "")</f>
        <v/>
      </c>
      <c r="BO206" s="383" t="str">
        <f t="shared" si="7"/>
        <v/>
      </c>
    </row>
    <row r="207" spans="63:67">
      <c r="BK207" s="381" t="str">
        <f t="array" ref="BK207">IFERROR(IF($AO$9="",INDEX(orderHistory[order_date],ROW()-9),INDEX(orderHistory[order_date], MATCH(0, IF($AO$9=orderHistory[customer],COUNTIF($BK$9:$BK206,orderHistory[order_date]), "")), 0)),"")</f>
        <v/>
      </c>
      <c r="BL207" s="382" t="str">
        <f t="array" ref="BL207">IFERROR(IF($AO$9="ALL",INDEX(orderHistory[order_id],ROW()-9),INDEX(orderHistory[order_id], MATCH(0, IF($AO$9=orderHistory[customer],COUNTIF($BL$9:$BL206,orderHistory[order_id]), "")), 0)),"")</f>
        <v/>
      </c>
      <c r="BM207" s="383" t="str">
        <f t="shared" si="6"/>
        <v/>
      </c>
      <c r="BN207" s="382" t="str">
        <f t="array" aca="1" ref="BN207" ca="1">IFERROR(INDEX(orderYearForSelectedClient, MATCH(0, COUNTIF($BN$9:BN206, orderYearForSelectedClient&amp;"") + IF(orderYearForSelectedClient="",1,0), 0)), "")</f>
        <v/>
      </c>
      <c r="BO207" s="383" t="str">
        <f t="shared" si="7"/>
        <v/>
      </c>
    </row>
    <row r="208" spans="63:67">
      <c r="BK208" s="381" t="str">
        <f t="array" ref="BK208">IFERROR(IF($AO$9="",INDEX(orderHistory[order_date],ROW()-9),INDEX(orderHistory[order_date], MATCH(0, IF($AO$9=orderHistory[customer],COUNTIF($BK$9:$BK207,orderHistory[order_date]), "")), 0)),"")</f>
        <v/>
      </c>
      <c r="BL208" s="382" t="str">
        <f t="array" ref="BL208">IFERROR(IF($AO$9="ALL",INDEX(orderHistory[order_id],ROW()-9),INDEX(orderHistory[order_id], MATCH(0, IF($AO$9=orderHistory[customer],COUNTIF($BL$9:$BL207,orderHistory[order_id]), "")), 0)),"")</f>
        <v/>
      </c>
      <c r="BM208" s="383" t="str">
        <f t="shared" si="6"/>
        <v/>
      </c>
      <c r="BN208" s="382" t="str">
        <f t="array" aca="1" ref="BN208" ca="1">IFERROR(INDEX(orderYearForSelectedClient, MATCH(0, COUNTIF($BN$9:BN207, orderYearForSelectedClient&amp;"") + IF(orderYearForSelectedClient="",1,0), 0)), "")</f>
        <v/>
      </c>
      <c r="BO208" s="383" t="str">
        <f t="shared" si="7"/>
        <v/>
      </c>
    </row>
    <row r="209" spans="63:67">
      <c r="BK209" s="381" t="str">
        <f t="array" ref="BK209">IFERROR(IF($AO$9="",INDEX(orderHistory[order_date],ROW()-9),INDEX(orderHistory[order_date], MATCH(0, IF($AO$9=orderHistory[customer],COUNTIF($BK$9:$BK208,orderHistory[order_date]), "")), 0)),"")</f>
        <v/>
      </c>
      <c r="BL209" s="382" t="str">
        <f t="array" ref="BL209">IFERROR(IF($AO$9="ALL",INDEX(orderHistory[order_id],ROW()-9),INDEX(orderHistory[order_id], MATCH(0, IF($AO$9=orderHistory[customer],COUNTIF($BL$9:$BL208,orderHistory[order_id]), "")), 0)),"")</f>
        <v/>
      </c>
      <c r="BM209" s="383" t="str">
        <f t="shared" si="6"/>
        <v/>
      </c>
      <c r="BN209" s="382" t="str">
        <f t="array" aca="1" ref="BN209" ca="1">IFERROR(INDEX(orderYearForSelectedClient, MATCH(0, COUNTIF($BN$9:BN208, orderYearForSelectedClient&amp;"") + IF(orderYearForSelectedClient="",1,0), 0)), "")</f>
        <v/>
      </c>
      <c r="BO209" s="383" t="str">
        <f t="shared" si="7"/>
        <v/>
      </c>
    </row>
    <row r="210" spans="63:67">
      <c r="BK210" s="381" t="str">
        <f t="array" ref="BK210">IFERROR(IF($AO$9="",INDEX(orderHistory[order_date],ROW()-9),INDEX(orderHistory[order_date], MATCH(0, IF($AO$9=orderHistory[customer],COUNTIF($BK$9:$BK209,orderHistory[order_date]), "")), 0)),"")</f>
        <v/>
      </c>
      <c r="BL210" s="382" t="str">
        <f t="array" ref="BL210">IFERROR(IF($AO$9="ALL",INDEX(orderHistory[order_id],ROW()-9),INDEX(orderHistory[order_id], MATCH(0, IF($AO$9=orderHistory[customer],COUNTIF($BL$9:$BL209,orderHistory[order_id]), "")), 0)),"")</f>
        <v/>
      </c>
      <c r="BM210" s="383" t="str">
        <f t="shared" si="6"/>
        <v/>
      </c>
      <c r="BN210" s="382" t="str">
        <f t="array" aca="1" ref="BN210" ca="1">IFERROR(INDEX(orderYearForSelectedClient, MATCH(0, COUNTIF($BN$9:BN209, orderYearForSelectedClient&amp;"") + IF(orderYearForSelectedClient="",1,0), 0)), "")</f>
        <v/>
      </c>
      <c r="BO210" s="383" t="str">
        <f t="shared" si="7"/>
        <v/>
      </c>
    </row>
    <row r="211" spans="63:67">
      <c r="BK211" s="381" t="str">
        <f t="array" ref="BK211">IFERROR(IF($AO$9="",INDEX(orderHistory[order_date],ROW()-9),INDEX(orderHistory[order_date], MATCH(0, IF($AO$9=orderHistory[customer],COUNTIF($BK$9:$BK210,orderHistory[order_date]), "")), 0)),"")</f>
        <v/>
      </c>
      <c r="BL211" s="382" t="str">
        <f t="array" ref="BL211">IFERROR(IF($AO$9="ALL",INDEX(orderHistory[order_id],ROW()-9),INDEX(orderHistory[order_id], MATCH(0, IF($AO$9=orderHistory[customer],COUNTIF($BL$9:$BL210,orderHistory[order_id]), "")), 0)),"")</f>
        <v/>
      </c>
      <c r="BM211" s="383" t="str">
        <f t="shared" si="6"/>
        <v/>
      </c>
      <c r="BN211" s="382" t="str">
        <f t="array" aca="1" ref="BN211" ca="1">IFERROR(INDEX(orderYearForSelectedClient, MATCH(0, COUNTIF($BN$9:BN210, orderYearForSelectedClient&amp;"") + IF(orderYearForSelectedClient="",1,0), 0)), "")</f>
        <v/>
      </c>
      <c r="BO211" s="383" t="str">
        <f t="shared" si="7"/>
        <v/>
      </c>
    </row>
    <row r="212" spans="63:67">
      <c r="BK212" s="381" t="str">
        <f t="array" ref="BK212">IFERROR(IF($AO$9="",INDEX(orderHistory[order_date],ROW()-9),INDEX(orderHistory[order_date], MATCH(0, IF($AO$9=orderHistory[customer],COUNTIF($BK$9:$BK211,orderHistory[order_date]), "")), 0)),"")</f>
        <v/>
      </c>
      <c r="BL212" s="382" t="str">
        <f t="array" ref="BL212">IFERROR(IF($AO$9="ALL",INDEX(orderHistory[order_id],ROW()-9),INDEX(orderHistory[order_id], MATCH(0, IF($AO$9=orderHistory[customer],COUNTIF($BL$9:$BL211,orderHistory[order_id]), "")), 0)),"")</f>
        <v/>
      </c>
      <c r="BM212" s="383" t="str">
        <f t="shared" si="6"/>
        <v/>
      </c>
      <c r="BN212" s="382" t="str">
        <f t="array" aca="1" ref="BN212" ca="1">IFERROR(INDEX(orderYearForSelectedClient, MATCH(0, COUNTIF($BN$9:BN211, orderYearForSelectedClient&amp;"") + IF(orderYearForSelectedClient="",1,0), 0)), "")</f>
        <v/>
      </c>
      <c r="BO212" s="383" t="str">
        <f t="shared" si="7"/>
        <v/>
      </c>
    </row>
    <row r="213" spans="63:67">
      <c r="BK213" s="381" t="str">
        <f t="array" ref="BK213">IFERROR(IF($AO$9="",INDEX(orderHistory[order_date],ROW()-9),INDEX(orderHistory[order_date], MATCH(0, IF($AO$9=orderHistory[customer],COUNTIF($BK$9:$BK212,orderHistory[order_date]), "")), 0)),"")</f>
        <v/>
      </c>
      <c r="BL213" s="382" t="str">
        <f t="array" ref="BL213">IFERROR(IF($AO$9="ALL",INDEX(orderHistory[order_id],ROW()-9),INDEX(orderHistory[order_id], MATCH(0, IF($AO$9=orderHistory[customer],COUNTIF($BL$9:$BL212,orderHistory[order_id]), "")), 0)),"")</f>
        <v/>
      </c>
      <c r="BM213" s="383" t="str">
        <f t="shared" si="6"/>
        <v/>
      </c>
      <c r="BN213" s="382" t="str">
        <f t="array" aca="1" ref="BN213" ca="1">IFERROR(INDEX(orderYearForSelectedClient, MATCH(0, COUNTIF($BN$9:BN212, orderYearForSelectedClient&amp;"") + IF(orderYearForSelectedClient="",1,0), 0)), "")</f>
        <v/>
      </c>
      <c r="BO213" s="383" t="str">
        <f t="shared" si="7"/>
        <v/>
      </c>
    </row>
    <row r="214" spans="63:67">
      <c r="BK214" s="381" t="str">
        <f t="array" ref="BK214">IFERROR(IF($AO$9="",INDEX(orderHistory[order_date],ROW()-9),INDEX(orderHistory[order_date], MATCH(0, IF($AO$9=orderHistory[customer],COUNTIF($BK$9:$BK213,orderHistory[order_date]), "")), 0)),"")</f>
        <v/>
      </c>
      <c r="BL214" s="382" t="str">
        <f t="array" ref="BL214">IFERROR(IF($AO$9="ALL",INDEX(orderHistory[order_id],ROW()-9),INDEX(orderHistory[order_id], MATCH(0, IF($AO$9=orderHistory[customer],COUNTIF($BL$9:$BL213,orderHistory[order_id]), "")), 0)),"")</f>
        <v/>
      </c>
      <c r="BM214" s="383" t="str">
        <f t="shared" si="6"/>
        <v/>
      </c>
      <c r="BN214" s="382" t="str">
        <f t="array" aca="1" ref="BN214" ca="1">IFERROR(INDEX(orderYearForSelectedClient, MATCH(0, COUNTIF($BN$9:BN213, orderYearForSelectedClient&amp;"") + IF(orderYearForSelectedClient="",1,0), 0)), "")</f>
        <v/>
      </c>
      <c r="BO214" s="383" t="str">
        <f t="shared" si="7"/>
        <v/>
      </c>
    </row>
    <row r="215" spans="63:67">
      <c r="BK215" s="381" t="str">
        <f t="array" ref="BK215">IFERROR(IF($AO$9="",INDEX(orderHistory[order_date],ROW()-9),INDEX(orderHistory[order_date], MATCH(0, IF($AO$9=orderHistory[customer],COUNTIF($BK$9:$BK214,orderHistory[order_date]), "")), 0)),"")</f>
        <v/>
      </c>
      <c r="BL215" s="382" t="str">
        <f t="array" ref="BL215">IFERROR(IF($AO$9="ALL",INDEX(orderHistory[order_id],ROW()-9),INDEX(orderHistory[order_id], MATCH(0, IF($AO$9=orderHistory[customer],COUNTIF($BL$9:$BL214,orderHistory[order_id]), "")), 0)),"")</f>
        <v/>
      </c>
      <c r="BM215" s="383" t="str">
        <f t="shared" si="6"/>
        <v/>
      </c>
      <c r="BN215" s="382" t="str">
        <f t="array" aca="1" ref="BN215" ca="1">IFERROR(INDEX(orderYearForSelectedClient, MATCH(0, COUNTIF($BN$9:BN214, orderYearForSelectedClient&amp;"") + IF(orderYearForSelectedClient="",1,0), 0)), "")</f>
        <v/>
      </c>
      <c r="BO215" s="383" t="str">
        <f t="shared" si="7"/>
        <v/>
      </c>
    </row>
    <row r="216" spans="63:67">
      <c r="BK216" s="381" t="str">
        <f t="array" ref="BK216">IFERROR(IF($AO$9="",INDEX(orderHistory[order_date],ROW()-9),INDEX(orderHistory[order_date], MATCH(0, IF($AO$9=orderHistory[customer],COUNTIF($BK$9:$BK215,orderHistory[order_date]), "")), 0)),"")</f>
        <v/>
      </c>
      <c r="BL216" s="382" t="str">
        <f t="array" ref="BL216">IFERROR(IF($AO$9="ALL",INDEX(orderHistory[order_id],ROW()-9),INDEX(orderHistory[order_id], MATCH(0, IF($AO$9=orderHistory[customer],COUNTIF($BL$9:$BL215,orderHistory[order_id]), "")), 0)),"")</f>
        <v/>
      </c>
      <c r="BM216" s="383" t="str">
        <f t="shared" si="6"/>
        <v/>
      </c>
      <c r="BN216" s="382" t="str">
        <f t="array" aca="1" ref="BN216" ca="1">IFERROR(INDEX(orderYearForSelectedClient, MATCH(0, COUNTIF($BN$9:BN215, orderYearForSelectedClient&amp;"") + IF(orderYearForSelectedClient="",1,0), 0)), "")</f>
        <v/>
      </c>
      <c r="BO216" s="383" t="str">
        <f t="shared" si="7"/>
        <v/>
      </c>
    </row>
    <row r="217" spans="63:67">
      <c r="BK217" s="381" t="str">
        <f t="array" ref="BK217">IFERROR(IF($AO$9="",INDEX(orderHistory[order_date],ROW()-9),INDEX(orderHistory[order_date], MATCH(0, IF($AO$9=orderHistory[customer],COUNTIF($BK$9:$BK216,orderHistory[order_date]), "")), 0)),"")</f>
        <v/>
      </c>
      <c r="BL217" s="382" t="str">
        <f t="array" ref="BL217">IFERROR(IF($AO$9="ALL",INDEX(orderHistory[order_id],ROW()-9),INDEX(orderHistory[order_id], MATCH(0, IF($AO$9=orderHistory[customer],COUNTIF($BL$9:$BL216,orderHistory[order_id]), "")), 0)),"")</f>
        <v/>
      </c>
      <c r="BM217" s="383" t="str">
        <f t="shared" si="6"/>
        <v/>
      </c>
      <c r="BN217" s="382" t="str">
        <f t="array" aca="1" ref="BN217" ca="1">IFERROR(INDEX(orderYearForSelectedClient, MATCH(0, COUNTIF($BN$9:BN216, orderYearForSelectedClient&amp;"") + IF(orderYearForSelectedClient="",1,0), 0)), "")</f>
        <v/>
      </c>
      <c r="BO217" s="383" t="str">
        <f t="shared" si="7"/>
        <v/>
      </c>
    </row>
    <row r="218" spans="63:67">
      <c r="BK218" s="381" t="str">
        <f t="array" ref="BK218">IFERROR(IF($AO$9="",INDEX(orderHistory[order_date],ROW()-9),INDEX(orderHistory[order_date], MATCH(0, IF($AO$9=orderHistory[customer],COUNTIF($BK$9:$BK217,orderHistory[order_date]), "")), 0)),"")</f>
        <v/>
      </c>
      <c r="BL218" s="382" t="str">
        <f t="array" ref="BL218">IFERROR(IF($AO$9="ALL",INDEX(orderHistory[order_id],ROW()-9),INDEX(orderHistory[order_id], MATCH(0, IF($AO$9=orderHistory[customer],COUNTIF($BL$9:$BL217,orderHistory[order_id]), "")), 0)),"")</f>
        <v/>
      </c>
      <c r="BM218" s="383" t="str">
        <f t="shared" si="6"/>
        <v/>
      </c>
      <c r="BN218" s="382" t="str">
        <f t="array" aca="1" ref="BN218" ca="1">IFERROR(INDEX(orderYearForSelectedClient, MATCH(0, COUNTIF($BN$9:BN217, orderYearForSelectedClient&amp;"") + IF(orderYearForSelectedClient="",1,0), 0)), "")</f>
        <v/>
      </c>
      <c r="BO218" s="383" t="str">
        <f t="shared" si="7"/>
        <v/>
      </c>
    </row>
    <row r="219" spans="63:67">
      <c r="BK219" s="381" t="str">
        <f t="array" ref="BK219">IFERROR(IF($AO$9="",INDEX(orderHistory[order_date],ROW()-9),INDEX(orderHistory[order_date], MATCH(0, IF($AO$9=orderHistory[customer],COUNTIF($BK$9:$BK218,orderHistory[order_date]), "")), 0)),"")</f>
        <v/>
      </c>
      <c r="BL219" s="382" t="str">
        <f t="array" ref="BL219">IFERROR(IF($AO$9="ALL",INDEX(orderHistory[order_id],ROW()-9),INDEX(orderHistory[order_id], MATCH(0, IF($AO$9=orderHistory[customer],COUNTIF($BL$9:$BL218,orderHistory[order_id]), "")), 0)),"")</f>
        <v/>
      </c>
      <c r="BM219" s="383" t="str">
        <f t="shared" si="6"/>
        <v/>
      </c>
      <c r="BN219" s="382" t="str">
        <f t="array" aca="1" ref="BN219" ca="1">IFERROR(INDEX(orderYearForSelectedClient, MATCH(0, COUNTIF($BN$9:BN218, orderYearForSelectedClient&amp;"") + IF(orderYearForSelectedClient="",1,0), 0)), "")</f>
        <v/>
      </c>
      <c r="BO219" s="383" t="str">
        <f t="shared" si="7"/>
        <v/>
      </c>
    </row>
    <row r="220" spans="63:67">
      <c r="BK220" s="381" t="str">
        <f t="array" ref="BK220">IFERROR(IF($AO$9="",INDEX(orderHistory[order_date],ROW()-9),INDEX(orderHistory[order_date], MATCH(0, IF($AO$9=orderHistory[customer],COUNTIF($BK$9:$BK219,orderHistory[order_date]), "")), 0)),"")</f>
        <v/>
      </c>
      <c r="BL220" s="382" t="str">
        <f t="array" ref="BL220">IFERROR(IF($AO$9="ALL",INDEX(orderHistory[order_id],ROW()-9),INDEX(orderHistory[order_id], MATCH(0, IF($AO$9=orderHistory[customer],COUNTIF($BL$9:$BL219,orderHistory[order_id]), "")), 0)),"")</f>
        <v/>
      </c>
      <c r="BM220" s="383" t="str">
        <f t="shared" si="6"/>
        <v/>
      </c>
      <c r="BN220" s="382" t="str">
        <f t="array" aca="1" ref="BN220" ca="1">IFERROR(INDEX(orderYearForSelectedClient, MATCH(0, COUNTIF($BN$9:BN219, orderYearForSelectedClient&amp;"") + IF(orderYearForSelectedClient="",1,0), 0)), "")</f>
        <v/>
      </c>
      <c r="BO220" s="383" t="str">
        <f t="shared" si="7"/>
        <v/>
      </c>
    </row>
    <row r="221" spans="63:67">
      <c r="BK221" s="381" t="str">
        <f t="array" ref="BK221">IFERROR(IF($AO$9="",INDEX(orderHistory[order_date],ROW()-9),INDEX(orderHistory[order_date], MATCH(0, IF($AO$9=orderHistory[customer],COUNTIF($BK$9:$BK220,orderHistory[order_date]), "")), 0)),"")</f>
        <v/>
      </c>
      <c r="BL221" s="382" t="str">
        <f t="array" ref="BL221">IFERROR(IF($AO$9="ALL",INDEX(orderHistory[order_id],ROW()-9),INDEX(orderHistory[order_id], MATCH(0, IF($AO$9=orderHistory[customer],COUNTIF($BL$9:$BL220,orderHistory[order_id]), "")), 0)),"")</f>
        <v/>
      </c>
      <c r="BM221" s="383" t="str">
        <f t="shared" si="6"/>
        <v/>
      </c>
      <c r="BN221" s="382" t="str">
        <f t="array" aca="1" ref="BN221" ca="1">IFERROR(INDEX(orderYearForSelectedClient, MATCH(0, COUNTIF($BN$9:BN220, orderYearForSelectedClient&amp;"") + IF(orderYearForSelectedClient="",1,0), 0)), "")</f>
        <v/>
      </c>
      <c r="BO221" s="383" t="str">
        <f t="shared" si="7"/>
        <v/>
      </c>
    </row>
    <row r="222" spans="63:67">
      <c r="BK222" s="381" t="str">
        <f t="array" ref="BK222">IFERROR(IF($AO$9="",INDEX(orderHistory[order_date],ROW()-9),INDEX(orderHistory[order_date], MATCH(0, IF($AO$9=orderHistory[customer],COUNTIF($BK$9:$BK221,orderHistory[order_date]), "")), 0)),"")</f>
        <v/>
      </c>
      <c r="BL222" s="382" t="str">
        <f t="array" ref="BL222">IFERROR(IF($AO$9="ALL",INDEX(orderHistory[order_id],ROW()-9),INDEX(orderHistory[order_id], MATCH(0, IF($AO$9=orderHistory[customer],COUNTIF($BL$9:$BL221,orderHistory[order_id]), "")), 0)),"")</f>
        <v/>
      </c>
      <c r="BM222" s="383" t="str">
        <f t="shared" si="6"/>
        <v/>
      </c>
      <c r="BN222" s="382" t="str">
        <f t="array" aca="1" ref="BN222" ca="1">IFERROR(INDEX(orderYearForSelectedClient, MATCH(0, COUNTIF($BN$9:BN221, orderYearForSelectedClient&amp;"") + IF(orderYearForSelectedClient="",1,0), 0)), "")</f>
        <v/>
      </c>
      <c r="BO222" s="383" t="str">
        <f t="shared" si="7"/>
        <v/>
      </c>
    </row>
    <row r="223" spans="63:67">
      <c r="BK223" s="381" t="str">
        <f t="array" ref="BK223">IFERROR(IF($AO$9="",INDEX(orderHistory[order_date],ROW()-9),INDEX(orderHistory[order_date], MATCH(0, IF($AO$9=orderHistory[customer],COUNTIF($BK$9:$BK222,orderHistory[order_date]), "")), 0)),"")</f>
        <v/>
      </c>
      <c r="BL223" s="382" t="str">
        <f t="array" ref="BL223">IFERROR(IF($AO$9="ALL",INDEX(orderHistory[order_id],ROW()-9),INDEX(orderHistory[order_id], MATCH(0, IF($AO$9=orderHistory[customer],COUNTIF($BL$9:$BL222,orderHistory[order_id]), "")), 0)),"")</f>
        <v/>
      </c>
      <c r="BM223" s="383" t="str">
        <f t="shared" si="6"/>
        <v/>
      </c>
      <c r="BN223" s="382" t="str">
        <f t="array" aca="1" ref="BN223" ca="1">IFERROR(INDEX(orderYearForSelectedClient, MATCH(0, COUNTIF($BN$9:BN222, orderYearForSelectedClient&amp;"") + IF(orderYearForSelectedClient="",1,0), 0)), "")</f>
        <v/>
      </c>
      <c r="BO223" s="383" t="str">
        <f t="shared" si="7"/>
        <v/>
      </c>
    </row>
    <row r="224" spans="63:67">
      <c r="BK224" s="381" t="str">
        <f t="array" ref="BK224">IFERROR(IF($AO$9="",INDEX(orderHistory[order_date],ROW()-9),INDEX(orderHistory[order_date], MATCH(0, IF($AO$9=orderHistory[customer],COUNTIF($BK$9:$BK223,orderHistory[order_date]), "")), 0)),"")</f>
        <v/>
      </c>
      <c r="BL224" s="382" t="str">
        <f t="array" ref="BL224">IFERROR(IF($AO$9="ALL",INDEX(orderHistory[order_id],ROW()-9),INDEX(orderHistory[order_id], MATCH(0, IF($AO$9=orderHistory[customer],COUNTIF($BL$9:$BL223,orderHistory[order_id]), "")), 0)),"")</f>
        <v/>
      </c>
      <c r="BM224" s="383" t="str">
        <f t="shared" si="6"/>
        <v/>
      </c>
      <c r="BN224" s="382" t="str">
        <f t="array" aca="1" ref="BN224" ca="1">IFERROR(INDEX(orderYearForSelectedClient, MATCH(0, COUNTIF($BN$9:BN223, orderYearForSelectedClient&amp;"") + IF(orderYearForSelectedClient="",1,0), 0)), "")</f>
        <v/>
      </c>
      <c r="BO224" s="383" t="str">
        <f t="shared" si="7"/>
        <v/>
      </c>
    </row>
    <row r="225" spans="63:67">
      <c r="BK225" s="381" t="str">
        <f t="array" ref="BK225">IFERROR(IF($AO$9="",INDEX(orderHistory[order_date],ROW()-9),INDEX(orderHistory[order_date], MATCH(0, IF($AO$9=orderHistory[customer],COUNTIF($BK$9:$BK224,orderHistory[order_date]), "")), 0)),"")</f>
        <v/>
      </c>
      <c r="BL225" s="382" t="str">
        <f t="array" ref="BL225">IFERROR(IF($AO$9="ALL",INDEX(orderHistory[order_id],ROW()-9),INDEX(orderHistory[order_id], MATCH(0, IF($AO$9=orderHistory[customer],COUNTIF($BL$9:$BL224,orderHistory[order_id]), "")), 0)),"")</f>
        <v/>
      </c>
      <c r="BM225" s="383" t="str">
        <f t="shared" si="6"/>
        <v/>
      </c>
      <c r="BN225" s="382" t="str">
        <f t="array" aca="1" ref="BN225" ca="1">IFERROR(INDEX(orderYearForSelectedClient, MATCH(0, COUNTIF($BN$9:BN224, orderYearForSelectedClient&amp;"") + IF(orderYearForSelectedClient="",1,0), 0)), "")</f>
        <v/>
      </c>
      <c r="BO225" s="383" t="str">
        <f t="shared" si="7"/>
        <v/>
      </c>
    </row>
    <row r="226" spans="63:67">
      <c r="BK226" s="381" t="str">
        <f t="array" ref="BK226">IFERROR(IF($AO$9="",INDEX(orderHistory[order_date],ROW()-9),INDEX(orderHistory[order_date], MATCH(0, IF($AO$9=orderHistory[customer],COUNTIF($BK$9:$BK225,orderHistory[order_date]), "")), 0)),"")</f>
        <v/>
      </c>
      <c r="BL226" s="382" t="str">
        <f t="array" ref="BL226">IFERROR(IF($AO$9="ALL",INDEX(orderHistory[order_id],ROW()-9),INDEX(orderHistory[order_id], MATCH(0, IF($AO$9=orderHistory[customer],COUNTIF($BL$9:$BL225,orderHistory[order_id]), "")), 0)),"")</f>
        <v/>
      </c>
      <c r="BM226" s="383" t="str">
        <f t="shared" si="6"/>
        <v/>
      </c>
      <c r="BN226" s="382" t="str">
        <f t="array" aca="1" ref="BN226" ca="1">IFERROR(INDEX(orderYearForSelectedClient, MATCH(0, COUNTIF($BN$9:BN225, orderYearForSelectedClient&amp;"") + IF(orderYearForSelectedClient="",1,0), 0)), "")</f>
        <v/>
      </c>
      <c r="BO226" s="383" t="str">
        <f t="shared" si="7"/>
        <v/>
      </c>
    </row>
    <row r="227" spans="63:67">
      <c r="BK227" s="381" t="str">
        <f t="array" ref="BK227">IFERROR(IF($AO$9="",INDEX(orderHistory[order_date],ROW()-9),INDEX(orderHistory[order_date], MATCH(0, IF($AO$9=orderHistory[customer],COUNTIF($BK$9:$BK226,orderHistory[order_date]), "")), 0)),"")</f>
        <v/>
      </c>
      <c r="BL227" s="382" t="str">
        <f t="array" ref="BL227">IFERROR(IF($AO$9="ALL",INDEX(orderHistory[order_id],ROW()-9),INDEX(orderHistory[order_id], MATCH(0, IF($AO$9=orderHistory[customer],COUNTIF($BL$9:$BL226,orderHistory[order_id]), "")), 0)),"")</f>
        <v/>
      </c>
      <c r="BM227" s="383" t="str">
        <f t="shared" si="6"/>
        <v/>
      </c>
      <c r="BN227" s="382" t="str">
        <f t="array" aca="1" ref="BN227" ca="1">IFERROR(INDEX(orderYearForSelectedClient, MATCH(0, COUNTIF($BN$9:BN226, orderYearForSelectedClient&amp;"") + IF(orderYearForSelectedClient="",1,0), 0)), "")</f>
        <v/>
      </c>
      <c r="BO227" s="383" t="str">
        <f t="shared" si="7"/>
        <v/>
      </c>
    </row>
    <row r="228" spans="63:67">
      <c r="BK228" s="381" t="str">
        <f t="array" ref="BK228">IFERROR(IF($AO$9="",INDEX(orderHistory[order_date],ROW()-9),INDEX(orderHistory[order_date], MATCH(0, IF($AO$9=orderHistory[customer],COUNTIF($BK$9:$BK227,orderHistory[order_date]), "")), 0)),"")</f>
        <v/>
      </c>
      <c r="BL228" s="382" t="str">
        <f t="array" ref="BL228">IFERROR(IF($AO$9="ALL",INDEX(orderHistory[order_id],ROW()-9),INDEX(orderHistory[order_id], MATCH(0, IF($AO$9=orderHistory[customer],COUNTIF($BL$9:$BL227,orderHistory[order_id]), "")), 0)),"")</f>
        <v/>
      </c>
      <c r="BM228" s="383" t="str">
        <f t="shared" si="6"/>
        <v/>
      </c>
      <c r="BN228" s="382" t="str">
        <f t="array" aca="1" ref="BN228" ca="1">IFERROR(INDEX(orderYearForSelectedClient, MATCH(0, COUNTIF($BN$9:BN227, orderYearForSelectedClient&amp;"") + IF(orderYearForSelectedClient="",1,0), 0)), "")</f>
        <v/>
      </c>
      <c r="BO228" s="383" t="str">
        <f t="shared" si="7"/>
        <v/>
      </c>
    </row>
    <row r="229" spans="63:67">
      <c r="BK229" s="381" t="str">
        <f t="array" ref="BK229">IFERROR(IF($AO$9="",INDEX(orderHistory[order_date],ROW()-9),INDEX(orderHistory[order_date], MATCH(0, IF($AO$9=orderHistory[customer],COUNTIF($BK$9:$BK228,orderHistory[order_date]), "")), 0)),"")</f>
        <v/>
      </c>
      <c r="BL229" s="382" t="str">
        <f t="array" ref="BL229">IFERROR(IF($AO$9="ALL",INDEX(orderHistory[order_id],ROW()-9),INDEX(orderHistory[order_id], MATCH(0, IF($AO$9=orderHistory[customer],COUNTIF($BL$9:$BL228,orderHistory[order_id]), "")), 0)),"")</f>
        <v/>
      </c>
      <c r="BM229" s="383" t="str">
        <f t="shared" si="6"/>
        <v/>
      </c>
      <c r="BN229" s="382" t="str">
        <f t="array" aca="1" ref="BN229" ca="1">IFERROR(INDEX(orderYearForSelectedClient, MATCH(0, COUNTIF($BN$9:BN228, orderYearForSelectedClient&amp;"") + IF(orderYearForSelectedClient="",1,0), 0)), "")</f>
        <v/>
      </c>
      <c r="BO229" s="383" t="str">
        <f t="shared" si="7"/>
        <v/>
      </c>
    </row>
    <row r="230" spans="63:67">
      <c r="BK230" s="381" t="str">
        <f t="array" ref="BK230">IFERROR(IF($AO$9="",INDEX(orderHistory[order_date],ROW()-9),INDEX(orderHistory[order_date], MATCH(0, IF($AO$9=orderHistory[customer],COUNTIF($BK$9:$BK229,orderHistory[order_date]), "")), 0)),"")</f>
        <v/>
      </c>
      <c r="BL230" s="382" t="str">
        <f t="array" ref="BL230">IFERROR(IF($AO$9="ALL",INDEX(orderHistory[order_id],ROW()-9),INDEX(orderHistory[order_id], MATCH(0, IF($AO$9=orderHistory[customer],COUNTIF($BL$9:$BL229,orderHistory[order_id]), "")), 0)),"")</f>
        <v/>
      </c>
      <c r="BM230" s="383" t="str">
        <f t="shared" si="6"/>
        <v/>
      </c>
      <c r="BN230" s="382" t="str">
        <f t="array" aca="1" ref="BN230" ca="1">IFERROR(INDEX(orderYearForSelectedClient, MATCH(0, COUNTIF($BN$9:BN229, orderYearForSelectedClient&amp;"") + IF(orderYearForSelectedClient="",1,0), 0)), "")</f>
        <v/>
      </c>
      <c r="BO230" s="383" t="str">
        <f t="shared" si="7"/>
        <v/>
      </c>
    </row>
    <row r="231" spans="63:67">
      <c r="BK231" s="381" t="str">
        <f t="array" ref="BK231">IFERROR(IF($AO$9="",INDEX(orderHistory[order_date],ROW()-9),INDEX(orderHistory[order_date], MATCH(0, IF($AO$9=orderHistory[customer],COUNTIF($BK$9:$BK230,orderHistory[order_date]), "")), 0)),"")</f>
        <v/>
      </c>
      <c r="BL231" s="382" t="str">
        <f t="array" ref="BL231">IFERROR(IF($AO$9="ALL",INDEX(orderHistory[order_id],ROW()-9),INDEX(orderHistory[order_id], MATCH(0, IF($AO$9=orderHistory[customer],COUNTIF($BL$9:$BL230,orderHistory[order_id]), "")), 0)),"")</f>
        <v/>
      </c>
      <c r="BM231" s="383" t="str">
        <f t="shared" si="6"/>
        <v/>
      </c>
      <c r="BN231" s="382" t="str">
        <f t="array" aca="1" ref="BN231" ca="1">IFERROR(INDEX(orderYearForSelectedClient, MATCH(0, COUNTIF($BN$9:BN230, orderYearForSelectedClient&amp;"") + IF(orderYearForSelectedClient="",1,0), 0)), "")</f>
        <v/>
      </c>
      <c r="BO231" s="383" t="str">
        <f t="shared" si="7"/>
        <v/>
      </c>
    </row>
    <row r="232" spans="63:67">
      <c r="BK232" s="381" t="str">
        <f t="array" ref="BK232">IFERROR(IF($AO$9="",INDEX(orderHistory[order_date],ROW()-9),INDEX(orderHistory[order_date], MATCH(0, IF($AO$9=orderHistory[customer],COUNTIF($BK$9:$BK231,orderHistory[order_date]), "")), 0)),"")</f>
        <v/>
      </c>
      <c r="BL232" s="382" t="str">
        <f t="array" ref="BL232">IFERROR(IF($AO$9="ALL",INDEX(orderHistory[order_id],ROW()-9),INDEX(orderHistory[order_id], MATCH(0, IF($AO$9=orderHistory[customer],COUNTIF($BL$9:$BL231,orderHistory[order_id]), "")), 0)),"")</f>
        <v/>
      </c>
      <c r="BM232" s="383" t="str">
        <f t="shared" si="6"/>
        <v/>
      </c>
      <c r="BN232" s="382" t="str">
        <f t="array" aca="1" ref="BN232" ca="1">IFERROR(INDEX(orderYearForSelectedClient, MATCH(0, COUNTIF($BN$9:BN231, orderYearForSelectedClient&amp;"") + IF(orderYearForSelectedClient="",1,0), 0)), "")</f>
        <v/>
      </c>
      <c r="BO232" s="383" t="str">
        <f t="shared" si="7"/>
        <v/>
      </c>
    </row>
    <row r="233" spans="63:67">
      <c r="BK233" s="381" t="str">
        <f t="array" ref="BK233">IFERROR(IF($AO$9="",INDEX(orderHistory[order_date],ROW()-9),INDEX(orderHistory[order_date], MATCH(0, IF($AO$9=orderHistory[customer],COUNTIF($BK$9:$BK232,orderHistory[order_date]), "")), 0)),"")</f>
        <v/>
      </c>
      <c r="BL233" s="382" t="str">
        <f t="array" ref="BL233">IFERROR(IF($AO$9="ALL",INDEX(orderHistory[order_id],ROW()-9),INDEX(orderHistory[order_id], MATCH(0, IF($AO$9=orderHistory[customer],COUNTIF($BL$9:$BL232,orderHistory[order_id]), "")), 0)),"")</f>
        <v/>
      </c>
      <c r="BM233" s="383" t="str">
        <f t="shared" si="6"/>
        <v/>
      </c>
      <c r="BN233" s="382" t="str">
        <f t="array" aca="1" ref="BN233" ca="1">IFERROR(INDEX(orderYearForSelectedClient, MATCH(0, COUNTIF($BN$9:BN232, orderYearForSelectedClient&amp;"") + IF(orderYearForSelectedClient="",1,0), 0)), "")</f>
        <v/>
      </c>
      <c r="BO233" s="383" t="str">
        <f t="shared" si="7"/>
        <v/>
      </c>
    </row>
    <row r="234" spans="63:67">
      <c r="BK234" s="381" t="str">
        <f t="array" ref="BK234">IFERROR(IF($AO$9="",INDEX(orderHistory[order_date],ROW()-9),INDEX(orderHistory[order_date], MATCH(0, IF($AO$9=orderHistory[customer],COUNTIF($BK$9:$BK233,orderHistory[order_date]), "")), 0)),"")</f>
        <v/>
      </c>
      <c r="BL234" s="382" t="str">
        <f t="array" ref="BL234">IFERROR(IF($AO$9="ALL",INDEX(orderHistory[order_id],ROW()-9),INDEX(orderHistory[order_id], MATCH(0, IF($AO$9=orderHistory[customer],COUNTIF($BL$9:$BL233,orderHistory[order_id]), "")), 0)),"")</f>
        <v/>
      </c>
      <c r="BM234" s="383" t="str">
        <f t="shared" si="6"/>
        <v/>
      </c>
      <c r="BN234" s="382" t="str">
        <f t="array" aca="1" ref="BN234" ca="1">IFERROR(INDEX(orderYearForSelectedClient, MATCH(0, COUNTIF($BN$9:BN233, orderYearForSelectedClient&amp;"") + IF(orderYearForSelectedClient="",1,0), 0)), "")</f>
        <v/>
      </c>
      <c r="BO234" s="383" t="str">
        <f t="shared" si="7"/>
        <v/>
      </c>
    </row>
    <row r="235" spans="63:67">
      <c r="BK235" s="381" t="str">
        <f t="array" ref="BK235">IFERROR(IF($AO$9="",INDEX(orderHistory[order_date],ROW()-9),INDEX(orderHistory[order_date], MATCH(0, IF($AO$9=orderHistory[customer],COUNTIF($BK$9:$BK234,orderHistory[order_date]), "")), 0)),"")</f>
        <v/>
      </c>
      <c r="BL235" s="382" t="str">
        <f t="array" ref="BL235">IFERROR(IF($AO$9="ALL",INDEX(orderHistory[order_id],ROW()-9),INDEX(orderHistory[order_id], MATCH(0, IF($AO$9=orderHistory[customer],COUNTIF($BL$9:$BL234,orderHistory[order_id]), "")), 0)),"")</f>
        <v/>
      </c>
      <c r="BM235" s="383" t="str">
        <f t="shared" si="6"/>
        <v/>
      </c>
      <c r="BN235" s="382" t="str">
        <f t="array" aca="1" ref="BN235" ca="1">IFERROR(INDEX(orderYearForSelectedClient, MATCH(0, COUNTIF($BN$9:BN234, orderYearForSelectedClient&amp;"") + IF(orderYearForSelectedClient="",1,0), 0)), "")</f>
        <v/>
      </c>
      <c r="BO235" s="383" t="str">
        <f t="shared" si="7"/>
        <v/>
      </c>
    </row>
    <row r="236" spans="63:67">
      <c r="BK236" s="381" t="str">
        <f t="array" ref="BK236">IFERROR(IF($AO$9="",INDEX(orderHistory[order_date],ROW()-9),INDEX(orderHistory[order_date], MATCH(0, IF($AO$9=orderHistory[customer],COUNTIF($BK$9:$BK235,orderHistory[order_date]), "")), 0)),"")</f>
        <v/>
      </c>
      <c r="BL236" s="382" t="str">
        <f t="array" ref="BL236">IFERROR(IF($AO$9="ALL",INDEX(orderHistory[order_id],ROW()-9),INDEX(orderHistory[order_id], MATCH(0, IF($AO$9=orderHistory[customer],COUNTIF($BL$9:$BL235,orderHistory[order_id]), "")), 0)),"")</f>
        <v/>
      </c>
      <c r="BM236" s="383" t="str">
        <f t="shared" si="6"/>
        <v/>
      </c>
      <c r="BN236" s="382" t="str">
        <f t="array" aca="1" ref="BN236" ca="1">IFERROR(INDEX(orderYearForSelectedClient, MATCH(0, COUNTIF($BN$9:BN235, orderYearForSelectedClient&amp;"") + IF(orderYearForSelectedClient="",1,0), 0)), "")</f>
        <v/>
      </c>
      <c r="BO236" s="383" t="str">
        <f t="shared" si="7"/>
        <v/>
      </c>
    </row>
    <row r="237" spans="63:67">
      <c r="BK237" s="381" t="str">
        <f t="array" ref="BK237">IFERROR(IF($AO$9="",INDEX(orderHistory[order_date],ROW()-9),INDEX(orderHistory[order_date], MATCH(0, IF($AO$9=orderHistory[customer],COUNTIF($BK$9:$BK236,orderHistory[order_date]), "")), 0)),"")</f>
        <v/>
      </c>
      <c r="BL237" s="382" t="str">
        <f t="array" ref="BL237">IFERROR(IF($AO$9="ALL",INDEX(orderHistory[order_id],ROW()-9),INDEX(orderHistory[order_id], MATCH(0, IF($AO$9=orderHistory[customer],COUNTIF($BL$9:$BL236,orderHistory[order_id]), "")), 0)),"")</f>
        <v/>
      </c>
      <c r="BM237" s="383" t="str">
        <f t="shared" si="6"/>
        <v/>
      </c>
      <c r="BN237" s="382" t="str">
        <f t="array" aca="1" ref="BN237" ca="1">IFERROR(INDEX(orderYearForSelectedClient, MATCH(0, COUNTIF($BN$9:BN236, orderYearForSelectedClient&amp;"") + IF(orderYearForSelectedClient="",1,0), 0)), "")</f>
        <v/>
      </c>
      <c r="BO237" s="383" t="str">
        <f t="shared" si="7"/>
        <v/>
      </c>
    </row>
    <row r="238" spans="63:67">
      <c r="BK238" s="381" t="str">
        <f t="array" ref="BK238">IFERROR(IF($AO$9="",INDEX(orderHistory[order_date],ROW()-9),INDEX(orderHistory[order_date], MATCH(0, IF($AO$9=orderHistory[customer],COUNTIF($BK$9:$BK237,orderHistory[order_date]), "")), 0)),"")</f>
        <v/>
      </c>
      <c r="BL238" s="382" t="str">
        <f t="array" ref="BL238">IFERROR(IF($AO$9="ALL",INDEX(orderHistory[order_id],ROW()-9),INDEX(orderHistory[order_id], MATCH(0, IF($AO$9=orderHistory[customer],COUNTIF($BL$9:$BL237,orderHistory[order_id]), "")), 0)),"")</f>
        <v/>
      </c>
      <c r="BM238" s="383" t="str">
        <f t="shared" si="6"/>
        <v/>
      </c>
      <c r="BN238" s="382" t="str">
        <f t="array" aca="1" ref="BN238" ca="1">IFERROR(INDEX(orderYearForSelectedClient, MATCH(0, COUNTIF($BN$9:BN237, orderYearForSelectedClient&amp;"") + IF(orderYearForSelectedClient="",1,0), 0)), "")</f>
        <v/>
      </c>
      <c r="BO238" s="383" t="str">
        <f t="shared" si="7"/>
        <v/>
      </c>
    </row>
    <row r="239" spans="63:67">
      <c r="BK239" s="381" t="str">
        <f t="array" ref="BK239">IFERROR(IF($AO$9="",INDEX(orderHistory[order_date],ROW()-9),INDEX(orderHistory[order_date], MATCH(0, IF($AO$9=orderHistory[customer],COUNTIF($BK$9:$BK238,orderHistory[order_date]), "")), 0)),"")</f>
        <v/>
      </c>
      <c r="BL239" s="382" t="str">
        <f t="array" ref="BL239">IFERROR(IF($AO$9="ALL",INDEX(orderHistory[order_id],ROW()-9),INDEX(orderHistory[order_id], MATCH(0, IF($AO$9=orderHistory[customer],COUNTIF($BL$9:$BL238,orderHistory[order_id]), "")), 0)),"")</f>
        <v/>
      </c>
      <c r="BM239" s="383" t="str">
        <f t="shared" si="6"/>
        <v/>
      </c>
      <c r="BN239" s="382" t="str">
        <f t="array" aca="1" ref="BN239" ca="1">IFERROR(INDEX(orderYearForSelectedClient, MATCH(0, COUNTIF($BN$9:BN238, orderYearForSelectedClient&amp;"") + IF(orderYearForSelectedClient="",1,0), 0)), "")</f>
        <v/>
      </c>
      <c r="BO239" s="383" t="str">
        <f t="shared" si="7"/>
        <v/>
      </c>
    </row>
    <row r="240" spans="63:67">
      <c r="BK240" s="381" t="str">
        <f t="array" ref="BK240">IFERROR(IF($AO$9="",INDEX(orderHistory[order_date],ROW()-9),INDEX(orderHistory[order_date], MATCH(0, IF($AO$9=orderHistory[customer],COUNTIF($BK$9:$BK239,orderHistory[order_date]), "")), 0)),"")</f>
        <v/>
      </c>
      <c r="BL240" s="382" t="str">
        <f t="array" ref="BL240">IFERROR(IF($AO$9="ALL",INDEX(orderHistory[order_id],ROW()-9),INDEX(orderHistory[order_id], MATCH(0, IF($AO$9=orderHistory[customer],COUNTIF($BL$9:$BL239,orderHistory[order_id]), "")), 0)),"")</f>
        <v/>
      </c>
      <c r="BM240" s="383" t="str">
        <f t="shared" si="6"/>
        <v/>
      </c>
      <c r="BN240" s="382" t="str">
        <f t="array" aca="1" ref="BN240" ca="1">IFERROR(INDEX(orderYearForSelectedClient, MATCH(0, COUNTIF($BN$9:BN239, orderYearForSelectedClient&amp;"") + IF(orderYearForSelectedClient="",1,0), 0)), "")</f>
        <v/>
      </c>
      <c r="BO240" s="383" t="str">
        <f t="shared" si="7"/>
        <v/>
      </c>
    </row>
    <row r="241" spans="63:67">
      <c r="BK241" s="381" t="str">
        <f t="array" ref="BK241">IFERROR(IF($AO$9="",INDEX(orderHistory[order_date],ROW()-9),INDEX(orderHistory[order_date], MATCH(0, IF($AO$9=orderHistory[customer],COUNTIF($BK$9:$BK240,orderHistory[order_date]), "")), 0)),"")</f>
        <v/>
      </c>
      <c r="BL241" s="382" t="str">
        <f t="array" ref="BL241">IFERROR(IF($AO$9="ALL",INDEX(orderHistory[order_id],ROW()-9),INDEX(orderHistory[order_id], MATCH(0, IF($AO$9=orderHistory[customer],COUNTIF($BL$9:$BL240,orderHistory[order_id]), "")), 0)),"")</f>
        <v/>
      </c>
      <c r="BM241" s="383" t="str">
        <f t="shared" si="6"/>
        <v/>
      </c>
      <c r="BN241" s="382" t="str">
        <f t="array" aca="1" ref="BN241" ca="1">IFERROR(INDEX(orderYearForSelectedClient, MATCH(0, COUNTIF($BN$9:BN240, orderYearForSelectedClient&amp;"") + IF(orderYearForSelectedClient="",1,0), 0)), "")</f>
        <v/>
      </c>
      <c r="BO241" s="383" t="str">
        <f t="shared" si="7"/>
        <v/>
      </c>
    </row>
    <row r="242" spans="63:67">
      <c r="BK242" s="381" t="str">
        <f t="array" ref="BK242">IFERROR(IF($AO$9="",INDEX(orderHistory[order_date],ROW()-9),INDEX(orderHistory[order_date], MATCH(0, IF($AO$9=orderHistory[customer],COUNTIF($BK$9:$BK241,orderHistory[order_date]), "")), 0)),"")</f>
        <v/>
      </c>
      <c r="BL242" s="382" t="str">
        <f t="array" ref="BL242">IFERROR(IF($AO$9="ALL",INDEX(orderHistory[order_id],ROW()-9),INDEX(orderHistory[order_id], MATCH(0, IF($AO$9=orderHistory[customer],COUNTIF($BL$9:$BL241,orderHistory[order_id]), "")), 0)),"")</f>
        <v/>
      </c>
      <c r="BM242" s="383" t="str">
        <f t="shared" si="6"/>
        <v/>
      </c>
      <c r="BN242" s="382" t="str">
        <f t="array" aca="1" ref="BN242" ca="1">IFERROR(INDEX(orderYearForSelectedClient, MATCH(0, COUNTIF($BN$9:BN241, orderYearForSelectedClient&amp;"") + IF(orderYearForSelectedClient="",1,0), 0)), "")</f>
        <v/>
      </c>
      <c r="BO242" s="383" t="str">
        <f t="shared" si="7"/>
        <v/>
      </c>
    </row>
    <row r="243" spans="63:67">
      <c r="BK243" s="381" t="str">
        <f t="array" ref="BK243">IFERROR(IF($AO$9="",INDEX(orderHistory[order_date],ROW()-9),INDEX(orderHistory[order_date], MATCH(0, IF($AO$9=orderHistory[customer],COUNTIF($BK$9:$BK242,orderHistory[order_date]), "")), 0)),"")</f>
        <v/>
      </c>
      <c r="BL243" s="382" t="str">
        <f t="array" ref="BL243">IFERROR(IF($AO$9="ALL",INDEX(orderHistory[order_id],ROW()-9),INDEX(orderHistory[order_id], MATCH(0, IF($AO$9=orderHistory[customer],COUNTIF($BL$9:$BL242,orderHistory[order_id]), "")), 0)),"")</f>
        <v/>
      </c>
      <c r="BM243" s="383" t="str">
        <f t="shared" si="6"/>
        <v/>
      </c>
      <c r="BN243" s="382" t="str">
        <f t="array" aca="1" ref="BN243" ca="1">IFERROR(INDEX(orderYearForSelectedClient, MATCH(0, COUNTIF($BN$9:BN242, orderYearForSelectedClient&amp;"") + IF(orderYearForSelectedClient="",1,0), 0)), "")</f>
        <v/>
      </c>
      <c r="BO243" s="383" t="str">
        <f t="shared" si="7"/>
        <v/>
      </c>
    </row>
    <row r="244" spans="63:67">
      <c r="BK244" s="381" t="str">
        <f t="array" ref="BK244">IFERROR(IF($AO$9="",INDEX(orderHistory[order_date],ROW()-9),INDEX(orderHistory[order_date], MATCH(0, IF($AO$9=orderHistory[customer],COUNTIF($BK$9:$BK243,orderHistory[order_date]), "")), 0)),"")</f>
        <v/>
      </c>
      <c r="BL244" s="382" t="str">
        <f t="array" ref="BL244">IFERROR(IF($AO$9="ALL",INDEX(orderHistory[order_id],ROW()-9),INDEX(orderHistory[order_id], MATCH(0, IF($AO$9=orderHistory[customer],COUNTIF($BL$9:$BL243,orderHistory[order_id]), "")), 0)),"")</f>
        <v/>
      </c>
      <c r="BM244" s="383" t="str">
        <f t="shared" si="6"/>
        <v/>
      </c>
      <c r="BN244" s="382" t="str">
        <f t="array" aca="1" ref="BN244" ca="1">IFERROR(INDEX(orderYearForSelectedClient, MATCH(0, COUNTIF($BN$9:BN243, orderYearForSelectedClient&amp;"") + IF(orderYearForSelectedClient="",1,0), 0)), "")</f>
        <v/>
      </c>
      <c r="BO244" s="383" t="str">
        <f t="shared" si="7"/>
        <v/>
      </c>
    </row>
    <row r="245" spans="63:67">
      <c r="BK245" s="381" t="str">
        <f t="array" ref="BK245">IFERROR(IF($AO$9="",INDEX(orderHistory[order_date],ROW()-9),INDEX(orderHistory[order_date], MATCH(0, IF($AO$9=orderHistory[customer],COUNTIF($BK$9:$BK244,orderHistory[order_date]), "")), 0)),"")</f>
        <v/>
      </c>
      <c r="BL245" s="382" t="str">
        <f t="array" ref="BL245">IFERROR(IF($AO$9="ALL",INDEX(orderHistory[order_id],ROW()-9),INDEX(orderHistory[order_id], MATCH(0, IF($AO$9=orderHistory[customer],COUNTIF($BL$9:$BL244,orderHistory[order_id]), "")), 0)),"")</f>
        <v/>
      </c>
      <c r="BM245" s="383" t="str">
        <f t="shared" si="6"/>
        <v/>
      </c>
      <c r="BN245" s="382" t="str">
        <f t="array" aca="1" ref="BN245" ca="1">IFERROR(INDEX(orderYearForSelectedClient, MATCH(0, COUNTIF($BN$9:BN244, orderYearForSelectedClient&amp;"") + IF(orderYearForSelectedClient="",1,0), 0)), "")</f>
        <v/>
      </c>
      <c r="BO245" s="383" t="str">
        <f t="shared" si="7"/>
        <v/>
      </c>
    </row>
    <row r="246" spans="63:67">
      <c r="BK246" s="381" t="str">
        <f t="array" ref="BK246">IFERROR(IF($AO$9="",INDEX(orderHistory[order_date],ROW()-9),INDEX(orderHistory[order_date], MATCH(0, IF($AO$9=orderHistory[customer],COUNTIF($BK$9:$BK245,orderHistory[order_date]), "")), 0)),"")</f>
        <v/>
      </c>
      <c r="BL246" s="382" t="str">
        <f t="array" ref="BL246">IFERROR(IF($AO$9="ALL",INDEX(orderHistory[order_id],ROW()-9),INDEX(orderHistory[order_id], MATCH(0, IF($AO$9=orderHistory[customer],COUNTIF($BL$9:$BL245,orderHistory[order_id]), "")), 0)),"")</f>
        <v/>
      </c>
      <c r="BM246" s="383" t="str">
        <f t="shared" si="6"/>
        <v/>
      </c>
      <c r="BN246" s="382" t="str">
        <f t="array" aca="1" ref="BN246" ca="1">IFERROR(INDEX(orderYearForSelectedClient, MATCH(0, COUNTIF($BN$9:BN245, orderYearForSelectedClient&amp;"") + IF(orderYearForSelectedClient="",1,0), 0)), "")</f>
        <v/>
      </c>
      <c r="BO246" s="383" t="str">
        <f t="shared" si="7"/>
        <v/>
      </c>
    </row>
    <row r="247" spans="63:67">
      <c r="BK247" s="381" t="str">
        <f t="array" ref="BK247">IFERROR(IF($AO$9="",INDEX(orderHistory[order_date],ROW()-9),INDEX(orderHistory[order_date], MATCH(0, IF($AO$9=orderHistory[customer],COUNTIF($BK$9:$BK246,orderHistory[order_date]), "")), 0)),"")</f>
        <v/>
      </c>
      <c r="BL247" s="382" t="str">
        <f t="array" ref="BL247">IFERROR(IF($AO$9="ALL",INDEX(orderHistory[order_id],ROW()-9),INDEX(orderHistory[order_id], MATCH(0, IF($AO$9=orderHistory[customer],COUNTIF($BL$9:$BL246,orderHistory[order_id]), "")), 0)),"")</f>
        <v/>
      </c>
      <c r="BM247" s="383" t="str">
        <f t="shared" si="6"/>
        <v/>
      </c>
      <c r="BN247" s="382" t="str">
        <f t="array" aca="1" ref="BN247" ca="1">IFERROR(INDEX(orderYearForSelectedClient, MATCH(0, COUNTIF($BN$9:BN246, orderYearForSelectedClient&amp;"") + IF(orderYearForSelectedClient="",1,0), 0)), "")</f>
        <v/>
      </c>
      <c r="BO247" s="383" t="str">
        <f t="shared" si="7"/>
        <v/>
      </c>
    </row>
    <row r="248" spans="63:67">
      <c r="BK248" s="381" t="str">
        <f t="array" ref="BK248">IFERROR(IF($AO$9="",INDEX(orderHistory[order_date],ROW()-9),INDEX(orderHistory[order_date], MATCH(0, IF($AO$9=orderHistory[customer],COUNTIF($BK$9:$BK247,orderHistory[order_date]), "")), 0)),"")</f>
        <v/>
      </c>
      <c r="BL248" s="382" t="str">
        <f t="array" ref="BL248">IFERROR(IF($AO$9="ALL",INDEX(orderHistory[order_id],ROW()-9),INDEX(orderHistory[order_id], MATCH(0, IF($AO$9=orderHistory[customer],COUNTIF($BL$9:$BL247,orderHistory[order_id]), "")), 0)),"")</f>
        <v/>
      </c>
      <c r="BM248" s="383" t="str">
        <f t="shared" si="6"/>
        <v/>
      </c>
      <c r="BN248" s="382" t="str">
        <f t="array" aca="1" ref="BN248" ca="1">IFERROR(INDEX(orderYearForSelectedClient, MATCH(0, COUNTIF($BN$9:BN247, orderYearForSelectedClient&amp;"") + IF(orderYearForSelectedClient="",1,0), 0)), "")</f>
        <v/>
      </c>
      <c r="BO248" s="383" t="str">
        <f t="shared" si="7"/>
        <v/>
      </c>
    </row>
    <row r="249" spans="63:67">
      <c r="BK249" s="381">
        <f t="array" ref="BK249">IFERROR(IF($AO$9="",INDEX(YEAR(orderHistory[order_date]),ROW()-9),INDEX(orderHistory[order_date], MATCH(0, IF($AO$9=orderHistory[customer],COUNTIF($BK11:$BK$246,orderHistory[order_date]), "")), 0)),"")</f>
        <v>0</v>
      </c>
      <c r="BL249" s="382">
        <f t="array" ref="BL249">IFERROR(IF($AO$9="ALL",INDEX(orderHistory[order_id],ROW()-9),INDEX(orderHistory[order_id], MATCH(0, IF($AO$9=orderHistory[customer],COUNTIF($BL11:$BL$246,orderHistory[order_id]), "")), 0)),"")</f>
        <v>20240005</v>
      </c>
      <c r="BM249" s="383">
        <f t="shared" si="6"/>
        <v>1900</v>
      </c>
      <c r="BN249" s="382" t="str">
        <f t="array" aca="1" ref="BN249" ca="1">IFERROR(INDEX(orderYearForSelectedClient, MATCH(0, COUNTIF($BN$9:BN248, orderYearForSelectedClient&amp;"") + IF(orderYearForSelectedClient="",1,0), 0)), "")</f>
        <v/>
      </c>
      <c r="BO249" s="383" t="str">
        <f t="shared" si="7"/>
        <v/>
      </c>
    </row>
    <row r="250" spans="63:67">
      <c r="BK250" s="384" t="str">
        <f t="array" ref="BK250">IFERROR(IF($AO$9="",INDEX(orderHistory[order_date],ROW()-9),INDEX(orderHistory[order_date], MATCH(0, IF($AO$9=orderHistory[customer],COUNTIF($BK$9:$BK249,orderHistory[order_date]), "")), 0)),"")</f>
        <v/>
      </c>
      <c r="BL250" s="385" t="str">
        <f t="array" ref="BL250">IFERROR(IF($AO$9="ALL",INDEX(orderHistory[order_id],ROW()-9),INDEX(orderHistory[order_id], MATCH(0, IF($AO$9=orderHistory[customer],COUNTIF($BL$9:$BL249,orderHistory[order_id]), "")), 0)),"")</f>
        <v/>
      </c>
      <c r="BM250" s="386" t="str">
        <f t="shared" si="6"/>
        <v/>
      </c>
      <c r="BN250" s="385" t="str">
        <f t="array" aca="1" ref="BN250" ca="1">IFERROR(INDEX(orderYearForSelectedClient, MATCH(0, COUNTIF($BN$9:BN249, orderYearForSelectedClient&amp;"") + IF(orderYearForSelectedClient="",1,0), 0)), "")</f>
        <v/>
      </c>
      <c r="BO250" s="386" t="str">
        <f t="shared" si="7"/>
        <v/>
      </c>
    </row>
  </sheetData>
  <mergeCells count="23">
    <mergeCell ref="P7:Q7"/>
    <mergeCell ref="T7:U7"/>
    <mergeCell ref="R4:S4"/>
    <mergeCell ref="H38:I38"/>
    <mergeCell ref="H39:I39"/>
    <mergeCell ref="H34:I34"/>
    <mergeCell ref="H37:I37"/>
    <mergeCell ref="H14:J16"/>
    <mergeCell ref="H20:J20"/>
    <mergeCell ref="H18:J18"/>
    <mergeCell ref="H26:J26"/>
    <mergeCell ref="H27:J27"/>
    <mergeCell ref="H28:J28"/>
    <mergeCell ref="H22:J22"/>
    <mergeCell ref="H23:J23"/>
    <mergeCell ref="H24:J24"/>
    <mergeCell ref="H12:J12"/>
    <mergeCell ref="H10:J10"/>
    <mergeCell ref="G14:G15"/>
    <mergeCell ref="H35:I35"/>
    <mergeCell ref="AR25:AT26"/>
    <mergeCell ref="AS30:AT31"/>
    <mergeCell ref="AR33:AT34"/>
  </mergeCells>
  <conditionalFormatting sqref="M10:V40">
    <cfRule type="expression" dxfId="10" priority="11">
      <formula>MOD(ROW(),2)</formula>
    </cfRule>
    <cfRule type="expression" dxfId="9" priority="12">
      <formula>$B$2=ROW()</formula>
    </cfRule>
  </conditionalFormatting>
  <conditionalFormatting sqref="V10:V40">
    <cfRule type="cellIs" dxfId="8" priority="7" operator="equal">
      <formula>"ON GOING"</formula>
    </cfRule>
    <cfRule type="cellIs" dxfId="7" priority="8" operator="equal">
      <formula>"PRE-ORDER"</formula>
    </cfRule>
    <cfRule type="cellIs" dxfId="6" priority="9" operator="equal">
      <formula>"SHIPPED"</formula>
    </cfRule>
  </conditionalFormatting>
  <conditionalFormatting sqref="S10:S40">
    <cfRule type="cellIs" dxfId="5" priority="5" operator="equal">
      <formula>"NO"</formula>
    </cfRule>
    <cfRule type="cellIs" dxfId="4" priority="6" operator="equal">
      <formula>"YES"</formula>
    </cfRule>
  </conditionalFormatting>
  <conditionalFormatting sqref="AW9:BH40">
    <cfRule type="expression" dxfId="3" priority="4">
      <formula>MOD(ROW(),2)</formula>
    </cfRule>
  </conditionalFormatting>
  <conditionalFormatting sqref="AR10:AR11 AT10:AT11 AR13:AR14 AR18:AR21 AT18:AT19 AR25:AT26 AR27:AR32 AR33:AT34 AR38:AR39 H10:J10 H12:J12 H14:J16 H18:J18 H20:J20 H22:J24 H26:J28 H32 H34:I35 H37:I39">
    <cfRule type="cellIs" dxfId="2" priority="3" operator="equal">
      <formula>0</formula>
    </cfRule>
  </conditionalFormatting>
  <conditionalFormatting sqref="AR10:AR11 AT10:AT11 AR13:AR14 AR18:AR21 AT18:AT19 AR25:AT26 AR27:AR32 AR33:AT34 AR38:AR39">
    <cfRule type="containsErrors" dxfId="1" priority="13">
      <formula>ISERROR(AR10)</formula>
    </cfRule>
  </conditionalFormatting>
  <dataValidations count="4">
    <dataValidation type="list" allowBlank="1" showInputMessage="1" showErrorMessage="1" sqref="P5 S5">
      <formula1>yearSelDist</formula1>
    </dataValidation>
    <dataValidation type="list" allowBlank="1" showInputMessage="1" showErrorMessage="1" sqref="T7 BC7">
      <formula1>"Ascending,Descending"</formula1>
    </dataValidation>
    <dataValidation type="list" allowBlank="1" showInputMessage="1" showErrorMessage="1" sqref="P7">
      <formula1>$M$9:$V$9</formula1>
    </dataValidation>
    <dataValidation type="list" allowBlank="1" showInputMessage="1" showErrorMessage="1" sqref="AZ7">
      <formula1>$AW$9:$BH$9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12"/>
  <dimension ref="A1:H7"/>
  <sheetViews>
    <sheetView workbookViewId="0">
      <selection activeCell="L40" sqref="L40"/>
    </sheetView>
  </sheetViews>
  <sheetFormatPr defaultRowHeight="14.5"/>
  <cols>
    <col min="1" max="1" width="18.54296875" bestFit="1" customWidth="1"/>
    <col min="2" max="2" width="13" bestFit="1" customWidth="1"/>
    <col min="3" max="3" width="15" bestFit="1" customWidth="1"/>
    <col min="5" max="5" width="16.81640625" bestFit="1" customWidth="1"/>
    <col min="6" max="6" width="19.81640625" customWidth="1"/>
    <col min="7" max="7" width="16.1796875" bestFit="1" customWidth="1"/>
    <col min="8" max="8" width="16.81640625" bestFit="1" customWidth="1"/>
  </cols>
  <sheetData>
    <row r="1" spans="1:8">
      <c r="B1" s="190" t="s">
        <v>380</v>
      </c>
      <c r="E1" s="190" t="s">
        <v>382</v>
      </c>
      <c r="F1" s="190" t="s">
        <v>383</v>
      </c>
    </row>
    <row r="2" spans="1:8">
      <c r="A2" s="190" t="s">
        <v>378</v>
      </c>
      <c r="B2" t="s">
        <v>382</v>
      </c>
      <c r="C2" s="175" t="s">
        <v>381</v>
      </c>
      <c r="E2" s="190" t="s">
        <v>378</v>
      </c>
      <c r="F2" t="s">
        <v>300</v>
      </c>
      <c r="G2" t="s">
        <v>302</v>
      </c>
      <c r="H2" t="s">
        <v>379</v>
      </c>
    </row>
    <row r="3" spans="1:8">
      <c r="A3" s="133" t="s">
        <v>300</v>
      </c>
      <c r="B3">
        <v>940</v>
      </c>
      <c r="C3" s="175">
        <v>5900</v>
      </c>
      <c r="E3" s="133" t="s">
        <v>372</v>
      </c>
      <c r="F3">
        <v>900</v>
      </c>
      <c r="G3">
        <v>980</v>
      </c>
      <c r="H3">
        <v>1880</v>
      </c>
    </row>
    <row r="4" spans="1:8">
      <c r="A4" s="191">
        <v>45337</v>
      </c>
      <c r="B4">
        <v>940</v>
      </c>
      <c r="C4" s="175">
        <v>5900</v>
      </c>
      <c r="E4" s="133" t="s">
        <v>373</v>
      </c>
      <c r="F4">
        <v>40</v>
      </c>
      <c r="G4">
        <v>47</v>
      </c>
      <c r="H4">
        <v>87</v>
      </c>
    </row>
    <row r="5" spans="1:8">
      <c r="A5" s="133" t="s">
        <v>302</v>
      </c>
      <c r="B5">
        <v>1027</v>
      </c>
      <c r="C5" s="175">
        <v>5252.8</v>
      </c>
      <c r="E5" s="133" t="s">
        <v>379</v>
      </c>
      <c r="F5">
        <v>940</v>
      </c>
      <c r="G5">
        <v>1027</v>
      </c>
      <c r="H5">
        <v>1967</v>
      </c>
    </row>
    <row r="6" spans="1:8">
      <c r="A6" s="191">
        <v>45342</v>
      </c>
      <c r="B6">
        <v>1027</v>
      </c>
      <c r="C6" s="175">
        <v>5252.8</v>
      </c>
    </row>
    <row r="7" spans="1:8">
      <c r="A7" s="133" t="s">
        <v>379</v>
      </c>
      <c r="B7">
        <v>1967</v>
      </c>
      <c r="C7" s="175">
        <v>11152.8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db_clienti</vt:lpstr>
      <vt:lpstr>bhpc_data</vt:lpstr>
      <vt:lpstr>dgn_calculation</vt:lpstr>
      <vt:lpstr>proformaModel</vt:lpstr>
      <vt:lpstr>plModel</vt:lpstr>
      <vt:lpstr>dgnModel</vt:lpstr>
      <vt:lpstr>salesHistory</vt:lpstr>
      <vt:lpstr>orderHistory</vt:lpstr>
      <vt:lpstr>ORDER ENTRY FORM</vt:lpstr>
      <vt:lpstr>BHPC KANBAN</vt:lpstr>
      <vt:lpstr>BHPC MANAGER</vt:lpstr>
      <vt:lpstr>ANALYTICS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lastPrinted>2024-02-15T14:56:31Z</cp:lastPrinted>
  <dcterms:created xsi:type="dcterms:W3CDTF">2016-09-21T06:55:08Z</dcterms:created>
  <dcterms:modified xsi:type="dcterms:W3CDTF">2024-02-18T18:48:44Z</dcterms:modified>
</cp:coreProperties>
</file>